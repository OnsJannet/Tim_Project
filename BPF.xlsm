
<file path=[Content_Types].xml><?xml version="1.0" encoding="utf-8"?>
<Types xmlns="http://schemas.openxmlformats.org/package/2006/content-types">
  <Override PartName="/xl/_rels/workbook.xml.rels" ContentType="application/vnd.openxmlformats-package.relationships+xml"/>
  <Override PartName="/xl/charts/chart7.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styles.xml" ContentType="application/vnd.openxmlformats-officedocument.spreadsheetml.styles+xml"/>
  <Override PartName="/xl/workbook.xml" ContentType="application/vnd.ms-excel.sheet.macroEnabled.main+xml"/>
  <Override PartName="/xl/worksheets/sheet71.xml" ContentType="application/vnd.openxmlformats-officedocument.spreadsheetml.worksheet+xml"/>
  <Override PartName="/xl/worksheets/sheet62.xml" ContentType="application/vnd.openxmlformats-officedocument.spreadsheetml.worksheet+xml"/>
  <Override PartName="/xl/worksheets/sheet61.xml" ContentType="application/vnd.openxmlformats-officedocument.spreadsheetml.worksheet+xml"/>
  <Override PartName="/xl/worksheets/sheet60.xml" ContentType="application/vnd.openxmlformats-officedocument.spreadsheetml.worksheet+xml"/>
  <Override PartName="/xl/worksheets/sheet54.xml" ContentType="application/vnd.openxmlformats-officedocument.spreadsheetml.worksheet+xml"/>
  <Override PartName="/xl/worksheets/sheet53.xml" ContentType="application/vnd.openxmlformats-officedocument.spreadsheetml.worksheet+xml"/>
  <Override PartName="/xl/worksheets/sheet52.xml" ContentType="application/vnd.openxmlformats-officedocument.spreadsheetml.worksheet+xml"/>
  <Override PartName="/xl/worksheets/sheet51.xml" ContentType="application/vnd.openxmlformats-officedocument.spreadsheetml.worksheet+xml"/>
  <Override PartName="/xl/worksheets/sheet37.xml" ContentType="application/vnd.openxmlformats-officedocument.spreadsheetml.worksheet+xml"/>
  <Override PartName="/xl/worksheets/sheet12.xml" ContentType="application/vnd.openxmlformats-officedocument.spreadsheetml.worksheet+xml"/>
  <Override PartName="/xl/worksheets/sheet38.xml" ContentType="application/vnd.openxmlformats-officedocument.spreadsheetml.worksheet+xml"/>
  <Override PartName="/xl/worksheets/sheet13.xml" ContentType="application/vnd.openxmlformats-officedocument.spreadsheetml.worksheet+xml"/>
  <Override PartName="/xl/worksheets/sheet39.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4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55.xml" ContentType="application/vnd.openxmlformats-officedocument.spreadsheetml.worksheet+xml"/>
  <Override PartName="/xl/worksheets/sheet30.xml" ContentType="application/vnd.openxmlformats-officedocument.spreadsheetml.worksheet+xml"/>
  <Override PartName="/xl/worksheets/sheet56.xml" ContentType="application/vnd.openxmlformats-officedocument.spreadsheetml.worksheet+xml"/>
  <Override PartName="/xl/worksheets/sheet31.xml" ContentType="application/vnd.openxmlformats-officedocument.spreadsheetml.worksheet+xml"/>
  <Override PartName="/xl/worksheets/sheet57.xml" ContentType="application/vnd.openxmlformats-officedocument.spreadsheetml.worksheet+xml"/>
  <Override PartName="/xl/worksheets/sheet32.xml" ContentType="application/vnd.openxmlformats-officedocument.spreadsheetml.worksheet+xml"/>
  <Override PartName="/xl/worksheets/sheet58.xml" ContentType="application/vnd.openxmlformats-officedocument.spreadsheetml.worksheet+xml"/>
  <Override PartName="/xl/worksheets/sheet33.xml" ContentType="application/vnd.openxmlformats-officedocument.spreadsheetml.worksheet+xml"/>
  <Override PartName="/xl/worksheets/sheet59.xml" ContentType="application/vnd.openxmlformats-officedocument.spreadsheetml.worksheet+xml"/>
  <Override PartName="/xl/worksheets/sheet34.xml" ContentType="application/vnd.openxmlformats-officedocument.spreadsheetml.worksheet+xml"/>
  <Override PartName="/xl/worksheets/sheet10.xml" ContentType="application/vnd.openxmlformats-officedocument.spreadsheetml.worksheet+xml"/>
  <Override PartName="/xl/worksheets/sheet35.xml" ContentType="application/vnd.openxmlformats-officedocument.spreadsheetml.worksheet+xml"/>
  <Override PartName="/xl/worksheets/sheet11.xml" ContentType="application/vnd.openxmlformats-officedocument.spreadsheetml.worksheet+xml"/>
  <Override PartName="/xl/worksheets/sheet36.xml" ContentType="application/vnd.openxmlformats-officedocument.spreadsheetml.worksheet+xml"/>
  <Override PartName="/xl/worksheets/sheet48.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47.xml" ContentType="application/vnd.openxmlformats-officedocument.spreadsheetml.worksheet+xml"/>
  <Override PartName="/xl/worksheets/sheet22.xml" ContentType="application/vnd.openxmlformats-officedocument.spreadsheetml.worksheet+xml"/>
  <Override PartName="/xl/worksheets/sheet8.xml" ContentType="application/vnd.openxmlformats-officedocument.spreadsheetml.worksheet+xml"/>
  <Override PartName="/xl/worksheets/_rels/sheet62.xml.rels" ContentType="application/vnd.openxmlformats-package.relationships+xml"/>
  <Override PartName="/xl/worksheets/_rels/sheet61.xml.rels" ContentType="application/vnd.openxmlformats-package.relationships+xml"/>
  <Override PartName="/xl/worksheets/_rels/sheet57.xml.rels" ContentType="application/vnd.openxmlformats-package.relationships+xml"/>
  <Override PartName="/xl/worksheets/_rels/sheet56.xml.rels" ContentType="application/vnd.openxmlformats-package.relationships+xml"/>
  <Override PartName="/xl/worksheets/_rels/sheet55.xml.rels" ContentType="application/vnd.openxmlformats-package.relationships+xml"/>
  <Override PartName="/xl/worksheets/_rels/sheet54.xml.rels" ContentType="application/vnd.openxmlformats-package.relationships+xml"/>
  <Override PartName="/xl/worksheets/_rels/sheet53.xml.rels" ContentType="application/vnd.openxmlformats-package.relationships+xml"/>
  <Override PartName="/xl/worksheets/_rels/sheet52.xml.rels" ContentType="application/vnd.openxmlformats-package.relationships+xml"/>
  <Override PartName="/xl/worksheets/_rels/sheet51.xml.rels" ContentType="application/vnd.openxmlformats-package.relationships+xml"/>
  <Override PartName="/xl/worksheets/_rels/sheet49.xml.rels" ContentType="application/vnd.openxmlformats-package.relationships+xml"/>
  <Override PartName="/xl/worksheets/_rels/sheet45.xml.rels" ContentType="application/vnd.openxmlformats-package.relationships+xml"/>
  <Override PartName="/xl/worksheets/_rels/sheet44.xml.rels" ContentType="application/vnd.openxmlformats-package.relationships+xml"/>
  <Override PartName="/xl/worksheets/_rels/sheet42.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15.xml.rels" ContentType="application/vnd.openxmlformats-package.relationships+xml"/>
  <Override PartName="/xl/worksheets/_rels/sheet14.xml.rels" ContentType="application/vnd.openxmlformats-package.relationships+xml"/>
  <Override PartName="/xl/worksheets/_rels/sheet13.xml.rels" ContentType="application/vnd.openxmlformats-package.relationships+xml"/>
  <Override PartName="/xl/worksheets/_rels/sheet59.xml.rels" ContentType="application/vnd.openxmlformats-package.relationships+xml"/>
  <Override PartName="/xl/worksheets/_rels/sheet12.xml.rels" ContentType="application/vnd.openxmlformats-package.relationships+xml"/>
  <Override PartName="/xl/worksheets/_rels/sheet58.xml.rels" ContentType="application/vnd.openxmlformats-package.relationships+xml"/>
  <Override PartName="/xl/worksheets/_rels/sheet11.xml.rels" ContentType="application/vnd.openxmlformats-package.relationships+xml"/>
  <Override PartName="/xl/worksheets/_rels/sheet1.xml.rels" ContentType="application/vnd.openxmlformats-package.relationships+xml"/>
  <Override PartName="/xl/worksheets/_rels/sheet7.xml.rels" ContentType="application/vnd.openxmlformats-package.relationships+xml"/>
  <Override PartName="/xl/worksheets/_rels/sheet23.xml.rels" ContentType="application/vnd.openxmlformats-package.relationships+xml"/>
  <Override PartName="/xl/worksheets/_rels/sheet3.xml.rels" ContentType="application/vnd.openxmlformats-package.relationships+xml"/>
  <Override PartName="/xl/worksheets/_rels/sheet48.xml.rels" ContentType="application/vnd.openxmlformats-package.relationships+xml"/>
  <Override PartName="/xl/worksheets/_rels/sheet9.xml.rels" ContentType="application/vnd.openxmlformats-package.relationships+xml"/>
  <Override PartName="/xl/worksheets/_rels/sheet24.xml.rels" ContentType="application/vnd.openxmlformats-package.relationships+xml"/>
  <Override PartName="/xl/worksheets/_rels/sheet30.xml.rels" ContentType="application/vnd.openxmlformats-package.relationships+xml"/>
  <Override PartName="/xl/worksheets/_rels/sheet4.xml.rels" ContentType="application/vnd.openxmlformats-package.relationships+xml"/>
  <Override PartName="/xl/worksheets/_rels/sheet39.xml.rels" ContentType="application/vnd.openxmlformats-package.relationships+xml"/>
  <Override PartName="/xl/worksheets/_rels/sheet20.xml.rels" ContentType="application/vnd.openxmlformats-package.relationships+xml"/>
  <Override PartName="/xl/worksheets/_rels/sheet5.xml.rels" ContentType="application/vnd.openxmlformats-package.relationships+xml"/>
  <Override PartName="/xl/worksheets/_rels/sheet21.xml.rels" ContentType="application/vnd.openxmlformats-package.relationships+xml"/>
  <Override PartName="/xl/worksheets/_rels/sheet6.xml.rels" ContentType="application/vnd.openxmlformats-package.relationships+xml"/>
  <Override PartName="/xl/worksheets/_rels/sheet22.xml.rels" ContentType="application/vnd.openxmlformats-package.relationships+xml"/>
  <Override PartName="/xl/worksheets/_rels/sheet46.xml.rels" ContentType="application/vnd.openxmlformats-package.relationships+xml"/>
  <Override PartName="/xl/worksheets/_rels/sheet18.xml.rels" ContentType="application/vnd.openxmlformats-package.relationships+xml"/>
  <Override PartName="/xl/worksheets/_rels/sheet47.xml.rels" ContentType="application/vnd.openxmlformats-package.relationships+xml"/>
  <Override PartName="/xl/worksheets/_rels/sheet8.xml.rels" ContentType="application/vnd.openxmlformats-package.relationships+xml"/>
  <Override PartName="/xl/worksheets/_rels/sheet19.xml.rels" ContentType="application/vnd.openxmlformats-package.relationships+xml"/>
  <Override PartName="/xl/worksheets/_rels/sheet25.xml.rels" ContentType="application/vnd.openxmlformats-package.relationships+xml"/>
  <Override PartName="/xl/worksheets/_rels/sheet31.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60.xml.rels" ContentType="application/vnd.openxmlformats-package.relationships+xml"/>
  <Override PartName="/xl/worksheets/_rels/sheet32.xml.rels" ContentType="application/vnd.openxmlformats-package.relationships+xml"/>
  <Override PartName="/xl/worksheets/_rels/sheet28.xml.rels" ContentType="application/vnd.openxmlformats-package.relationships+xml"/>
  <Override PartName="/xl/worksheets/_rels/sheet10.xml.rels" ContentType="application/vnd.openxmlformats-package.relationships+xml"/>
  <Override PartName="/xl/worksheets/_rels/sheet29.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8.xml.rels" ContentType="application/vnd.openxmlformats-package.relationships+xml"/>
  <Override PartName="/xl/worksheets/sheet46.xml" ContentType="application/vnd.openxmlformats-officedocument.spreadsheetml.worksheet+xml"/>
  <Override PartName="/xl/worksheets/sheet21.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4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44.xml" ContentType="application/vnd.openxmlformats-officedocument.spreadsheetml.worksheet+xml"/>
  <Override PartName="/xl/worksheets/sheet5.xml" ContentType="application/vnd.openxmlformats-officedocument.spreadsheetml.worksheet+xml"/>
  <Override PartName="/xl/worksheets/sheet45.xml" ContentType="application/vnd.openxmlformats-officedocument.spreadsheetml.worksheet+xml"/>
  <Override PartName="/xl/worksheets/sheet20.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drawing54.xml" ContentType="application/vnd.openxmlformats-officedocument.drawing+xml"/>
  <Override PartName="/xl/drawings/drawing53.xml" ContentType="application/vnd.openxmlformats-officedocument.drawing+xml"/>
  <Override PartName="/xl/drawings/drawing52.xml" ContentType="application/vnd.openxmlformats-officedocument.drawing+xml"/>
  <Override PartName="/xl/drawings/drawing51.xml" ContentType="application/vnd.openxmlformats-officedocument.drawing+xml"/>
  <Override PartName="/xl/drawings/drawing50.xml" ContentType="application/vnd.openxmlformats-officedocument.drawing+xml"/>
  <Override PartName="/xl/drawings/drawing44.xml" ContentType="application/vnd.openxmlformats-officedocument.drawing+xml"/>
  <Override PartName="/xl/drawings/drawing43.xml" ContentType="application/vnd.openxmlformats-officedocument.drawing+xml"/>
  <Override PartName="/xl/drawings/drawing42.xml" ContentType="application/vnd.openxmlformats-officedocument.drawing+xml"/>
  <Override PartName="/xl/drawings/_rels/drawing55.xml.rels" ContentType="application/vnd.openxmlformats-package.relationships+xml"/>
  <Override PartName="/xl/drawings/_rels/drawing52.xml.rels" ContentType="application/vnd.openxmlformats-package.relationships+xml"/>
  <Override PartName="/xl/drawings/_rels/drawing51.xml.rels" ContentType="application/vnd.openxmlformats-package.relationships+xml"/>
  <Override PartName="/xl/drawings/_rels/drawing50.xml.rels" ContentType="application/vnd.openxmlformats-package.relationships+xml"/>
  <Override PartName="/xl/drawings/_rels/drawing49.xml.rels" ContentType="application/vnd.openxmlformats-package.relationships+xml"/>
  <Override PartName="/xl/drawings/_rels/drawing48.xml.rels" ContentType="application/vnd.openxmlformats-package.relationships+xml"/>
  <Override PartName="/xl/drawings/_rels/drawing47.xml.rels" ContentType="application/vnd.openxmlformats-package.relationships+xml"/>
  <Override PartName="/xl/drawings/_rels/drawing46.xml.rels" ContentType="application/vnd.openxmlformats-package.relationships+xml"/>
  <Override PartName="/xl/drawings/_rels/drawing42.xml.rels" ContentType="application/vnd.openxmlformats-package.relationships+xml"/>
  <Override PartName="/xl/drawings/_rels/drawing41.xml.rels" ContentType="application/vnd.openxmlformats-package.relationships+xml"/>
  <Override PartName="/xl/drawings/_rels/drawing40.xml.rels" ContentType="application/vnd.openxmlformats-package.relationships+xml"/>
  <Override PartName="/xl/drawings/_rels/drawing38.xml.rels" ContentType="application/vnd.openxmlformats-package.relationships+xml"/>
  <Override PartName="/xl/drawings/_rels/drawing45.xml.rels" ContentType="application/vnd.openxmlformats-package.relationships+xml"/>
  <Override PartName="/xl/drawings/_rels/drawing17.xml.rels" ContentType="application/vnd.openxmlformats-package.relationships+xml"/>
  <Override PartName="/xl/drawings/_rels/drawing44.xml.rels" ContentType="application/vnd.openxmlformats-package.relationships+xml"/>
  <Override PartName="/xl/drawings/_rels/drawing16.xml.rels" ContentType="application/vnd.openxmlformats-package.relationships+xml"/>
  <Override PartName="/xl/drawings/_rels/drawing43.xml.rels" ContentType="application/vnd.openxmlformats-package.relationships+xml"/>
  <Override PartName="/xl/drawings/_rels/drawing15.xml.rels" ContentType="application/vnd.openxmlformats-package.relationships+xml"/>
  <Override PartName="/xl/drawings/_rels/drawing14.xml.rels" ContentType="application/vnd.openxmlformats-package.relationships+xml"/>
  <Override PartName="/xl/drawings/_rels/drawing13.xml.rels" ContentType="application/vnd.openxmlformats-package.relationships+xml"/>
  <Override PartName="/xl/drawings/_rels/drawing12.xml.rels" ContentType="application/vnd.openxmlformats-package.relationships+xml"/>
  <Override PartName="/xl/drawings/_rels/drawing11.xml.rels" ContentType="application/vnd.openxmlformats-package.relationships+xml"/>
  <Override PartName="/xl/drawings/_rels/drawing8.xml.rels" ContentType="application/vnd.openxmlformats-package.relationships+xml"/>
  <Override PartName="/xl/drawings/_rels/drawing22.xml.rels" ContentType="application/vnd.openxmlformats-package.relationships+xml"/>
  <Override PartName="/xl/drawings/_rels/drawing3.xml.rels" ContentType="application/vnd.openxmlformats-package.relationships+xml"/>
  <Override PartName="/xl/drawings/_rels/drawing1.xml.rels" ContentType="application/vnd.openxmlformats-package.relationships+xml"/>
  <Override PartName="/xl/drawings/_rels/drawing4.xml.rels" ContentType="application/vnd.openxmlformats-package.relationships+xml"/>
  <Override PartName="/xl/drawings/_rels/drawing5.xml.rels" ContentType="application/vnd.openxmlformats-package.relationships+xml"/>
  <Override PartName="/xl/drawings/_rels/drawing6.xml.rels" ContentType="application/vnd.openxmlformats-package.relationships+xml"/>
  <Override PartName="/xl/drawings/_rels/drawing39.xml.rels" ContentType="application/vnd.openxmlformats-package.relationships+xml"/>
  <Override PartName="/xl/drawings/_rels/drawing20.xml.rels" ContentType="application/vnd.openxmlformats-package.relationships+xml"/>
  <Override PartName="/xl/drawings/_rels/drawing7.xml.rels" ContentType="application/vnd.openxmlformats-package.relationships+xml"/>
  <Override PartName="/xl/drawings/_rels/drawing9.xml.rels" ContentType="application/vnd.openxmlformats-package.relationships+xml"/>
  <Override PartName="/xl/drawings/_rels/drawing21.xml.rels" ContentType="application/vnd.openxmlformats-package.relationships+xml"/>
  <Override PartName="/xl/drawings/_rels/drawing53.xml.rels" ContentType="application/vnd.openxmlformats-package.relationships+xml"/>
  <Override PartName="/xl/drawings/_rels/drawing18.xml.rels" ContentType="application/vnd.openxmlformats-package.relationships+xml"/>
  <Override PartName="/xl/drawings/_rels/drawing23.xml.rels" ContentType="application/vnd.openxmlformats-package.relationships+xml"/>
  <Override PartName="/xl/drawings/_rels/drawing24.xml.rels" ContentType="application/vnd.openxmlformats-package.relationships+xml"/>
  <Override PartName="/xl/drawings/_rels/drawing54.xml.rels" ContentType="application/vnd.openxmlformats-package.relationships+xml"/>
  <Override PartName="/xl/drawings/_rels/drawing19.xml.rels" ContentType="application/vnd.openxmlformats-package.relationships+xml"/>
  <Override PartName="/xl/drawings/_rels/drawing25.xml.rels" ContentType="application/vnd.openxmlformats-package.relationships+xml"/>
  <Override PartName="/xl/drawings/_rels/drawing30.xml.rels" ContentType="application/vnd.openxmlformats-package.relationships+xml"/>
  <Override PartName="/xl/drawings/_rels/drawing26.xml.rels" ContentType="application/vnd.openxmlformats-package.relationships+xml"/>
  <Override PartName="/xl/drawings/_rels/drawing27.xml.rels" ContentType="application/vnd.openxmlformats-package.relationships+xml"/>
  <Override PartName="/xl/drawings/_rels/drawing56.xml.rels" ContentType="application/vnd.openxmlformats-package.relationships+xml"/>
  <Override PartName="/xl/drawings/_rels/drawing28.xml.rels" ContentType="application/vnd.openxmlformats-package.relationships+xml"/>
  <Override PartName="/xl/drawings/_rels/drawing10.xml.rels" ContentType="application/vnd.openxmlformats-package.relationships+xml"/>
  <Override PartName="/xl/drawings/_rels/drawing29.xml.rels" ContentType="application/vnd.openxmlformats-package.relationships+xml"/>
  <Override PartName="/xl/drawings/_rels/drawing31.xml.rels" ContentType="application/vnd.openxmlformats-package.relationships+xml"/>
  <Override PartName="/xl/drawings/_rels/drawing32.xml.rels" ContentType="application/vnd.openxmlformats-package.relationships+xml"/>
  <Override PartName="/xl/drawings/_rels/drawing33.xml.rels" ContentType="application/vnd.openxmlformats-package.relationships+xml"/>
  <Override PartName="/xl/drawings/_rels/drawing34.xml.rels" ContentType="application/vnd.openxmlformats-package.relationships+xml"/>
  <Override PartName="/xl/drawings/_rels/drawing35.xml.rels" ContentType="application/vnd.openxmlformats-package.relationships+xml"/>
  <Override PartName="/xl/drawings/_rels/drawing36.xml.rels" ContentType="application/vnd.openxmlformats-package.relationships+xml"/>
  <Override PartName="/xl/drawings/_rels/drawing37.xml.rels" ContentType="application/vnd.openxmlformats-package.relationships+xml"/>
  <Override PartName="/xl/drawings/drawing41.xml" ContentType="application/vnd.openxmlformats-officedocument.drawing+xml"/>
  <Override PartName="/xl/drawings/drawing40.xml" ContentType="application/vnd.openxmlformats-officedocument.drawing+xml"/>
  <Override PartName="/xl/drawings/drawing45.xml" ContentType="application/vnd.openxmlformats-officedocument.drawing+xml"/>
  <Override PartName="/xl/drawings/drawing20.xml" ContentType="application/vnd.openxmlformats-officedocument.drawing+xml"/>
  <Override PartName="/xl/drawings/drawing46.xml" ContentType="application/vnd.openxmlformats-officedocument.drawing+xml"/>
  <Override PartName="/xl/drawings/drawing21.xml" ContentType="application/vnd.openxmlformats-officedocument.drawing+xml"/>
  <Override PartName="/xl/drawings/drawing47.xml" ContentType="application/vnd.openxmlformats-officedocument.drawing+xml"/>
  <Override PartName="/xl/drawings/drawing22.xml" ContentType="application/vnd.openxmlformats-officedocument.drawing+xml"/>
  <Override PartName="/xl/drawings/drawing48.xml" ContentType="application/vnd.openxmlformats-officedocument.drawing+xml"/>
  <Override PartName="/xl/drawings/drawing23.xml" ContentType="application/vnd.openxmlformats-officedocument.drawing+xml"/>
  <Override PartName="/xl/drawings/drawing49.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55.xml" ContentType="application/vnd.openxmlformats-officedocument.drawing+xml"/>
  <Override PartName="/xl/drawings/drawing30.xml" ContentType="application/vnd.openxmlformats-officedocument.drawing+xml"/>
  <Override PartName="/xl/drawings/drawing56.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10.xml" ContentType="application/vnd.openxmlformats-officedocument.drawing+xml"/>
  <Override PartName="/xl/drawings/drawing35.xml" ContentType="application/vnd.openxmlformats-officedocument.drawing+xml"/>
  <Override PartName="/xl/drawings/drawing11.xml" ContentType="application/vnd.openxmlformats-officedocument.drawing+xml"/>
  <Override PartName="/xl/drawings/drawing36.xml" ContentType="application/vnd.openxmlformats-officedocument.drawing+xml"/>
  <Override PartName="/xl/drawings/drawing9.xml" ContentType="application/vnd.openxmlformats-officedocument.drawing+xml"/>
  <Override PartName="/xl/drawings/drawing19.xml" ContentType="application/vnd.openxmlformats-officedocument.drawing+xml"/>
  <Override PartName="/xl/drawings/drawing8.xml" ContentType="application/vnd.openxmlformats-officedocument.drawing+xml"/>
  <Override PartName="/xl/drawings/drawing18.xml" ContentType="application/vnd.openxmlformats-officedocument.drawing+xml"/>
  <Override PartName="/xl/drawings/drawing7.xml" ContentType="application/vnd.openxmlformats-officedocument.drawing+xml"/>
  <Override PartName="/xl/drawings/drawing38.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7.xml" ContentType="application/vnd.openxmlformats-officedocument.drawing+xml"/>
  <Override PartName="/xl/drawings/drawing12.xml" ContentType="application/vnd.openxmlformats-officedocument.drawing+xml"/>
  <Override PartName="/xl/drawings/drawing1.xml" ContentType="application/vnd.openxmlformats-officedocument.drawing+xml"/>
  <Override PartName="/xl/drawings/drawing39.xml" ContentType="application/vnd.openxmlformats-officedocument.drawing+xml"/>
  <Override PartName="/xl/drawings/drawing14.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drawings/drawing4.xml" ContentType="application/vnd.openxmlformats-officedocument.drawing+xml"/>
  <Override PartName="/xl/drawings/drawing16.xml" ContentType="application/vnd.openxmlformats-officedocument.drawing+xml"/>
  <Override PartName="/xl/drawings/drawing5.xml" ContentType="application/vnd.openxmlformats-officedocument.drawing+xml"/>
  <Override PartName="/xl/drawings/drawing17.xml" ContentType="application/vnd.openxmlformats-officedocument.drawing+xml"/>
  <Override PartName="/xl/drawings/drawing6.xml" ContentType="application/vnd.openxmlformats-officedocument.drawing+xml"/>
  <Override PartName="/xl/media/image57.wmf" ContentType="image/x-wmf"/>
  <Override PartName="/xl/media/image56.wmf" ContentType="image/x-wmf"/>
  <Override PartName="/xl/media/image55.wmf" ContentType="image/x-wmf"/>
  <Override PartName="/xl/media/image54.wmf" ContentType="image/x-wmf"/>
  <Override PartName="/xl/media/image53.wmf" ContentType="image/x-wmf"/>
  <Override PartName="/xl/media/image52.wmf" ContentType="image/x-wmf"/>
  <Override PartName="/xl/media/image51.wmf" ContentType="image/x-wmf"/>
  <Override PartName="/xl/media/image50.wmf" ContentType="image/x-wmf"/>
  <Override PartName="/xl/media/image44.wmf" ContentType="image/x-wmf"/>
  <Override PartName="/xl/media/image43.wmf" ContentType="image/x-wmf"/>
  <Override PartName="/xl/media/image42.wmf" ContentType="image/x-wmf"/>
  <Override PartName="/xl/media/image41.wmf" ContentType="image/x-wmf"/>
  <Override PartName="/xl/media/image40.wmf" ContentType="image/x-wmf"/>
  <Override PartName="/xl/media/image39.wmf" ContentType="image/x-wmf"/>
  <Override PartName="/xl/media/image14.wmf" ContentType="image/x-wmf"/>
  <Override PartName="/xl/media/image38.wmf" ContentType="image/x-wmf"/>
  <Override PartName="/xl/media/image13.wmf" ContentType="image/x-wmf"/>
  <Override PartName="/xl/media/image37.wmf" ContentType="image/x-wmf"/>
  <Override PartName="/xl/media/image12.wmf" ContentType="image/x-wmf"/>
  <Override PartName="/xl/media/image11.wmf" ContentType="image/x-wmf"/>
  <Override PartName="/xl/media/image10.wmf" ContentType="image/x-wmf"/>
  <Override PartName="/xl/media/image16.wmf" ContentType="image/x-wmf"/>
  <Override PartName="/xl/media/image15.wmf" ContentType="image/x-wmf"/>
  <Override PartName="/xl/media/image17.wmf" ContentType="image/x-wmf"/>
  <Override PartName="/xl/media/image18.wmf" ContentType="image/x-wmf"/>
  <Override PartName="/xl/media/image19.wmf" ContentType="image/x-wmf"/>
  <Override PartName="/xl/media/image45.wmf" ContentType="image/x-wmf"/>
  <Override PartName="/xl/media/image20.wmf" ContentType="image/x-wmf"/>
  <Override PartName="/xl/media/image46.wmf" ContentType="image/x-wmf"/>
  <Override PartName="/xl/media/image21.wmf" ContentType="image/x-wmf"/>
  <Override PartName="/xl/media/image47.wmf" ContentType="image/x-wmf"/>
  <Override PartName="/xl/media/image22.wmf" ContentType="image/x-wmf"/>
  <Override PartName="/xl/media/image48.wmf" ContentType="image/x-wmf"/>
  <Override PartName="/xl/media/image23.wmf" ContentType="image/x-wmf"/>
  <Override PartName="/xl/media/image49.wmf" ContentType="image/x-wmf"/>
  <Override PartName="/xl/media/image24.wmf" ContentType="image/x-wmf"/>
  <Override PartName="/xl/media/image9.wmf" ContentType="image/x-wmf"/>
  <Override PartName="/xl/media/image8.wmf" ContentType="image/x-wmf"/>
  <Override PartName="/xl/media/image7.wmf" ContentType="image/x-wmf"/>
  <Override PartName="/xl/media/image2.wmf" ContentType="image/x-wmf"/>
  <Override PartName="/xl/media/image1.wmf" ContentType="image/x-wmf"/>
  <Override PartName="/xl/media/image3.wmf" ContentType="image/x-wmf"/>
  <Override PartName="/xl/media/image4.wmf" ContentType="image/x-wmf"/>
  <Override PartName="/xl/media/image5.wmf" ContentType="image/x-wmf"/>
  <Override PartName="/xl/media/image6.wmf" ContentType="image/x-wmf"/>
  <Override PartName="/xl/media/image29.png" ContentType="image/png"/>
  <Override PartName="/xl/media/image25.wmf" ContentType="image/x-wmf"/>
  <Override PartName="/xl/media/image30.png" ContentType="image/png"/>
  <Override PartName="/xl/media/image26.wmf" ContentType="image/x-wmf"/>
  <Override PartName="/xl/media/image31.png" ContentType="image/png"/>
  <Override PartName="/xl/media/image27.wmf" ContentType="image/x-wmf"/>
  <Override PartName="/xl/media/image32.png" ContentType="image/png"/>
  <Override PartName="/xl/media/image28.wmf" ContentType="image/x-wmf"/>
  <Override PartName="/xl/media/image33.png" ContentType="image/png"/>
  <Override PartName="/xl/media/image34.png" ContentType="image/png"/>
  <Override PartName="/xl/media/image35.png" ContentType="image/png"/>
  <Override PartName="/xl/media/image36.png" ContentType="image/png"/>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2"/>
  </bookViews>
  <sheets>
    <sheet name="Reference sheet" sheetId="1" state="visible" r:id="rId2"/>
    <sheet name="Contents" sheetId="2" state="visible" r:id="rId3"/>
    <sheet name="Intro" sheetId="3" state="visible" r:id="rId4"/>
    <sheet name="1.0 Executive summary" sheetId="4" state="visible" r:id="rId5"/>
    <sheet name="1.1 Mission &amp; Objectives" sheetId="5" state="visible" r:id="rId6"/>
    <sheet name="2.0 Company Profile" sheetId="6" state="visible" r:id="rId7"/>
    <sheet name="2.1 Company Organisation" sheetId="7" state="visible" r:id="rId8"/>
    <sheet name="2.2 Location &amp; Facilities" sheetId="8" state="visible" r:id="rId9"/>
    <sheet name="3.0 Products &amp; Services" sheetId="9" state="visible" r:id="rId10"/>
    <sheet name="3.1 Financing &amp; Insurance" sheetId="10" state="visible" r:id="rId11"/>
    <sheet name="3.2 Funding" sheetId="11" state="visible" r:id="rId12"/>
    <sheet name="4.0 Organisation &amp; HR" sheetId="12" state="visible" r:id="rId13"/>
    <sheet name="4.1.1 Management team" sheetId="13" state="visible" r:id="rId14"/>
    <sheet name="4.1.2 Management team" sheetId="14" state="visible" r:id="rId15"/>
    <sheet name="5.0 Economy" sheetId="15" state="visible" r:id="rId16"/>
    <sheet name="5.1 DAF Vehicle Parc Input" sheetId="16" state="visible" r:id="rId17"/>
    <sheet name="5.1.1 NewTruck market-Country" sheetId="17" state="visible" r:id="rId18"/>
    <sheet name="5.1.2 NT market-Dealer area" sheetId="18" state="visible" r:id="rId19"/>
    <sheet name="5.2 UT market-Dealer area" sheetId="19" state="visible" r:id="rId20"/>
    <sheet name="5.3 Running Parc - Dealer Area" sheetId="20" state="visible" r:id="rId21"/>
    <sheet name="5.4.1 Competition in Area" sheetId="21" state="visible" r:id="rId22"/>
    <sheet name="5.4.2 Comp. Analysis Table" sheetId="22" state="visible" r:id="rId23"/>
    <sheet name="5.4.3 Comp.  Analysis SWOT" sheetId="23" state="visible" r:id="rId24"/>
    <sheet name="5.5 Customers" sheetId="24" state="visible" r:id="rId25"/>
    <sheet name="6.0 New Truck Sales" sheetId="25" state="visible" r:id="rId26"/>
    <sheet name="6.1 Used Trucks" sheetId="26" state="visible" r:id="rId27"/>
    <sheet name="6.2 After Sales - Parts" sheetId="27" state="visible" r:id="rId28"/>
    <sheet name="6.3 After Sales - Service" sheetId="28" state="visible" r:id="rId29"/>
    <sheet name="DAF Parts CPV" sheetId="29" state="visible" r:id="rId30"/>
    <sheet name="DAF Parts CPV (short)" sheetId="30" state="visible" r:id="rId31"/>
    <sheet name="DAF Labour CPV" sheetId="31" state="visible" r:id="rId32"/>
    <sheet name="DAF Labour CPV (short)" sheetId="32" state="visible" r:id="rId33"/>
    <sheet name="DAF Oil CPV" sheetId="33" state="visible" r:id="rId34"/>
    <sheet name="DAF Oil CPV (short)" sheetId="34" state="visible" r:id="rId35"/>
    <sheet name="OM Parts CPV" sheetId="35" state="visible" r:id="rId36"/>
    <sheet name="OM Parts CPV (short)" sheetId="36" state="visible" r:id="rId37"/>
    <sheet name="Calculation (short)" sheetId="37" state="visible" r:id="rId38"/>
    <sheet name="6.4 SWOT &amp; Action Plan" sheetId="38" state="visible" r:id="rId39"/>
    <sheet name="7.1 Dealer area" sheetId="39" state="visible" r:id="rId40"/>
    <sheet name="7.2.1 Turnover Vehicles" sheetId="42" state="visible" r:id="rId41"/>
    <sheet name="7.2.2 Turnover Parts" sheetId="44" state="visible" r:id="rId42"/>
    <sheet name="7.2.3 Turnover Service &amp; Body" sheetId="45" state="visible" r:id="rId43"/>
    <sheet name="7.3 Cost of sales" sheetId="46" state="visible" r:id="rId44"/>
    <sheet name="7.4.1 Salaries &amp; Wages" sheetId="47" state="visible" r:id="rId45"/>
    <sheet name="7.4.2 Selling &amp; Oper. expenses" sheetId="48" state="visible" r:id="rId46"/>
    <sheet name="7.4.3 Inv. &amp; Depr." sheetId="49" state="visible" r:id="rId47"/>
    <sheet name="7.5.1 Financial Requirements" sheetId="51" state="visible" r:id="rId48"/>
    <sheet name="7.5.2 Fin. Income &amp; Expenses " sheetId="52" state="visible" r:id="rId49"/>
    <sheet name="7.5.3 VAT" sheetId="53" state="visible" r:id="rId50"/>
    <sheet name="7.6.1 Activity contribution" sheetId="54" state="visible" r:id="rId51"/>
    <sheet name="7.6.2 Activity analysis" sheetId="55" state="visible" r:id="rId52"/>
    <sheet name="7.7 P&amp;L" sheetId="56" state="visible" r:id="rId53"/>
    <sheet name="7.9.2 Balance Liabilities" sheetId="57" state="visible" r:id="rId54"/>
    <sheet name="7.10 Ratio's balance" sheetId="58" state="visible" r:id="rId55"/>
    <sheet name="7.11 Cash Flow Analysis" sheetId="59" state="visible" r:id="rId56"/>
    <sheet name="7.12 Assumptions &amp; Remarks" sheetId="60" state="visible" r:id="rId57"/>
    <sheet name="8.0 Attachments" sheetId="61" state="visible" r:id="rId58"/>
    <sheet name="9.0 Scenario's" sheetId="62" state="hidden" r:id="rId59"/>
    <sheet name="10.0 Guidelines" sheetId="71" state="hidden" r:id="rId60"/>
  </sheets>
  <definedNames>
    <definedName function="false" hidden="false" localSheetId="3" name="_xlnm.Print_Area" vbProcedure="false">'1.0 Executive summary'!$A$1:$L$64</definedName>
    <definedName function="false" hidden="false" localSheetId="4" name="_xlnm.Print_Area" vbProcedure="false">'1.1 Mission &amp; Objectives'!$A$1:$K$38</definedName>
    <definedName function="false" hidden="false" localSheetId="5" name="_xlnm.Print_Area" vbProcedure="false">'2.0 Company Profile'!$A$1:$K$24</definedName>
    <definedName function="false" hidden="false" localSheetId="6" name="_xlnm.Print_Area" vbProcedure="false">'2.1 Company Organisation'!$A:$K</definedName>
    <definedName function="false" hidden="false" localSheetId="7" name="_xlnm.Print_Area" vbProcedure="false">'2.2 Location &amp; Facilities'!$A$1:$K$57</definedName>
    <definedName function="false" hidden="false" localSheetId="8" name="_xlnm.Print_Area" vbProcedure="false">'3.0 Products &amp; Services'!$A$1:$K$62</definedName>
    <definedName function="false" hidden="false" localSheetId="9" name="_xlnm.Print_Area" vbProcedure="false">'3.1 Financing &amp; Insurance'!$A$1:$K$49</definedName>
    <definedName function="false" hidden="false" localSheetId="11" name="_xlnm.Print_Area" vbProcedure="false">'4.0 Organisation &amp; HR'!$A:$K</definedName>
    <definedName function="false" hidden="false" localSheetId="12" name="_xlnm.Print_Area" vbProcedure="false">'4.1.1 Management team'!$1:$38</definedName>
    <definedName function="false" hidden="false" localSheetId="13" name="_xlnm.Print_Area" vbProcedure="false">'4.1.2 Management team'!$A$1:$K$55</definedName>
    <definedName function="false" hidden="false" localSheetId="14" name="_xlnm.Print_Area" vbProcedure="false">'5.0 Economy'!$A$1:$K$65</definedName>
    <definedName function="false" hidden="false" localSheetId="15" name="_xlnm.Print_Area" vbProcedure="false">'5.1 DAF Vehicle Parc Input'!$A$3:$W$57</definedName>
    <definedName function="false" hidden="false" localSheetId="16" name="_xlnm.Print_Area" vbProcedure="false">'5.1.1 NewTruck market-Country'!$A$1:$K$56</definedName>
    <definedName function="false" hidden="false" localSheetId="17" name="_xlnm.Print_Area" vbProcedure="false">'5.1.2 NT market-Dealer area'!$A$1:$K$60</definedName>
    <definedName function="false" hidden="false" localSheetId="18" name="_xlnm.Print_Area" vbProcedure="false">'5.2 UT market-Dealer area'!$A$1:$K$55</definedName>
    <definedName function="false" hidden="false" localSheetId="19" name="_xlnm.Print_Area" vbProcedure="false">'5.3 Running Parc - Dealer Area'!$A$1:$M$63</definedName>
    <definedName function="false" hidden="false" localSheetId="20" name="_xlnm.Print_Area" vbProcedure="false">'5.4.1 Competition in Area'!$A$1:$K$84</definedName>
    <definedName function="false" hidden="false" localSheetId="21" name="_xlnm.Print_Area" vbProcedure="false">'5.4.2 Comp. Analysis Table'!$A$1:$K$35</definedName>
    <definedName function="false" hidden="false" localSheetId="22" name="_xlnm.Print_Area" vbProcedure="false">'5.4.3 Comp.  Analysis SWOT'!$A$1:$K$62</definedName>
    <definedName function="false" hidden="false" localSheetId="23" name="_xlnm.Print_Area" vbProcedure="false">'5.5 Customers'!$A$1:$M$79</definedName>
    <definedName function="false" hidden="false" localSheetId="24" name="_xlnm.Print_Area" vbProcedure="false">'6.0 New Truck Sales'!$A$1:$K$60</definedName>
    <definedName function="false" hidden="false" localSheetId="25" name="_xlnm.Print_Area" vbProcedure="false">'6.1 Used Trucks'!$A$1:$K$59</definedName>
    <definedName function="false" hidden="false" localSheetId="26" name="_xlnm.Print_Area" vbProcedure="false">'6.2 After Sales - Parts'!$A$1:$K$68</definedName>
    <definedName function="false" hidden="false" localSheetId="27" name="_xlnm.Print_Area" vbProcedure="false">'6.3 After Sales - Service'!$A$1:$K$42</definedName>
    <definedName function="false" hidden="false" localSheetId="37" name="_xlnm.Print_Area" vbProcedure="false">'6.4 SWOT &amp; Action Plan'!$A$1:$AL$65514</definedName>
    <definedName function="false" hidden="false" localSheetId="38" name="_xlnm.Print_Area" vbProcedure="false">'7.1 Dealer area'!$A$1:$K$69</definedName>
    <definedName function="false" hidden="false" localSheetId="57" name="_xlnm.Print_Area" vbProcedure="false">'7.10 Ratio''s balance'!$A$1:$K$75</definedName>
    <definedName function="false" hidden="false" localSheetId="58" name="_xlnm.Print_Area" vbProcedure="false">'7.11 Cash Flow Analysis'!$A$1:$K$58</definedName>
    <definedName function="false" hidden="false" localSheetId="59" name="_xlnm.Print_Area" vbProcedure="false">'7.12 Assumptions &amp; Remarks'!$A$1:$K$54</definedName>
    <definedName function="false" hidden="false" localSheetId="41" name="_xlnm.Print_Area" vbProcedure="false">'7.2.1 Turnover Vehicles'!$A$1:$K$90</definedName>
    <definedName function="false" hidden="false" localSheetId="43" name="_xlnm.Print_Area" vbProcedure="false">'7.2.2 Turnover Parts'!$A$1:$K$78</definedName>
    <definedName function="false" hidden="false" localSheetId="44" name="_xlnm.Print_Area" vbProcedure="false">'7.2.3 Turnover Service &amp; Body'!$A$1:$K$72</definedName>
    <definedName function="false" hidden="false" localSheetId="45" name="_xlnm.Print_Area" vbProcedure="false">'7.3 Cost of sales'!$A$1:$K$113</definedName>
    <definedName function="false" hidden="false" localSheetId="46" name="_xlnm.Print_Area" vbProcedure="false">'7.4.1 Salaries &amp; Wages'!$A$1:$K$231</definedName>
    <definedName function="false" hidden="false" localSheetId="47" name="_xlnm.Print_Area" vbProcedure="false">'7.4.2 Selling &amp; Oper. expenses'!$A$1:$K$86</definedName>
    <definedName function="false" hidden="false" localSheetId="48" name="_xlnm.Print_Area" vbProcedure="false">'7.4.3 Inv. &amp; Depr.'!$A:$M</definedName>
    <definedName function="false" hidden="false" localSheetId="51" name="_xlnm.Print_Area" vbProcedure="false">'7.5.2 Fin. Income &amp; Expenses '!$A$1:$M$87</definedName>
    <definedName function="false" hidden="false" localSheetId="52" name="_xlnm.Print_Area" vbProcedure="false">'7.5.3 VAT'!$A$1:$K$63</definedName>
    <definedName function="false" hidden="false" localSheetId="53" name="_xlnm.Print_Area" vbProcedure="false">'7.6.1 Activity contribution'!$A:$I</definedName>
    <definedName function="false" hidden="false" localSheetId="54" name="_xlnm.Print_Area" vbProcedure="false">'7.6.2 Activity analysis'!$A$1:$P$165</definedName>
    <definedName function="false" hidden="false" localSheetId="55" name="_xlnm.Print_Area" vbProcedure="false">'7.7 P&amp;L'!$A$1:$K$53</definedName>
    <definedName function="false" hidden="false" localSheetId="56" name="_xlnm.Print_Area" vbProcedure="false">'7.9.2 Balance Liabilities'!$A$1:$K$65</definedName>
    <definedName function="false" hidden="false" localSheetId="60" name="_xlnm.Print_Area" vbProcedure="false">'8.0 Attachments'!$A$1:$L$33</definedName>
    <definedName function="false" hidden="false" localSheetId="61" name="_xlnm.Print_Area" vbProcedure="false">'9.0 Scenario''s'!$A$1:$K$122</definedName>
    <definedName function="false" hidden="false" localSheetId="36" name="_xlnm.Print_Area" vbProcedure="false">'Calculation (short)'!$A$1:$V$17</definedName>
    <definedName function="false" hidden="false" localSheetId="1" name="_xlnm.Print_Area" vbProcedure="false">Contents!$A$1:$K$73</definedName>
    <definedName function="false" hidden="false" localSheetId="30" name="_xlnm.Print_Area" vbProcedure="false">'DAF Labour CPV'!$A$1:$Z$36</definedName>
    <definedName function="false" hidden="false" localSheetId="31" name="_xlnm.Print_Area" vbProcedure="false">'DAF Labour CPV (short)'!$A$1:$W$15</definedName>
    <definedName function="false" hidden="false" localSheetId="32" name="_xlnm.Print_Area" vbProcedure="false">'DAF Oil CPV'!$A$1:$Z$36</definedName>
    <definedName function="false" hidden="false" localSheetId="33" name="_xlnm.Print_Area" vbProcedure="false">'DAF Oil CPV (short)'!$A$1:$W$15</definedName>
    <definedName function="false" hidden="false" localSheetId="28" name="_xlnm.Print_Area" vbProcedure="false">'DAF Parts CPV'!$A$1:$X$36</definedName>
    <definedName function="false" hidden="false" localSheetId="29" name="_xlnm.Print_Area" vbProcedure="false">'DAF Parts CPV (short)'!$A$1:$W$15</definedName>
    <definedName function="false" hidden="false" localSheetId="2" name="_xlnm.Print_Area" vbProcedure="false">Intro!$A$1:$AB$76</definedName>
    <definedName function="false" hidden="false" localSheetId="34" name="_xlnm.Print_Area" vbProcedure="false">'OM Parts CPV'!$A$1:$U$36</definedName>
    <definedName function="false" hidden="false" localSheetId="35" name="_xlnm.Print_Area" vbProcedure="false">'OM Parts CPV (short)'!$A$1:$U$25</definedName>
    <definedName function="false" hidden="false" localSheetId="0" name="_xlnm.Print_Area" vbProcedure="false">'Reference sheet'!$A$1:$K$56</definedName>
    <definedName function="false" hidden="false" localSheetId="0" name="Z_51165254_F18A_4CD1_9981_8F2DE14CC76C_.wvu.Cols" vbProcedure="false">'Reference sheet'!$M:$IV</definedName>
    <definedName function="false" hidden="false" localSheetId="0" name="Z_51165254_F18A_4CD1_9981_8F2DE14CC76C_.wvu.PrintArea" vbProcedure="false">'Reference sheet'!$A$1:$K$56</definedName>
    <definedName function="false" hidden="false" localSheetId="0" name="Z_51165254_F18A_4CD1_9981_8F2DE14CC76C_.wvu.Rows" vbProcedure="false">'Reference sheet'!$99:$65536,'Reference sheet'!$53:$98</definedName>
    <definedName function="false" hidden="false" localSheetId="1" name="Z_51165254_F18A_4CD1_9981_8F2DE14CC76C_.wvu.Cols" vbProcedure="false">Contents!$M:$IV</definedName>
    <definedName function="false" hidden="false" localSheetId="1" name="Z_51165254_F18A_4CD1_9981_8F2DE14CC76C_.wvu.PrintArea" vbProcedure="false">Contents!$A$1:$K$73</definedName>
    <definedName function="false" hidden="false" localSheetId="1" name="Z_51165254_F18A_4CD1_9981_8F2DE14CC76C_.wvu.Rows" vbProcedure="false">Contents!$172:$65536,Contents!$74:$171</definedName>
    <definedName function="false" hidden="false" localSheetId="2" name="Z_51165254_F18A_4CD1_9981_8F2DE14CC76C_.wvu.Cols" vbProcedure="false">Intro!$AD:$IV</definedName>
    <definedName function="false" hidden="false" localSheetId="2" name="Z_51165254_F18A_4CD1_9981_8F2DE14CC76C_.wvu.PrintArea" vbProcedure="false">Intro!$A$1:$AB$76</definedName>
    <definedName function="false" hidden="false" localSheetId="2" name="Z_51165254_F18A_4CD1_9981_8F2DE14CC76C_.wvu.Rows" vbProcedure="false">Intro!$186:$65536,Intro!$75:$183</definedName>
    <definedName function="false" hidden="false" localSheetId="3" name="Z_51165254_F18A_4CD1_9981_8F2DE14CC76C_.wvu.PrintArea" vbProcedure="false">'1.0 Executive summary'!$A$1:$L$64</definedName>
    <definedName function="false" hidden="false" localSheetId="3" name="Z_51165254_F18A_4CD1_9981_8F2DE14CC76C_.wvu.Rows" vbProcedure="false">'1.0 Executive summary'!$66:$65536</definedName>
    <definedName function="false" hidden="false" localSheetId="4" name="Z_51165254_F18A_4CD1_9981_8F2DE14CC76C_.wvu.Cols" vbProcedure="false">'1.1 Mission &amp; Objectives'!$M:$IV</definedName>
    <definedName function="false" hidden="false" localSheetId="4" name="Z_51165254_F18A_4CD1_9981_8F2DE14CC76C_.wvu.PrintArea" vbProcedure="false">'1.1 Mission &amp; Objectives'!$A$1:$K$38</definedName>
    <definedName function="false" hidden="false" localSheetId="4" name="Z_51165254_F18A_4CD1_9981_8F2DE14CC76C_.wvu.Rows" vbProcedure="false">'1.1 Mission &amp; Objectives'!$41:$65536,'1.1 Mission &amp; Objectives'!$39:$39</definedName>
    <definedName function="false" hidden="false" localSheetId="5" name="Z_51165254_F18A_4CD1_9981_8F2DE14CC76C_.wvu.Cols" vbProcedure="false">'2.0 Company Profile'!$M:$IV</definedName>
    <definedName function="false" hidden="false" localSheetId="5" name="Z_51165254_F18A_4CD1_9981_8F2DE14CC76C_.wvu.PrintArea" vbProcedure="false">'2.0 Company Profile'!$A$1:$K$24</definedName>
    <definedName function="false" hidden="false" localSheetId="5" name="Z_51165254_F18A_4CD1_9981_8F2DE14CC76C_.wvu.Rows" vbProcedure="false">'2.0 Company Profile'!$106:$65536,'2.0 Company Profile'!$67:$104</definedName>
    <definedName function="false" hidden="false" localSheetId="6" name="Z_51165254_F18A_4CD1_9981_8F2DE14CC76C_.wvu.Cols" vbProcedure="false">'2.1 Company Organisation'!$M:$IV</definedName>
    <definedName function="false" hidden="false" localSheetId="6" name="Z_51165254_F18A_4CD1_9981_8F2DE14CC76C_.wvu.PrintArea" vbProcedure="false">'2.1 Company Organisation'!$A:$K</definedName>
    <definedName function="false" hidden="false" localSheetId="6" name="Z_51165254_F18A_4CD1_9981_8F2DE14CC76C_.wvu.Rows" vbProcedure="false">'2.1 Company Organisation'!$70:$65536,'2.1 Company Organisation'!$62:$68</definedName>
    <definedName function="false" hidden="false" localSheetId="7" name="Z_51165254_F18A_4CD1_9981_8F2DE14CC76C_.wvu.Cols" vbProcedure="false">'2.2 Location &amp; Facilities'!$M:$IV</definedName>
    <definedName function="false" hidden="false" localSheetId="7" name="Z_51165254_F18A_4CD1_9981_8F2DE14CC76C_.wvu.PrintArea" vbProcedure="false">'2.2 Location &amp; Facilities'!$A$1:$K$57</definedName>
    <definedName function="false" hidden="false" localSheetId="7" name="Z_51165254_F18A_4CD1_9981_8F2DE14CC76C_.wvu.Rows" vbProcedure="false">'2.2 Location &amp; Facilities'!$59:$65536</definedName>
    <definedName function="false" hidden="false" localSheetId="8" name="Z_51165254_F18A_4CD1_9981_8F2DE14CC76C_.wvu.Cols" vbProcedure="false">'3.0 Products &amp; Services'!$M:$IV</definedName>
    <definedName function="false" hidden="false" localSheetId="8" name="Z_51165254_F18A_4CD1_9981_8F2DE14CC76C_.wvu.PrintArea" vbProcedure="false">'3.0 Products &amp; Services'!$A$1:$K$62</definedName>
    <definedName function="false" hidden="false" localSheetId="8" name="Z_51165254_F18A_4CD1_9981_8F2DE14CC76C_.wvu.Rows" vbProcedure="false">'3.0 Products &amp; Services'!$74:$65536,'3.0 Products &amp; Services'!$63:$72</definedName>
    <definedName function="false" hidden="false" localSheetId="9" name="Z_51165254_F18A_4CD1_9981_8F2DE14CC76C_.wvu.Cols" vbProcedure="false">'3.1 Financing &amp; Insurance'!$M:$IV</definedName>
    <definedName function="false" hidden="false" localSheetId="9" name="Z_51165254_F18A_4CD1_9981_8F2DE14CC76C_.wvu.PrintArea" vbProcedure="false">'3.1 Financing &amp; Insurance'!$A$1:$K$49</definedName>
    <definedName function="false" hidden="false" localSheetId="9" name="Z_51165254_F18A_4CD1_9981_8F2DE14CC76C_.wvu.Rows" vbProcedure="false">'3.1 Financing &amp; Insurance'!$57:$65536,'3.1 Financing &amp; Insurance'!$50:$55</definedName>
    <definedName function="false" hidden="false" localSheetId="10" name="Z_51165254_F18A_4CD1_9981_8F2DE14CC76C_.wvu.Cols" vbProcedure="false">'3.2 Funding'!$M:$IV</definedName>
    <definedName function="false" hidden="false" localSheetId="10" name="Z_51165254_F18A_4CD1_9981_8F2DE14CC76C_.wvu.Rows" vbProcedure="false">'3.2 Funding'!$63:$65536</definedName>
    <definedName function="false" hidden="false" localSheetId="11" name="Z_51165254_F18A_4CD1_9981_8F2DE14CC76C_.wvu.Cols" vbProcedure="false">'4.0 Organisation &amp; HR'!$M:$IV</definedName>
    <definedName function="false" hidden="false" localSheetId="11" name="Z_51165254_F18A_4CD1_9981_8F2DE14CC76C_.wvu.PrintArea" vbProcedure="false">'4.0 Organisation &amp; HR'!$A:$K</definedName>
    <definedName function="false" hidden="false" localSheetId="11" name="Z_51165254_F18A_4CD1_9981_8F2DE14CC76C_.wvu.Rows" vbProcedure="false">'4.0 Organisation &amp; HR'!$64:$65536,'4.0 Organisation &amp; HR'!$27:$27</definedName>
    <definedName function="false" hidden="false" localSheetId="12" name="Z_51165254_F18A_4CD1_9981_8F2DE14CC76C_.wvu.Cols" vbProcedure="false">'4.1.1 Management team'!$M:$IV</definedName>
    <definedName function="false" hidden="false" localSheetId="12" name="Z_51165254_F18A_4CD1_9981_8F2DE14CC76C_.wvu.PrintArea" vbProcedure="false">'4.1.1 Management team'!$1:$38</definedName>
    <definedName function="false" hidden="false" localSheetId="12" name="Z_51165254_F18A_4CD1_9981_8F2DE14CC76C_.wvu.Rows" vbProcedure="false">'4.1.1 Management team'!$40:$65536</definedName>
    <definedName function="false" hidden="false" localSheetId="13" name="Z_51165254_F18A_4CD1_9981_8F2DE14CC76C_.wvu.Cols" vbProcedure="false">'4.1.2 Management team'!$M:$IV</definedName>
    <definedName function="false" hidden="false" localSheetId="13" name="Z_51165254_F18A_4CD1_9981_8F2DE14CC76C_.wvu.PrintArea" vbProcedure="false">'4.1.2 Management team'!$A$1:$K$55</definedName>
    <definedName function="false" hidden="false" localSheetId="13" name="Z_51165254_F18A_4CD1_9981_8F2DE14CC76C_.wvu.Rows" vbProcedure="false">'4.1.2 Management team'!$57:$65536</definedName>
    <definedName function="false" hidden="false" localSheetId="14" name="Z_51165254_F18A_4CD1_9981_8F2DE14CC76C_.wvu.Cols" vbProcedure="false">'5.0 Economy'!$M:$IV</definedName>
    <definedName function="false" hidden="false" localSheetId="14" name="Z_51165254_F18A_4CD1_9981_8F2DE14CC76C_.wvu.PrintArea" vbProcedure="false">'5.0 Economy'!$A$1:$K$65</definedName>
    <definedName function="false" hidden="false" localSheetId="14" name="Z_51165254_F18A_4CD1_9981_8F2DE14CC76C_.wvu.Rows" vbProcedure="false">'5.0 Economy'!$69:$65536,'5.0 Economy'!$66:$67</definedName>
    <definedName function="false" hidden="false" localSheetId="15" name="Z_51165254_F18A_4CD1_9981_8F2DE14CC76C_.wvu.Cols" vbProcedure="false">'5.1 DAF Vehicle Parc Input'!$Y:$IV</definedName>
    <definedName function="false" hidden="false" localSheetId="15" name="Z_51165254_F18A_4CD1_9981_8F2DE14CC76C_.wvu.PrintArea" vbProcedure="false">'5.1 DAF Vehicle Parc Input'!$A$3:$W$57</definedName>
    <definedName function="false" hidden="false" localSheetId="15" name="Z_51165254_F18A_4CD1_9981_8F2DE14CC76C_.wvu.Rows" vbProcedure="false">'5.1 DAF Vehicle Parc Input'!$141:$65536,'5.1 DAF Vehicle Parc Input'!$58:$140</definedName>
    <definedName function="false" hidden="false" localSheetId="16" name="Z_51165254_F18A_4CD1_9981_8F2DE14CC76C_.wvu.Cols" vbProcedure="false">'5.1.1 NewTruck market-Country'!$M:$IV</definedName>
    <definedName function="false" hidden="false" localSheetId="16" name="Z_51165254_F18A_4CD1_9981_8F2DE14CC76C_.wvu.PrintArea" vbProcedure="false">'5.1.1 NewTruck market-Country'!$A$1:$K$56</definedName>
    <definedName function="false" hidden="false" localSheetId="16" name="Z_51165254_F18A_4CD1_9981_8F2DE14CC76C_.wvu.Rows" vbProcedure="false">'5.1.1 NewTruck market-Country'!$57:$65536</definedName>
    <definedName function="false" hidden="false" localSheetId="17" name="Z_51165254_F18A_4CD1_9981_8F2DE14CC76C_.wvu.Cols" vbProcedure="false">'5.1.2 NT market-Dealer area'!$M:$IV</definedName>
    <definedName function="false" hidden="false" localSheetId="17" name="Z_51165254_F18A_4CD1_9981_8F2DE14CC76C_.wvu.PrintArea" vbProcedure="false">'5.1.2 NT market-Dealer area'!$A$1:$K$60</definedName>
    <definedName function="false" hidden="false" localSheetId="17" name="Z_51165254_F18A_4CD1_9981_8F2DE14CC76C_.wvu.Rows" vbProcedure="false">'5.1.2 NT market-Dealer area'!$106:$65536,'5.1.2 NT market-Dealer area'!$58:$104</definedName>
    <definedName function="false" hidden="false" localSheetId="18" name="Z_51165254_F18A_4CD1_9981_8F2DE14CC76C_.wvu.Cols" vbProcedure="false">'5.2 UT market-Dealer area'!$M:$IV</definedName>
    <definedName function="false" hidden="false" localSheetId="18" name="Z_51165254_F18A_4CD1_9981_8F2DE14CC76C_.wvu.PrintArea" vbProcedure="false">'5.2 UT market-Dealer area'!$A$1:$K$55</definedName>
    <definedName function="false" hidden="false" localSheetId="18" name="Z_51165254_F18A_4CD1_9981_8F2DE14CC76C_.wvu.Rows" vbProcedure="false">'5.2 UT market-Dealer area'!$143:$65536,'5.2 UT market-Dealer area'!$56:$141</definedName>
    <definedName function="false" hidden="false" localSheetId="19" name="Z_51165254_F18A_4CD1_9981_8F2DE14CC76C_.wvu.Cols" vbProcedure="false">'5.3 Running Parc - Dealer Area'!$O:$IV</definedName>
    <definedName function="false" hidden="false" localSheetId="19" name="Z_51165254_F18A_4CD1_9981_8F2DE14CC76C_.wvu.PrintArea" vbProcedure="false">'5.3 Running Parc - Dealer Area'!$A$1:$M$63</definedName>
    <definedName function="false" hidden="false" localSheetId="19" name="Z_51165254_F18A_4CD1_9981_8F2DE14CC76C_.wvu.Rows" vbProcedure="false">'5.3 Running Parc - Dealer Area'!$65:$65536</definedName>
    <definedName function="false" hidden="false" localSheetId="20" name="Z_51165254_F18A_4CD1_9981_8F2DE14CC76C_.wvu.Cols" vbProcedure="false">'5.4.1 Competition in Area'!$M:$IV</definedName>
    <definedName function="false" hidden="false" localSheetId="20" name="Z_51165254_F18A_4CD1_9981_8F2DE14CC76C_.wvu.PrintArea" vbProcedure="false">'5.4.1 Competition in Area'!$A$1:$K$84</definedName>
    <definedName function="false" hidden="false" localSheetId="20" name="Z_51165254_F18A_4CD1_9981_8F2DE14CC76C_.wvu.Rows" vbProcedure="false">'5.4.1 Competition in Area'!$86:$65536</definedName>
    <definedName function="false" hidden="false" localSheetId="21" name="Z_51165254_F18A_4CD1_9981_8F2DE14CC76C_.wvu.Cols" vbProcedure="false">'5.4.2 Comp. Analysis Table'!$M:$IV</definedName>
    <definedName function="false" hidden="false" localSheetId="21" name="Z_51165254_F18A_4CD1_9981_8F2DE14CC76C_.wvu.PrintArea" vbProcedure="false">'5.4.2 Comp. Analysis Table'!$A$1:$K$35</definedName>
    <definedName function="false" hidden="false" localSheetId="21" name="Z_51165254_F18A_4CD1_9981_8F2DE14CC76C_.wvu.Rows" vbProcedure="false">'5.4.2 Comp. Analysis Table'!$65536:$65536,'5.4.2 Comp. Analysis Table'!$5:$5,'5.4.2 Comp. Analysis Table'!$7:$7,'5.4.2 Comp. Analysis Table'!$23:$24,'5.4.2 Comp. Analysis Table'!$30:$30,'5.4.2 Comp. Analysis Table'!$36:$47,'5.4.2 Comp. Analysis Table'!$49:$65535</definedName>
    <definedName function="false" hidden="false" localSheetId="22" name="Z_51165254_F18A_4CD1_9981_8F2DE14CC76C_.wvu.Cols" vbProcedure="false">'5.4.3 Comp.  Analysis SWOT'!$M:$IV</definedName>
    <definedName function="false" hidden="false" localSheetId="22" name="Z_51165254_F18A_4CD1_9981_8F2DE14CC76C_.wvu.PrintArea" vbProcedure="false">'5.4.3 Comp.  Analysis SWOT'!$A$1:$K$62</definedName>
    <definedName function="false" hidden="false" localSheetId="22" name="Z_51165254_F18A_4CD1_9981_8F2DE14CC76C_.wvu.Rows" vbProcedure="false">'5.4.3 Comp.  Analysis SWOT'!$64:$65536,'5.4.3 Comp.  Analysis SWOT'!$15:$15,'5.4.3 Comp.  Analysis SWOT'!$23:$23,'5.4.3 Comp.  Analysis SWOT'!$31:$31,'5.4.3 Comp.  Analysis SWOT'!$39:$39,'5.4.3 Comp.  Analysis SWOT'!$47:$47,'5.4.3 Comp.  Analysis SWOT'!$55:$55</definedName>
    <definedName function="false" hidden="false" localSheetId="23" name="Z_51165254_F18A_4CD1_9981_8F2DE14CC76C_.wvu.Cols" vbProcedure="false">'5.5 Customers'!$O:$IV</definedName>
    <definedName function="false" hidden="false" localSheetId="23" name="Z_51165254_F18A_4CD1_9981_8F2DE14CC76C_.wvu.PrintArea" vbProcedure="false">'5.5 Customers'!$A$1:$M$80</definedName>
    <definedName function="false" hidden="false" localSheetId="23" name="Z_51165254_F18A_4CD1_9981_8F2DE14CC76C_.wvu.Rows" vbProcedure="false">'5.5 Customers'!$88:$65536,'5.5 Customers'!$5:$5,'5.5 Customers'!$26:$26,'5.5 Customers'!$49:$49,'5.5 Customers'!$57:$66,'5.5 Customers'!$82:$85,'5.5 Customers'!$87:$87</definedName>
    <definedName function="false" hidden="false" localSheetId="24" name="Z_51165254_F18A_4CD1_9981_8F2DE14CC76C_.wvu.Cols" vbProcedure="false">'6.0 New Truck Sales'!$M:$IV</definedName>
    <definedName function="false" hidden="false" localSheetId="24" name="Z_51165254_F18A_4CD1_9981_8F2DE14CC76C_.wvu.PrintArea" vbProcedure="false">'6.0 New Truck Sales'!$A$1:$K$60</definedName>
    <definedName function="false" hidden="false" localSheetId="24" name="Z_51165254_F18A_4CD1_9981_8F2DE14CC76C_.wvu.Rows" vbProcedure="false">'6.0 New Truck Sales'!$66:$65536,'6.0 New Truck Sales'!$54:$63</definedName>
    <definedName function="false" hidden="false" localSheetId="25" name="Z_51165254_F18A_4CD1_9981_8F2DE14CC76C_.wvu.Cols" vbProcedure="false">'6.1 Used Trucks'!$M:$IV</definedName>
    <definedName function="false" hidden="false" localSheetId="25" name="Z_51165254_F18A_4CD1_9981_8F2DE14CC76C_.wvu.PrintArea" vbProcedure="false">'6.1 Used Trucks'!$A$1:$K$59</definedName>
    <definedName function="false" hidden="false" localSheetId="25" name="Z_51165254_F18A_4CD1_9981_8F2DE14CC76C_.wvu.Rows" vbProcedure="false">'6.1 Used Trucks'!$61:$65536</definedName>
    <definedName function="false" hidden="false" localSheetId="26" name="Z_51165254_F18A_4CD1_9981_8F2DE14CC76C_.wvu.Cols" vbProcedure="false">'6.2 After Sales - Parts'!$M:$IV</definedName>
    <definedName function="false" hidden="false" localSheetId="26" name="Z_51165254_F18A_4CD1_9981_8F2DE14CC76C_.wvu.PrintArea" vbProcedure="false">'6.2 After Sales - Parts'!$A$1:$K$68</definedName>
    <definedName function="false" hidden="false" localSheetId="26" name="Z_51165254_F18A_4CD1_9981_8F2DE14CC76C_.wvu.Rows" vbProcedure="false">'6.2 After Sales - Parts'!$70:$65536,'6.2 After Sales - Parts'!$9:$9</definedName>
    <definedName function="false" hidden="false" localSheetId="27" name="Z_51165254_F18A_4CD1_9981_8F2DE14CC76C_.wvu.Cols" vbProcedure="false">'6.3 After Sales - Service'!$M:$IV</definedName>
    <definedName function="false" hidden="false" localSheetId="27" name="Z_51165254_F18A_4CD1_9981_8F2DE14CC76C_.wvu.PrintArea" vbProcedure="false">'6.3 After Sales - Service'!$A$1:$K$42</definedName>
    <definedName function="false" hidden="false" localSheetId="27" name="Z_51165254_F18A_4CD1_9981_8F2DE14CC76C_.wvu.Rows" vbProcedure="false">'6.3 After Sales - Service'!$44:$65536</definedName>
    <definedName function="false" hidden="false" localSheetId="28" name="Z_51165254_F18A_4CD1_9981_8F2DE14CC76C_.wvu.Cols" vbProcedure="false">'DAF Parts CPV'!$X:$IV</definedName>
    <definedName function="false" hidden="false" localSheetId="28" name="Z_51165254_F18A_4CD1_9981_8F2DE14CC76C_.wvu.PrintArea" vbProcedure="false">'DAF Parts CPV'!$A$1:$X$36</definedName>
    <definedName function="false" hidden="false" localSheetId="28" name="Z_51165254_F18A_4CD1_9981_8F2DE14CC76C_.wvu.Rows" vbProcedure="false">'DAF Parts CPV'!$47:$65536,'DAF Parts CPV'!$35:$46</definedName>
    <definedName function="false" hidden="false" localSheetId="29" name="Z_51165254_F18A_4CD1_9981_8F2DE14CC76C_.wvu.Cols" vbProcedure="false">'DAF Parts CPV (short)'!$X:$IV</definedName>
    <definedName function="false" hidden="false" localSheetId="29" name="Z_51165254_F18A_4CD1_9981_8F2DE14CC76C_.wvu.PrintArea" vbProcedure="false">'DAF Parts CPV (short)'!$A$1:$W$15</definedName>
    <definedName function="false" hidden="false" localSheetId="29" name="Z_51165254_F18A_4CD1_9981_8F2DE14CC76C_.wvu.Rows" vbProcedure="false">'DAF Parts CPV (short)'!$48:$65536,'DAF Parts CPV (short)'!$16:$47</definedName>
    <definedName function="false" hidden="false" localSheetId="30" name="Z_51165254_F18A_4CD1_9981_8F2DE14CC76C_.wvu.Cols" vbProcedure="false">'DAF Labour CPV'!$X:$IV</definedName>
    <definedName function="false" hidden="false" localSheetId="30" name="Z_51165254_F18A_4CD1_9981_8F2DE14CC76C_.wvu.PrintArea" vbProcedure="false">'DAF Labour CPV'!$A$1:$Z$36</definedName>
    <definedName function="false" hidden="false" localSheetId="30" name="Z_51165254_F18A_4CD1_9981_8F2DE14CC76C_.wvu.Rows" vbProcedure="false">'DAF Labour CPV'!$48:$65536,'DAF Labour CPV'!$35:$47</definedName>
    <definedName function="false" hidden="false" localSheetId="31" name="Z_51165254_F18A_4CD1_9981_8F2DE14CC76C_.wvu.Cols" vbProcedure="false">'DAF Labour CPV (short)'!$X:$IV</definedName>
    <definedName function="false" hidden="false" localSheetId="31" name="Z_51165254_F18A_4CD1_9981_8F2DE14CC76C_.wvu.PrintArea" vbProcedure="false">'DAF Labour CPV (short)'!$A$1:$W$15</definedName>
    <definedName function="false" hidden="false" localSheetId="31" name="Z_51165254_F18A_4CD1_9981_8F2DE14CC76C_.wvu.Rows" vbProcedure="false">'DAF Labour CPV (short)'!$48:$65536,'DAF Labour CPV (short)'!$16:$47</definedName>
    <definedName function="false" hidden="false" localSheetId="32" name="Z_51165254_F18A_4CD1_9981_8F2DE14CC76C_.wvu.Cols" vbProcedure="false">'DAF Oil CPV'!$X:$IV</definedName>
    <definedName function="false" hidden="false" localSheetId="32" name="Z_51165254_F18A_4CD1_9981_8F2DE14CC76C_.wvu.PrintArea" vbProcedure="false">'DAF Oil CPV'!$A$1:$Z$36</definedName>
    <definedName function="false" hidden="false" localSheetId="32" name="Z_51165254_F18A_4CD1_9981_8F2DE14CC76C_.wvu.Rows" vbProcedure="false">'DAF Oil CPV'!$48:$65536,'DAF Oil CPV'!$35:$47</definedName>
    <definedName function="false" hidden="false" localSheetId="33" name="Z_51165254_F18A_4CD1_9981_8F2DE14CC76C_.wvu.Cols" vbProcedure="false">'DAF Oil CPV (short)'!$X:$IV</definedName>
    <definedName function="false" hidden="false" localSheetId="33" name="Z_51165254_F18A_4CD1_9981_8F2DE14CC76C_.wvu.PrintArea" vbProcedure="false">'DAF Oil CPV (short)'!$A$1:$W$15</definedName>
    <definedName function="false" hidden="false" localSheetId="33" name="Z_51165254_F18A_4CD1_9981_8F2DE14CC76C_.wvu.Rows" vbProcedure="false">'DAF Oil CPV (short)'!$48:$65536,'DAF Oil CPV (short)'!$16:$47</definedName>
    <definedName function="false" hidden="false" localSheetId="34" name="Z_51165254_F18A_4CD1_9981_8F2DE14CC76C_.wvu.Cols" vbProcedure="false">'OM Parts CPV'!$W:$IV</definedName>
    <definedName function="false" hidden="false" localSheetId="34" name="Z_51165254_F18A_4CD1_9981_8F2DE14CC76C_.wvu.PrintArea" vbProcedure="false">'OM Parts CPV'!$A$1:$U$36</definedName>
    <definedName function="false" hidden="false" localSheetId="34" name="Z_51165254_F18A_4CD1_9981_8F2DE14CC76C_.wvu.Rows" vbProcedure="false">'OM Parts CPV'!$48:$65536,'OM Parts CPV'!$35:$47</definedName>
    <definedName function="false" hidden="false" localSheetId="35" name="Z_51165254_F18A_4CD1_9981_8F2DE14CC76C_.wvu.Cols" vbProcedure="false">'OM Parts CPV (short)'!$W:$IV</definedName>
    <definedName function="false" hidden="false" localSheetId="35" name="Z_51165254_F18A_4CD1_9981_8F2DE14CC76C_.wvu.PrintArea" vbProcedure="false">'OM Parts CPV (short)'!$A$1:$U$25</definedName>
    <definedName function="false" hidden="false" localSheetId="35" name="Z_51165254_F18A_4CD1_9981_8F2DE14CC76C_.wvu.Rows" vbProcedure="false">'OM Parts CPV (short)'!$48:$65536,'OM Parts CPV (short)'!$24:$47</definedName>
    <definedName function="false" hidden="false" localSheetId="36" name="Z_51165254_F18A_4CD1_9981_8F2DE14CC76C_.wvu.PrintArea" vbProcedure="false">'Calculation (short)'!$A$1:$V$17</definedName>
    <definedName function="false" hidden="false" localSheetId="36" name="Z_51165254_F18A_4CD1_9981_8F2DE14CC76C_.wvu.Rows" vbProcedure="false">'Calculation (short)'!$63:$109</definedName>
    <definedName function="false" hidden="false" localSheetId="37" name="Z_51165254_F18A_4CD1_9981_8F2DE14CC76C_.wvu.Cols" vbProcedure="false">'6.4 SWOT &amp; Action Plan'!$M:$IV</definedName>
    <definedName function="false" hidden="false" localSheetId="37" name="Z_51165254_F18A_4CD1_9981_8F2DE14CC76C_.wvu.PrintArea" vbProcedure="false">'6.4 SWOT &amp; Action Plan'!$A$1:$AL$65514</definedName>
    <definedName function="false" hidden="false" localSheetId="37" name="Z_51165254_F18A_4CD1_9981_8F2DE14CC76C_.wvu.Rows" vbProcedure="false">'6.4 SWOT &amp; Action Plan'!$65536:$65536,'6.4 SWOT &amp; Action Plan'!$95:$65535</definedName>
    <definedName function="false" hidden="false" localSheetId="38" name="Z_51165254_F18A_4CD1_9981_8F2DE14CC76C_.wvu.Cols" vbProcedure="false">'7.1 Dealer area'!$M:$IV</definedName>
    <definedName function="false" hidden="false" localSheetId="38" name="Z_51165254_F18A_4CD1_9981_8F2DE14CC76C_.wvu.PrintArea" vbProcedure="false">'7.1 Dealer area'!$A$1:$K$69</definedName>
    <definedName function="false" hidden="false" localSheetId="38" name="Z_51165254_F18A_4CD1_9981_8F2DE14CC76C_.wvu.Rows" vbProcedure="false">'7.1 Dealer area'!$79:$65536,'7.1 Dealer area'!$18:$24,'7.1 Dealer area'!$31:$36,'7.1 Dealer area'!$70:$78</definedName>
    <definedName function="false" hidden="false" name="Z_51165254_F18A_4CD1_9981_8F2DE14CC76C_.wvu.Cols" vbProcedure="false">'Increase DAF volume'!$M:$IV</definedName>
    <definedName function="false" hidden="false" name="Z_51165254_F18A_4CD1_9981_8F2DE14CC76C_.wvu.PrintArea" vbProcedure="false">'Increase DAF volume'!$A$1:$K$69</definedName>
    <definedName function="false" hidden="false" name="Z_51165254_F18A_4CD1_9981_8F2DE14CC76C_.wvu.Rows" vbProcedure="false">'Increase DAF volume'!$79:$65536,'Increase DAF volume'!$18:$24,'Increase DAF volume'!$31:$36,'Increase DAF volume'!$70:$78</definedName>
    <definedName function="false" hidden="false" name="_xlnm.Print_Area" vbProcedure="false">'Increase DAF volume'!$A$1:$K$69</definedName>
    <definedName function="false" hidden="false" name="Z_51165254_F18A_4CD1_9981_8F2DE14CC76C_.wvu.Cols" vbProcedure="false">'Increase used trucks_-1'!$M:$IV</definedName>
    <definedName function="false" hidden="false" name="Z_51165254_F18A_4CD1_9981_8F2DE14CC76C_.wvu.PrintArea" vbProcedure="false">'Increase used trucks_-1'!$A$1:$K$69</definedName>
    <definedName function="false" hidden="false" name="Z_51165254_F18A_4CD1_9981_8F2DE14CC76C_.wvu.Rows" vbProcedure="false">'Increase used trucks_-1'!$79:$65536,'Increase used trucks_-1'!$18:$24,'Increase used trucks_-1'!$31:$36,'Increase used trucks_-1'!$70:$78</definedName>
    <definedName function="false" hidden="false" name="_xlnm.Print_Area" vbProcedure="false">'Increase used trucks_-1'!$A$1:$K$69</definedName>
    <definedName function="false" hidden="false" localSheetId="41" name="Z_51165254_F18A_4CD1_9981_8F2DE14CC76C_.wvu.Cols" vbProcedure="false">'7.2.1 Turnover Vehicles'!$M:$IV</definedName>
    <definedName function="false" hidden="false" localSheetId="41" name="Z_51165254_F18A_4CD1_9981_8F2DE14CC76C_.wvu.PrintArea" vbProcedure="false">'7.2.1 Turnover Vehicles'!$A$1:$K$90</definedName>
    <definedName function="false" hidden="false" localSheetId="41" name="Z_51165254_F18A_4CD1_9981_8F2DE14CC76C_.wvu.Rows" vbProcedure="false">'7.2.1 Turnover Vehicles'!$93:$65536</definedName>
    <definedName function="false" hidden="false" name="Z_51165254_F18A_4CD1_9981_8F2DE14CC76C_.wvu.Cols" vbProcedure="false">'Increase used trucks'!$M:$IV</definedName>
    <definedName function="false" hidden="false" name="Z_51165254_F18A_4CD1_9981_8F2DE14CC76C_.wvu.PrintArea" vbProcedure="false">'Increase used trucks'!$A$1:$K$90</definedName>
    <definedName function="false" hidden="false" name="Z_51165254_F18A_4CD1_9981_8F2DE14CC76C_.wvu.Rows" vbProcedure="false">'Increase used trucks'!$93:$65536</definedName>
    <definedName function="false" hidden="false" name="_xlnm.Print_Area" vbProcedure="false">'Increase used trucks'!$A$1:$K$90</definedName>
    <definedName function="false" hidden="false" localSheetId="43" name="Z_51165254_F18A_4CD1_9981_8F2DE14CC76C_.wvu.Cols" vbProcedure="false">'7.2.2 Turnover Parts'!$M:$IV</definedName>
    <definedName function="false" hidden="false" localSheetId="43" name="Z_51165254_F18A_4CD1_9981_8F2DE14CC76C_.wvu.PrintArea" vbProcedure="false">'7.2.2 Turnover Parts'!$A$1:$K$78</definedName>
    <definedName function="false" hidden="false" localSheetId="43" name="Z_51165254_F18A_4CD1_9981_8F2DE14CC76C_.wvu.Rows" vbProcedure="false">'7.2.2 Turnover Parts'!$84:$65536,'7.2.2 Turnover Parts'!$79:$83</definedName>
    <definedName function="false" hidden="false" localSheetId="44" name="Z_51165254_F18A_4CD1_9981_8F2DE14CC76C_.wvu.Cols" vbProcedure="false">'7.2.3 Turnover Service &amp; Body'!$M:$IV</definedName>
    <definedName function="false" hidden="false" localSheetId="44" name="Z_51165254_F18A_4CD1_9981_8F2DE14CC76C_.wvu.PrintArea" vbProcedure="false">'7.2.3 Turnover Service &amp; Body'!$A$1:$K$72</definedName>
    <definedName function="false" hidden="false" localSheetId="44" name="Z_51165254_F18A_4CD1_9981_8F2DE14CC76C_.wvu.Rows" vbProcedure="false">'7.2.3 Turnover Service &amp; Body'!$73:$65536</definedName>
    <definedName function="false" hidden="false" localSheetId="45" name="Z_51165254_F18A_4CD1_9981_8F2DE14CC76C_.wvu.Cols" vbProcedure="false">'7.3 Cost of sales'!$M:$IV</definedName>
    <definedName function="false" hidden="false" localSheetId="45" name="Z_51165254_F18A_4CD1_9981_8F2DE14CC76C_.wvu.PrintArea" vbProcedure="false">'7.3 Cost of sales'!$A$1:$K$113</definedName>
    <definedName function="false" hidden="false" localSheetId="45" name="Z_51165254_F18A_4CD1_9981_8F2DE14CC76C_.wvu.Rows" vbProcedure="false">'7.3 Cost of sales'!$114:$65536</definedName>
    <definedName function="false" hidden="false" localSheetId="46" name="Z_51165254_F18A_4CD1_9981_8F2DE14CC76C_.wvu.Cols" vbProcedure="false">'7.4.1 Salaries &amp; Wages'!$M:$IV</definedName>
    <definedName function="false" hidden="false" localSheetId="46" name="Z_51165254_F18A_4CD1_9981_8F2DE14CC76C_.wvu.PrintArea" vbProcedure="false">'7.4.1 Salaries &amp; Wages'!$A$1:$K$231</definedName>
    <definedName function="false" hidden="false" localSheetId="46" name="Z_51165254_F18A_4CD1_9981_8F2DE14CC76C_.wvu.Rows" vbProcedure="false">'7.4.1 Salaries &amp; Wages'!$175:$65536,'7.4.1 Salaries &amp; Wages'!$174:$174</definedName>
    <definedName function="false" hidden="false" localSheetId="47" name="Z_51165254_F18A_4CD1_9981_8F2DE14CC76C_.wvu.Cols" vbProcedure="false">'7.4.2 Selling &amp; Oper. expenses'!$M:$IV</definedName>
    <definedName function="false" hidden="false" localSheetId="47" name="Z_51165254_F18A_4CD1_9981_8F2DE14CC76C_.wvu.PrintArea" vbProcedure="false">'7.4.2 Selling &amp; Oper. expenses'!$A$1:$K$86</definedName>
    <definedName function="false" hidden="false" localSheetId="47" name="Z_51165254_F18A_4CD1_9981_8F2DE14CC76C_.wvu.Rows" vbProcedure="false">'7.4.2 Selling &amp; Oper. expenses'!$87:$65536,'7.4.2 Selling &amp; Oper. expenses'!$35:$58</definedName>
    <definedName function="false" hidden="false" localSheetId="48" name="Z_51165254_F18A_4CD1_9981_8F2DE14CC76C_.wvu.Cols" vbProcedure="false">'7.4.3 Inv. &amp; Depr.'!$N:$IV</definedName>
    <definedName function="false" hidden="false" localSheetId="48" name="Z_51165254_F18A_4CD1_9981_8F2DE14CC76C_.wvu.PrintArea" vbProcedure="false">'7.4.3 Inv. &amp; Depr.'!$A$1:$L$137</definedName>
    <definedName function="false" hidden="false" localSheetId="48" name="Z_51165254_F18A_4CD1_9981_8F2DE14CC76C_.wvu.Rows" vbProcedure="false">'7.4.3 Inv. &amp; Depr.'!$225:$65536,'7.4.3 Inv. &amp; Depr.'!$138:$224</definedName>
    <definedName function="false" hidden="false" name="Z_51165254_F18A_4CD1_9981_8F2DE14CC76C_.wvu.Cols" vbProcedure="false">'Omzet daling'!$N:$IV</definedName>
    <definedName function="false" hidden="false" name="Z_51165254_F18A_4CD1_9981_8F2DE14CC76C_.wvu.PrintArea" vbProcedure="false">'Omzet daling'!$A$1:$L$137</definedName>
    <definedName function="false" hidden="false" name="Z_51165254_F18A_4CD1_9981_8F2DE14CC76C_.wvu.Rows" vbProcedure="false">'Omzet daling'!$225:$65536,'Omzet daling'!$138:$224</definedName>
    <definedName function="false" hidden="false" name="_xlnm.Print_Area" vbProcedure="false">'Omzet daling'!$A:$M</definedName>
    <definedName function="false" hidden="false" localSheetId="51" name="Z_51165254_F18A_4CD1_9981_8F2DE14CC76C_.wvu.Cols" vbProcedure="false">'7.5.2 Fin. Income &amp; Expenses '!$O:$IV</definedName>
    <definedName function="false" hidden="false" localSheetId="51" name="Z_51165254_F18A_4CD1_9981_8F2DE14CC76C_.wvu.PrintArea" vbProcedure="false">'7.5.2 Fin. Income &amp; Expenses '!$A$1:$M$87</definedName>
    <definedName function="false" hidden="false" localSheetId="51" name="Z_51165254_F18A_4CD1_9981_8F2DE14CC76C_.wvu.Rows" vbProcedure="false">'7.5.2 Fin. Income &amp; Expenses '!$88:$65536</definedName>
    <definedName function="false" hidden="false" localSheetId="52" name="Z_51165254_F18A_4CD1_9981_8F2DE14CC76C_.wvu.Cols" vbProcedure="false">'7.5.3 VAT'!$M:$IV</definedName>
    <definedName function="false" hidden="false" localSheetId="52" name="Z_51165254_F18A_4CD1_9981_8F2DE14CC76C_.wvu.PrintArea" vbProcedure="false">'7.5.3 VAT'!$A$1:$K$63</definedName>
    <definedName function="false" hidden="false" localSheetId="52" name="Z_51165254_F18A_4CD1_9981_8F2DE14CC76C_.wvu.Rows" vbProcedure="false">'7.5.3 VAT'!$64:$65536</definedName>
    <definedName function="false" hidden="false" localSheetId="53" name="Z_51165254_F18A_4CD1_9981_8F2DE14CC76C_.wvu.Cols" vbProcedure="false">'7.6.1 Activity contribution'!$K:$IV</definedName>
    <definedName function="false" hidden="false" localSheetId="53" name="Z_51165254_F18A_4CD1_9981_8F2DE14CC76C_.wvu.PrintArea" vbProcedure="false">'7.6.1 Activity contribution'!$A:$I</definedName>
    <definedName function="false" hidden="false" localSheetId="53" name="Z_51165254_F18A_4CD1_9981_8F2DE14CC76C_.wvu.Rows" vbProcedure="false">'7.6.1 Activity contribution'!$387:$65536,'7.6.1 Activity contribution'!$385:$386</definedName>
    <definedName function="false" hidden="false" localSheetId="54" name="Z_51165254_F18A_4CD1_9981_8F2DE14CC76C_.wvu.Cols" vbProcedure="false">'7.6.2 Activity analysis'!$R:$IV</definedName>
    <definedName function="false" hidden="false" localSheetId="54" name="Z_51165254_F18A_4CD1_9981_8F2DE14CC76C_.wvu.PrintArea" vbProcedure="false">'7.6.2 Activity analysis'!$A$1:$P$165</definedName>
    <definedName function="false" hidden="false" localSheetId="54" name="Z_51165254_F18A_4CD1_9981_8F2DE14CC76C_.wvu.Rows" vbProcedure="false">'7.6.2 Activity analysis'!$171:$65536,'7.6.2 Activity analysis'!$166:$170</definedName>
    <definedName function="false" hidden="false" localSheetId="55" name="Z_51165254_F18A_4CD1_9981_8F2DE14CC76C_.wvu.Cols" vbProcedure="false">'7.7 P&amp;L'!$M:$IV</definedName>
    <definedName function="false" hidden="false" localSheetId="55" name="Z_51165254_F18A_4CD1_9981_8F2DE14CC76C_.wvu.PrintArea" vbProcedure="false">'7.7 P&amp;L'!$A$1:$K$53</definedName>
    <definedName function="false" hidden="false" localSheetId="55" name="Z_51165254_F18A_4CD1_9981_8F2DE14CC76C_.wvu.Rows" vbProcedure="false">'7.7 P&amp;L'!$74:$65536,'7.7 P&amp;L'!$54:$73</definedName>
    <definedName function="false" hidden="false" localSheetId="56" name="Z_51165254_F18A_4CD1_9981_8F2DE14CC76C_.wvu.Cols" vbProcedure="false">'7.9.2 Balance Liabilities'!$M:$IV</definedName>
    <definedName function="false" hidden="false" localSheetId="56" name="Z_51165254_F18A_4CD1_9981_8F2DE14CC76C_.wvu.PrintArea" vbProcedure="false">'7.9.2 Balance Liabilities'!$A$1:$K$65</definedName>
    <definedName function="false" hidden="false" localSheetId="56" name="Z_51165254_F18A_4CD1_9981_8F2DE14CC76C_.wvu.Rows" vbProcedure="false">'7.9.2 Balance Liabilities'!$65:$65536</definedName>
    <definedName function="false" hidden="false" localSheetId="57" name="Z_51165254_F18A_4CD1_9981_8F2DE14CC76C_.wvu.Cols" vbProcedure="false">'7.10 Ratio''s balance'!$M:$IV</definedName>
    <definedName function="false" hidden="false" localSheetId="57" name="Z_51165254_F18A_4CD1_9981_8F2DE14CC76C_.wvu.PrintArea" vbProcedure="false">'7.10 Ratio''s balance'!$A$1:$K$75</definedName>
    <definedName function="false" hidden="false" localSheetId="57" name="Z_51165254_F18A_4CD1_9981_8F2DE14CC76C_.wvu.Rows" vbProcedure="false">'7.10 Ratio''s balance'!$76:$65536</definedName>
    <definedName function="false" hidden="false" localSheetId="58" name="Z_51165254_F18A_4CD1_9981_8F2DE14CC76C_.wvu.Cols" vbProcedure="false">'7.11 Cash Flow Analysis'!$M:$IV</definedName>
    <definedName function="false" hidden="false" localSheetId="58" name="Z_51165254_F18A_4CD1_9981_8F2DE14CC76C_.wvu.PrintArea" vbProcedure="false">'7.11 Cash Flow Analysis'!$A$1:$K$58</definedName>
    <definedName function="false" hidden="false" localSheetId="58" name="Z_51165254_F18A_4CD1_9981_8F2DE14CC76C_.wvu.Rows" vbProcedure="false">'7.11 Cash Flow Analysis'!$61:$65536,'7.11 Cash Flow Analysis'!$57:$58</definedName>
    <definedName function="false" hidden="false" localSheetId="59" name="Z_51165254_F18A_4CD1_9981_8F2DE14CC76C_.wvu.Cols" vbProcedure="false">'7.12 Assumptions &amp; Remarks'!$M:$IV</definedName>
    <definedName function="false" hidden="false" localSheetId="59" name="Z_51165254_F18A_4CD1_9981_8F2DE14CC76C_.wvu.PrintArea" vbProcedure="false">'7.12 Assumptions &amp; Remarks'!$A$1:$K$54</definedName>
    <definedName function="false" hidden="false" localSheetId="59" name="Z_51165254_F18A_4CD1_9981_8F2DE14CC76C_.wvu.Rows" vbProcedure="false">'7.12 Assumptions &amp; Remarks'!$55:$65536</definedName>
    <definedName function="false" hidden="false" localSheetId="60" name="Z_51165254_F18A_4CD1_9981_8F2DE14CC76C_.wvu.Cols" vbProcedure="false">'8.0 Attachments'!$M:$IV</definedName>
    <definedName function="false" hidden="false" localSheetId="60" name="Z_51165254_F18A_4CD1_9981_8F2DE14CC76C_.wvu.PrintArea" vbProcedure="false">'8.0 Attachments'!$A$1:$L$33</definedName>
    <definedName function="false" hidden="false" localSheetId="60" name="Z_51165254_F18A_4CD1_9981_8F2DE14CC76C_.wvu.Rows" vbProcedure="false">'8.0 Attachments'!$35:$65536,'8.0 Attachments'!$34:$34</definedName>
    <definedName function="false" hidden="false" localSheetId="61" name="Z_51165254_F18A_4CD1_9981_8F2DE14CC76C_.wvu.Cols" vbProcedure="false">'9.0 Scenario''s'!$M:$IV</definedName>
    <definedName function="false" hidden="false" localSheetId="61" name="Z_51165254_F18A_4CD1_9981_8F2DE14CC76C_.wvu.PrintArea" vbProcedure="false">'9.0 Scenario''s'!$A$1:$K$122</definedName>
    <definedName function="false" hidden="false" localSheetId="61" name="Z_51165254_F18A_4CD1_9981_8F2DE14CC76C_.wvu.Rows" vbProcedure="false">'9.0 Scenario''s'!$123:$65536</definedName>
    <definedName function="false" hidden="false" name="Z_51165254_F18A_4CD1_9981_8F2DE14CC76C_.wvu.Cols" vbProcedure="false">'Low market size trucks'!$M:$IV</definedName>
    <definedName function="false" hidden="false" name="Z_51165254_F18A_4CD1_9981_8F2DE14CC76C_.wvu.PrintArea" vbProcedure="false">'Low market size trucks'!$A$1:$K$122</definedName>
    <definedName function="false" hidden="false" name="Z_51165254_F18A_4CD1_9981_8F2DE14CC76C_.wvu.Rows" vbProcedure="false">'Low market size trucks'!$123:$65536</definedName>
    <definedName function="false" hidden="false" name="_xlnm.Print_Area" vbProcedure="false">'Low market size trucks'!$A$1:$K$122</definedName>
    <definedName function="false" hidden="false" name="Z_51165254_F18A_4CD1_9981_8F2DE14CC76C_.wvu.Cols" vbProcedure="false">'Low market share'!$M:$IV</definedName>
    <definedName function="false" hidden="false" name="Z_51165254_F18A_4CD1_9981_8F2DE14CC76C_.wvu.PrintArea" vbProcedure="false">'Low market share'!$A$1:$K$122</definedName>
    <definedName function="false" hidden="false" name="Z_51165254_F18A_4CD1_9981_8F2DE14CC76C_.wvu.Rows" vbProcedure="false">'Low market share'!$123:$65536</definedName>
    <definedName function="false" hidden="false" name="_xlnm.Print_Area" vbProcedure="false">'Low market share'!$A$1:$K$122</definedName>
    <definedName function="false" hidden="false" name="Z_51165254_F18A_4CD1_9981_8F2DE14CC76C_.wvu.Cols" vbProcedure="false">'Low market share used trucks'!$M:$IV</definedName>
    <definedName function="false" hidden="false" name="Z_51165254_F18A_4CD1_9981_8F2DE14CC76C_.wvu.PrintArea" vbProcedure="false">'Low market share used trucks'!$A$1:$K$122</definedName>
    <definedName function="false" hidden="false" name="Z_51165254_F18A_4CD1_9981_8F2DE14CC76C_.wvu.Rows" vbProcedure="false">'Low market share used trucks'!$123:$65536</definedName>
    <definedName function="false" hidden="false" name="_xlnm.Print_Area" vbProcedure="false">'Low market share used trucks'!$A$1:$K$122</definedName>
    <definedName function="false" hidden="false" name="Z_51165254_F18A_4CD1_9981_8F2DE14CC76C_.wvu.Cols" vbProcedure="false">'Low part retention'!$M:$IV</definedName>
    <definedName function="false" hidden="false" name="Z_51165254_F18A_4CD1_9981_8F2DE14CC76C_.wvu.PrintArea" vbProcedure="false">'Low part retention'!$A$1:$K$122</definedName>
    <definedName function="false" hidden="false" name="Z_51165254_F18A_4CD1_9981_8F2DE14CC76C_.wvu.Rows" vbProcedure="false">'Low part retention'!$123:$65536</definedName>
    <definedName function="false" hidden="false" name="_xlnm.Print_Area" vbProcedure="false">'Low part retention'!$A$1:$K$122</definedName>
    <definedName function="false" hidden="false" name="Z_51165254_F18A_4CD1_9981_8F2DE14CC76C_.wvu.Cols" vbProcedure="false">'Low service retention'!$M:$IV</definedName>
    <definedName function="false" hidden="false" name="Z_51165254_F18A_4CD1_9981_8F2DE14CC76C_.wvu.PrintArea" vbProcedure="false">'Low service retention'!$A$1:$K$122</definedName>
    <definedName function="false" hidden="false" name="Z_51165254_F18A_4CD1_9981_8F2DE14CC76C_.wvu.Rows" vbProcedure="false">'Low service retention'!$123:$65536</definedName>
    <definedName function="false" hidden="false" name="_xlnm.Print_Area" vbProcedure="false">'Low service retention'!$A$1:$K$122</definedName>
    <definedName function="false" hidden="false" name="Z_51165254_F18A_4CD1_9981_8F2DE14CC76C_.wvu.Cols" vbProcedure="false">'Low gross margin new trucks'!$M:$IV</definedName>
    <definedName function="false" hidden="false" name="Z_51165254_F18A_4CD1_9981_8F2DE14CC76C_.wvu.PrintArea" vbProcedure="false">'Low gross margin new trucks'!$A$1:$K$122</definedName>
    <definedName function="false" hidden="false" name="Z_51165254_F18A_4CD1_9981_8F2DE14CC76C_.wvu.Rows" vbProcedure="false">'Low gross margin new trucks'!$123:$65536</definedName>
    <definedName function="false" hidden="false" name="_xlnm.Print_Area" vbProcedure="false">'Low gross margin new trucks'!$A$1:$K$122</definedName>
    <definedName function="false" hidden="false" name="Z_51165254_F18A_4CD1_9981_8F2DE14CC76C_.wvu.Cols" vbProcedure="false">'High salaries &amp; Wages'!$M:$IV</definedName>
    <definedName function="false" hidden="false" name="Z_51165254_F18A_4CD1_9981_8F2DE14CC76C_.wvu.PrintArea" vbProcedure="false">'High salaries &amp; Wages'!$A$1:$K$122</definedName>
    <definedName function="false" hidden="false" name="Z_51165254_F18A_4CD1_9981_8F2DE14CC76C_.wvu.Rows" vbProcedure="false">'High salaries &amp; Wages'!$123:$65536</definedName>
    <definedName function="false" hidden="false" name="_xlnm.Print_Area" vbProcedure="false">'High salaries &amp; Wages'!$A$1:$K$122</definedName>
    <definedName function="false" hidden="false" name="Z_51165254_F18A_4CD1_9981_8F2DE14CC76C_.wvu.Cols" vbProcedure="false">'High operating costs'!$M:$IV</definedName>
    <definedName function="false" hidden="false" name="Z_51165254_F18A_4CD1_9981_8F2DE14CC76C_.wvu.PrintArea" vbProcedure="false">'High operating costs'!$A$1:$K$122</definedName>
    <definedName function="false" hidden="false" name="Z_51165254_F18A_4CD1_9981_8F2DE14CC76C_.wvu.Rows" vbProcedure="false">'High operating costs'!$123:$65536</definedName>
    <definedName function="false" hidden="false" name="_xlnm.Print_Area" vbProcedure="false">'High operating costs'!$A$1:$K$122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<sst xmlns="http://schemas.openxmlformats.org/spreadsheetml/2006/main" count="3019" uniqueCount="1233">
  <si>
    <t xml:space="preserve">Dealer Business Plan</t>
  </si>
  <si>
    <t xml:space="preserve">- version Januari 2011 -</t>
  </si>
  <si>
    <t xml:space="preserve">Reference sheet</t>
  </si>
  <si>
    <t xml:space="preserve">Country</t>
  </si>
  <si>
    <t xml:space="preserve">Country Factor</t>
  </si>
  <si>
    <t xml:space="preserve">Price Factor</t>
  </si>
  <si>
    <t xml:space="preserve">******</t>
  </si>
  <si>
    <t xml:space="preserve">Austria</t>
  </si>
  <si>
    <t xml:space="preserve">CHF</t>
  </si>
  <si>
    <t xml:space="preserve">January</t>
  </si>
  <si>
    <t xml:space="preserve">Belarus</t>
  </si>
  <si>
    <t xml:space="preserve">CZK</t>
  </si>
  <si>
    <t xml:space="preserve">February</t>
  </si>
  <si>
    <t xml:space="preserve">Belgium</t>
  </si>
  <si>
    <t xml:space="preserve">EUR</t>
  </si>
  <si>
    <t xml:space="preserve">March</t>
  </si>
  <si>
    <t xml:space="preserve">Bosnia</t>
  </si>
  <si>
    <t xml:space="preserve">NOK</t>
  </si>
  <si>
    <t xml:space="preserve">April</t>
  </si>
  <si>
    <t xml:space="preserve">Bulgaria</t>
  </si>
  <si>
    <t xml:space="preserve">PLN</t>
  </si>
  <si>
    <t xml:space="preserve">May</t>
  </si>
  <si>
    <t xml:space="preserve">Croatia</t>
  </si>
  <si>
    <t xml:space="preserve">SEK</t>
  </si>
  <si>
    <t xml:space="preserve">June</t>
  </si>
  <si>
    <t xml:space="preserve">Cyprus</t>
  </si>
  <si>
    <t xml:space="preserve">SKK</t>
  </si>
  <si>
    <t xml:space="preserve">July</t>
  </si>
  <si>
    <t xml:space="preserve">Country :</t>
  </si>
  <si>
    <t xml:space="preserve">Other country</t>
  </si>
  <si>
    <t xml:space="preserve">Tunisia</t>
  </si>
  <si>
    <t xml:space="preserve">Czech</t>
  </si>
  <si>
    <t xml:space="preserve">USD</t>
  </si>
  <si>
    <t xml:space="preserve">August</t>
  </si>
  <si>
    <t xml:space="preserve">Dealer name :</t>
  </si>
  <si>
    <t xml:space="preserve">TEST</t>
  </si>
  <si>
    <t xml:space="preserve">Denmark</t>
  </si>
  <si>
    <t xml:space="preserve">GBP</t>
  </si>
  <si>
    <t xml:space="preserve">September</t>
  </si>
  <si>
    <t xml:space="preserve">Dealer location:</t>
  </si>
  <si>
    <t xml:space="preserve">Tunis</t>
  </si>
  <si>
    <t xml:space="preserve">Estonia</t>
  </si>
  <si>
    <t xml:space="preserve">Other</t>
  </si>
  <si>
    <t xml:space="preserve">October</t>
  </si>
  <si>
    <t xml:space="preserve">Finland</t>
  </si>
  <si>
    <t xml:space="preserve">November</t>
  </si>
  <si>
    <t xml:space="preserve">Version :</t>
  </si>
  <si>
    <t xml:space="preserve">France</t>
  </si>
  <si>
    <t xml:space="preserve">December</t>
  </si>
  <si>
    <t xml:space="preserve">Date :</t>
  </si>
  <si>
    <t xml:space="preserve">Month</t>
  </si>
  <si>
    <t xml:space="preserve">Year</t>
  </si>
  <si>
    <t xml:space="preserve">Day</t>
  </si>
  <si>
    <t xml:space="preserve">Germany</t>
  </si>
  <si>
    <t xml:space="preserve">Greece</t>
  </si>
  <si>
    <t xml:space="preserve">Basis year</t>
  </si>
  <si>
    <t xml:space="preserve">Hungary</t>
  </si>
  <si>
    <t xml:space="preserve">Planning period:</t>
  </si>
  <si>
    <t xml:space="preserve">Iceland</t>
  </si>
  <si>
    <t xml:space="preserve">Ireland</t>
  </si>
  <si>
    <t xml:space="preserve">Currency :</t>
  </si>
  <si>
    <t xml:space="preserve">Israel</t>
  </si>
  <si>
    <t xml:space="preserve">Italy</t>
  </si>
  <si>
    <t xml:space="preserve">Latvia</t>
  </si>
  <si>
    <t xml:space="preserve">Lithuania</t>
  </si>
  <si>
    <t xml:space="preserve">Luxemburg</t>
  </si>
  <si>
    <t xml:space="preserve">Macedonia</t>
  </si>
  <si>
    <t xml:space="preserve">Malta</t>
  </si>
  <si>
    <t xml:space="preserve">Netherlands</t>
  </si>
  <si>
    <t xml:space="preserve">Norway</t>
  </si>
  <si>
    <t xml:space="preserve">Poland</t>
  </si>
  <si>
    <t xml:space="preserve">Portugal</t>
  </si>
  <si>
    <t xml:space="preserve">Romania</t>
  </si>
  <si>
    <t xml:space="preserve">Russia</t>
  </si>
  <si>
    <t xml:space="preserve">Serbia-Montenegro</t>
  </si>
  <si>
    <t xml:space="preserve">Slovakia</t>
  </si>
  <si>
    <t xml:space="preserve">Slovenia</t>
  </si>
  <si>
    <t xml:space="preserve">South Africa</t>
  </si>
  <si>
    <t xml:space="preserve">Spain</t>
  </si>
  <si>
    <t xml:space="preserve">Sweden</t>
  </si>
  <si>
    <t xml:space="preserve">Switzerland</t>
  </si>
  <si>
    <t xml:space="preserve">Turkey</t>
  </si>
  <si>
    <t xml:space="preserve">Ukraine</t>
  </si>
  <si>
    <t xml:space="preserve">United Kingdom</t>
  </si>
  <si>
    <t xml:space="preserve">Contents Business Plan :</t>
  </si>
  <si>
    <t xml:space="preserve">Reference Sheet</t>
  </si>
  <si>
    <t xml:space="preserve">Intro</t>
  </si>
  <si>
    <t xml:space="preserve">Chapter 1</t>
  </si>
  <si>
    <t xml:space="preserve">Executive Summary</t>
  </si>
  <si>
    <t xml:space="preserve">1.0 Executive summary</t>
  </si>
  <si>
    <t xml:space="preserve">Chapter 2</t>
  </si>
  <si>
    <t xml:space="preserve">Chapter 3</t>
  </si>
  <si>
    <t xml:space="preserve">Chapter 4</t>
  </si>
  <si>
    <t xml:space="preserve">Chapter 5</t>
  </si>
  <si>
    <t xml:space="preserve">5.1 DAF Vehicle Parc Input</t>
  </si>
  <si>
    <t xml:space="preserve">Chapter 6</t>
  </si>
  <si>
    <t xml:space="preserve">Chapter 7</t>
  </si>
  <si>
    <t xml:space="preserve">Chapter 8</t>
  </si>
  <si>
    <t xml:space="preserve">Attachments</t>
  </si>
  <si>
    <t xml:space="preserve">8.0 Attachments</t>
  </si>
  <si>
    <t xml:space="preserve">Introduction &amp; Manual</t>
  </si>
  <si>
    <t xml:space="preserve">Introduction</t>
  </si>
  <si>
    <t xml:space="preserve">1.0 Executive Summary</t>
  </si>
  <si>
    <t xml:space="preserve">Dealer name:</t>
  </si>
  <si>
    <t xml:space="preserve">Highlights Business Plan/Executive summary</t>
  </si>
  <si>
    <t xml:space="preserve">1.1 Mission &amp; Objectives</t>
  </si>
  <si>
    <t xml:space="preserve">1. Business vision</t>
  </si>
  <si>
    <t xml:space="preserve">2. Business mission</t>
  </si>
  <si>
    <t xml:space="preserve">3. Strategic objectives </t>
  </si>
  <si>
    <t xml:space="preserve">Company Summary</t>
  </si>
  <si>
    <t xml:space="preserve">2.0 Company Profile</t>
  </si>
  <si>
    <t xml:space="preserve">yes</t>
  </si>
  <si>
    <t xml:space="preserve">no</t>
  </si>
  <si>
    <t xml:space="preserve">Legal name dealership</t>
  </si>
  <si>
    <t xml:space="preserve">Trading Name (s)</t>
  </si>
  <si>
    <t xml:space="preserve">Address</t>
  </si>
  <si>
    <t xml:space="preserve">Postal code</t>
  </si>
  <si>
    <t xml:space="preserve">City</t>
  </si>
  <si>
    <t xml:space="preserve">Telephone number</t>
  </si>
  <si>
    <t xml:space="preserve">Fax number</t>
  </si>
  <si>
    <t xml:space="preserve">E-mail address</t>
  </si>
  <si>
    <t xml:space="preserve">Web-site</t>
  </si>
  <si>
    <t xml:space="preserve">Legal entity</t>
  </si>
  <si>
    <t xml:space="preserve">Limited liability</t>
  </si>
  <si>
    <t xml:space="preserve">VAT number (EU countries only)</t>
  </si>
  <si>
    <t xml:space="preserve">Chamber of Commerce number</t>
  </si>
  <si>
    <t xml:space="preserve">Chamber of Commerce seat</t>
  </si>
  <si>
    <t xml:space="preserve">ISO-certificate 9001</t>
  </si>
  <si>
    <t xml:space="preserve">if yes, valid date thru:</t>
  </si>
  <si>
    <t xml:space="preserve">ISO-certificate 14001</t>
  </si>
  <si>
    <t xml:space="preserve">Name of (dealer) holding</t>
  </si>
  <si>
    <t xml:space="preserve">Date established</t>
  </si>
  <si>
    <t xml:space="preserve">Chamber of Commerce number Holding</t>
  </si>
  <si>
    <t xml:space="preserve">2.1 Company Organisation</t>
  </si>
  <si>
    <r>
      <rPr>
        <b val="true"/>
        <sz val="10"/>
        <rFont val="Trebuchet MS"/>
        <family val="2"/>
        <charset val="1"/>
      </rPr>
      <t xml:space="preserve">1. Hub and spoke structure </t>
    </r>
    <r>
      <rPr>
        <sz val="10"/>
        <rFont val="Trebuchet MS"/>
        <family val="2"/>
        <charset val="1"/>
      </rPr>
      <t xml:space="preserve">(description of responsibilities, legal structure, size of outlets etc.)</t>
    </r>
  </si>
  <si>
    <r>
      <rPr>
        <b val="true"/>
        <sz val="10"/>
        <rFont val="Trebuchet MS"/>
        <family val="2"/>
        <charset val="1"/>
      </rPr>
      <t xml:space="preserve">2. Organigram of the legal structure of the dealership </t>
    </r>
    <r>
      <rPr>
        <sz val="10"/>
        <rFont val="Trebuchet MS"/>
        <family val="2"/>
        <charset val="1"/>
      </rPr>
      <t xml:space="preserve">(all connections to parent companies, subsidiaries etc.)</t>
    </r>
  </si>
  <si>
    <t xml:space="preserve">3. Map of the location of the dealership in the place of residence</t>
  </si>
  <si>
    <t xml:space="preserve">4. Strengths of the area organisation</t>
  </si>
  <si>
    <t xml:space="preserve">5. Weaknesses of the area organisation</t>
  </si>
  <si>
    <t xml:space="preserve">2.2 Location &amp; Facilities</t>
  </si>
  <si>
    <t xml:space="preserve">1. Dealer premises and facilities surface</t>
  </si>
  <si>
    <t xml:space="preserve">Surface property</t>
  </si>
  <si>
    <t xml:space="preserve">m²</t>
  </si>
  <si>
    <t xml:space="preserve">Offices</t>
  </si>
  <si>
    <t xml:space="preserve">Built-up surface</t>
  </si>
  <si>
    <t xml:space="preserve">Parts store</t>
  </si>
  <si>
    <t xml:space="preserve">Workshop</t>
  </si>
  <si>
    <t xml:space="preserve">Parking</t>
  </si>
  <si>
    <t xml:space="preserve">Used Truck Area</t>
  </si>
  <si>
    <t xml:space="preserve">Number of bayes</t>
  </si>
  <si>
    <t xml:space="preserve">Height of doors</t>
  </si>
  <si>
    <t xml:space="preserve">m</t>
  </si>
  <si>
    <t xml:space="preserve">Lenght longest bay</t>
  </si>
  <si>
    <t xml:space="preserve">2. Detailed map of the dealer site</t>
  </si>
  <si>
    <t xml:space="preserve">3. Strengths of the facilities</t>
  </si>
  <si>
    <t xml:space="preserve">4. Weaknesses of the facilities</t>
  </si>
  <si>
    <t xml:space="preserve">5. Key Succes Factor</t>
  </si>
  <si>
    <t xml:space="preserve">Products &amp; Services</t>
  </si>
  <si>
    <t xml:space="preserve">3.0 Products &amp; Services</t>
  </si>
  <si>
    <t xml:space="preserve">1. Products</t>
  </si>
  <si>
    <t xml:space="preserve">Product</t>
  </si>
  <si>
    <t xml:space="preserve">Make</t>
  </si>
  <si>
    <t xml:space="preserve">Offered</t>
  </si>
  <si>
    <t xml:space="preserve">Remarks</t>
  </si>
  <si>
    <t xml:space="preserve">Trucks</t>
  </si>
  <si>
    <t xml:space="preserve">DAF 45</t>
  </si>
  <si>
    <t xml:space="preserve">DAF 55</t>
  </si>
  <si>
    <t xml:space="preserve">DAF 65</t>
  </si>
  <si>
    <t xml:space="preserve">DAF 75</t>
  </si>
  <si>
    <t xml:space="preserve">DAF 85</t>
  </si>
  <si>
    <t xml:space="preserve">DAF 105</t>
  </si>
  <si>
    <t xml:space="preserve">Used trucks</t>
  </si>
  <si>
    <t xml:space="preserve">Vans</t>
  </si>
  <si>
    <t xml:space="preserve">Parts</t>
  </si>
  <si>
    <t xml:space="preserve">DAF</t>
  </si>
  <si>
    <t xml:space="preserve">Superstructures</t>
  </si>
  <si>
    <t xml:space="preserve">(Semi)trailers</t>
  </si>
  <si>
    <t xml:space="preserve">Taillifts</t>
  </si>
  <si>
    <t xml:space="preserve">Cooling units</t>
  </si>
  <si>
    <t xml:space="preserve">Cranes</t>
  </si>
  <si>
    <t xml:space="preserve">Couplings</t>
  </si>
  <si>
    <t xml:space="preserve">Hydraulics</t>
  </si>
  <si>
    <t xml:space="preserve">Tyres</t>
  </si>
  <si>
    <t xml:space="preserve">2. Services</t>
  </si>
  <si>
    <t xml:space="preserve">Service</t>
  </si>
  <si>
    <t xml:space="preserve">Repair &amp; Maintenance </t>
  </si>
  <si>
    <t xml:space="preserve">Full damage repairs</t>
  </si>
  <si>
    <t xml:space="preserve">Leasing</t>
  </si>
  <si>
    <t xml:space="preserve">Repair &amp; Maintenance Contracts</t>
  </si>
  <si>
    <t xml:space="preserve">Residual Value Guarantees</t>
  </si>
  <si>
    <t xml:space="preserve">National Truck Service (NTS)</t>
  </si>
  <si>
    <t xml:space="preserve">in future</t>
  </si>
  <si>
    <t xml:space="preserve">International Truck Service (ITS)</t>
  </si>
  <si>
    <t xml:space="preserve">Replacement vehicles</t>
  </si>
  <si>
    <t xml:space="preserve">Extended warranty</t>
  </si>
  <si>
    <t xml:space="preserve">one-stop-shop</t>
  </si>
  <si>
    <t xml:space="preserve">towing</t>
  </si>
  <si>
    <t xml:space="preserve">3. Strengths of the products &amp; services</t>
  </si>
  <si>
    <t xml:space="preserve">High quality vehicles, adapted to the local market, optimized total cost of ownership</t>
  </si>
  <si>
    <t xml:space="preserve">4. Weaknesses of the products &amp; services</t>
  </si>
  <si>
    <t xml:space="preserve">3.1 Financing &amp; Insurance</t>
  </si>
  <si>
    <t xml:space="preserve">1. Presence of PACCAR Financial</t>
  </si>
  <si>
    <t xml:space="preserve">2.1 Sales financing for new trucks</t>
  </si>
  <si>
    <t xml:space="preserve">% of new trucks financed by bank or leasing company</t>
  </si>
  <si>
    <t xml:space="preserve">2.2 Sales financing for used trucks</t>
  </si>
  <si>
    <t xml:space="preserve">% of used trucks financed by bank or leasing company</t>
  </si>
  <si>
    <t xml:space="preserve">3. Important leasing companies and or banks</t>
  </si>
  <si>
    <t xml:space="preserve">B</t>
  </si>
  <si>
    <r>
      <rPr>
        <b val="true"/>
        <sz val="10"/>
        <rFont val="Trebuchet MS"/>
        <family val="2"/>
        <charset val="1"/>
      </rPr>
      <t xml:space="preserve">4. Repair &amp; Maintenance contracts </t>
    </r>
    <r>
      <rPr>
        <sz val="10"/>
        <rFont val="Trebuchet MS"/>
        <family val="2"/>
        <charset val="1"/>
      </rPr>
      <t xml:space="preserve">(policy, approach, outstanding contracts)</t>
    </r>
  </si>
  <si>
    <t xml:space="preserve">5. Extended warranties on services</t>
  </si>
  <si>
    <t xml:space="preserve">6. Sold services new trucks</t>
  </si>
  <si>
    <t xml:space="preserve">Leasing%</t>
  </si>
  <si>
    <t xml:space="preserve">Financing%</t>
  </si>
  <si>
    <t xml:space="preserve">R&amp;M%</t>
  </si>
  <si>
    <t xml:space="preserve">7. Sold services used trucks</t>
  </si>
  <si>
    <t xml:space="preserve">8. Key Succes Factor</t>
  </si>
  <si>
    <t xml:space="preserve">3.2 Funding</t>
  </si>
  <si>
    <t xml:space="preserve">1. Sources of funding </t>
  </si>
  <si>
    <t xml:space="preserve">Amount end </t>
  </si>
  <si>
    <t xml:space="preserve">Percentage</t>
  </si>
  <si>
    <t xml:space="preserve">last fiscal year</t>
  </si>
  <si>
    <t xml:space="preserve">of total</t>
  </si>
  <si>
    <t xml:space="preserve">Equity</t>
  </si>
  <si>
    <t xml:space="preserve">Bank loans longer than 1 year</t>
  </si>
  <si>
    <t xml:space="preserve">Bank loans shorter than 1 year </t>
  </si>
  <si>
    <t xml:space="preserve">Other:</t>
  </si>
  <si>
    <t xml:space="preserve">Total liabilities</t>
  </si>
  <si>
    <t xml:space="preserve">2.1 Loan Guarantee details</t>
  </si>
  <si>
    <t xml:space="preserve">Loan 1:</t>
  </si>
  <si>
    <t xml:space="preserve">Loan 2:</t>
  </si>
  <si>
    <t xml:space="preserve">-amount</t>
  </si>
  <si>
    <t xml:space="preserve">-term:</t>
  </si>
  <si>
    <t xml:space="preserve">-rate</t>
  </si>
  <si>
    <t xml:space="preserve">Loan 3:</t>
  </si>
  <si>
    <t xml:space="preserve">Loan 4:</t>
  </si>
  <si>
    <t xml:space="preserve">2.2 Remarks to funding of the company</t>
  </si>
  <si>
    <t xml:space="preserve">3. Approach towards receivables and payables</t>
  </si>
  <si>
    <t xml:space="preserve">Actual</t>
  </si>
  <si>
    <t xml:space="preserve">Policy</t>
  </si>
  <si>
    <t xml:space="preserve">Average number of days outstanding receivables:</t>
  </si>
  <si>
    <t xml:space="preserve">Average number of days outstanding payables:</t>
  </si>
  <si>
    <t xml:space="preserve">Overdue percentage</t>
  </si>
  <si>
    <t xml:space="preserve">4. Policy and actual performance concerning Credit Management</t>
  </si>
  <si>
    <t xml:space="preserve">5. Strengths of the funding</t>
  </si>
  <si>
    <t xml:space="preserve">6. Weaknesses of the funding</t>
  </si>
  <si>
    <t xml:space="preserve">7. Key issue</t>
  </si>
  <si>
    <t xml:space="preserve">Management Summary</t>
  </si>
  <si>
    <t xml:space="preserve">4.0 Organisation &amp; HR</t>
  </si>
  <si>
    <t xml:space="preserve">Organisation</t>
  </si>
  <si>
    <t xml:space="preserve">1. Organisation chart</t>
  </si>
  <si>
    <t xml:space="preserve">Human resources</t>
  </si>
  <si>
    <r>
      <rPr>
        <b val="true"/>
        <sz val="10"/>
        <rFont val="Trebuchet MS"/>
        <family val="2"/>
        <charset val="1"/>
      </rPr>
      <t xml:space="preserve">2. Human resources </t>
    </r>
    <r>
      <rPr>
        <sz val="10"/>
        <rFont val="Trebuchet MS"/>
        <family val="2"/>
        <charset val="1"/>
      </rPr>
      <t xml:space="preserve">(policy and strategy)</t>
    </r>
  </si>
  <si>
    <t xml:space="preserve">Training</t>
  </si>
  <si>
    <t xml:space="preserve">Education</t>
  </si>
  <si>
    <t xml:space="preserve">Salary</t>
  </si>
  <si>
    <t xml:space="preserve">Job rotation</t>
  </si>
  <si>
    <t xml:space="preserve">Job description</t>
  </si>
  <si>
    <t xml:space="preserve">Satisfaction</t>
  </si>
  <si>
    <t xml:space="preserve">3. Strengths of the organisation and human resources</t>
  </si>
  <si>
    <t xml:space="preserve">4. Weaknesses of the organisation and human resources</t>
  </si>
  <si>
    <t xml:space="preserve">4.1.1 Management team</t>
  </si>
  <si>
    <t xml:space="preserve">Owner/Partner/Director name</t>
  </si>
  <si>
    <t xml:space="preserve">Signer title</t>
  </si>
  <si>
    <t xml:space="preserve">Date of Birth</t>
  </si>
  <si>
    <t xml:space="preserve">Working experience</t>
  </si>
  <si>
    <t xml:space="preserve">Relationship with other companies</t>
  </si>
  <si>
    <t xml:space="preserve">Succession plan</t>
  </si>
  <si>
    <t xml:space="preserve">4.1.2 Management team (other)</t>
  </si>
  <si>
    <t xml:space="preserve">Name Controller</t>
  </si>
  <si>
    <t xml:space="preserve">Name Truck Sales manager</t>
  </si>
  <si>
    <t xml:space="preserve">Name After Sales manager</t>
  </si>
  <si>
    <t xml:space="preserve">Market Analysis </t>
  </si>
  <si>
    <t xml:space="preserve">5.0 Economy</t>
  </si>
  <si>
    <t xml:space="preserve">1. Economic situation country (history, actual, forecast)</t>
  </si>
  <si>
    <t xml:space="preserve">- Economic growth:</t>
  </si>
  <si>
    <t xml:space="preserve">- Economic developments:</t>
  </si>
  <si>
    <t xml:space="preserve">- Inflation:</t>
  </si>
  <si>
    <t xml:space="preserve">- Interest development:</t>
  </si>
  <si>
    <t xml:space="preserve">- Infrastructure development:</t>
  </si>
  <si>
    <t xml:space="preserve">-Truck market developments (future 4 years):</t>
  </si>
  <si>
    <t xml:space="preserve">2. Economic situation dealer area</t>
  </si>
  <si>
    <t xml:space="preserve">3. Main opportunities </t>
  </si>
  <si>
    <t xml:space="preserve">4. Main threats </t>
  </si>
  <si>
    <t xml:space="preserve">5. Map of country with hub dealer area highlighted</t>
  </si>
  <si>
    <t xml:space="preserve">Market Analysis</t>
  </si>
  <si>
    <t xml:space="preserve">5.1 DAF Vehicle Parc (Input)</t>
  </si>
  <si>
    <t xml:space="preserve">1. New Truck Market size country</t>
  </si>
  <si>
    <t xml:space="preserve">Number of New Vehicles</t>
  </si>
  <si>
    <t xml:space="preserve">History</t>
  </si>
  <si>
    <t xml:space="preserve">Forecast Market size country</t>
  </si>
  <si>
    <t xml:space="preserve">GVW</t>
  </si>
  <si>
    <t xml:space="preserve">6 - 15 t</t>
  </si>
  <si>
    <t xml:space="preserve">&gt; 15 t</t>
  </si>
  <si>
    <t xml:space="preserve">Total</t>
  </si>
  <si>
    <t xml:space="preserve">2. New Truck - Market size dealer area (basis for Quantitative Business Plan)</t>
  </si>
  <si>
    <t xml:space="preserve">Forecast Market size dealer area</t>
  </si>
  <si>
    <t xml:space="preserve">3. Running parc DAF - dealer area</t>
  </si>
  <si>
    <r>
      <rPr>
        <b val="true"/>
        <sz val="10"/>
        <rFont val="Trebuchet MS"/>
        <family val="2"/>
        <charset val="1"/>
      </rPr>
      <t xml:space="preserve">Number of Vehicles: </t>
    </r>
    <r>
      <rPr>
        <sz val="10"/>
        <rFont val="Trebuchet MS"/>
        <family val="2"/>
        <charset val="1"/>
      </rPr>
      <t xml:space="preserve">The DAF vehicle parc will be used to calculate the full After Sales Potential for the DAF vehicles</t>
    </r>
  </si>
  <si>
    <t xml:space="preserve">Type</t>
  </si>
  <si>
    <t xml:space="preserve">1 yr</t>
  </si>
  <si>
    <t xml:space="preserve">2 yr</t>
  </si>
  <si>
    <t xml:space="preserve">3 yr</t>
  </si>
  <si>
    <t xml:space="preserve">4 yr</t>
  </si>
  <si>
    <t xml:space="preserve">5 yr</t>
  </si>
  <si>
    <t xml:space="preserve">6 yr</t>
  </si>
  <si>
    <t xml:space="preserve">7 yr</t>
  </si>
  <si>
    <t xml:space="preserve">8 yr</t>
  </si>
  <si>
    <t xml:space="preserve">9 yr</t>
  </si>
  <si>
    <t xml:space="preserve">10 yr</t>
  </si>
  <si>
    <t xml:space="preserve">11 yr</t>
  </si>
  <si>
    <t xml:space="preserve">12 yr</t>
  </si>
  <si>
    <t xml:space="preserve">13 yr</t>
  </si>
  <si>
    <t xml:space="preserve">14 yr</t>
  </si>
  <si>
    <t xml:space="preserve">15 yr</t>
  </si>
  <si>
    <t xml:space="preserve">4. Used Truck sales dealer</t>
  </si>
  <si>
    <t xml:space="preserve">Number of Used Vehicles</t>
  </si>
  <si>
    <t xml:space="preserve">Forecast</t>
  </si>
  <si>
    <t xml:space="preserve">5. Trailers sales dealer</t>
  </si>
  <si>
    <t xml:space="preserve">Number of Trailers</t>
  </si>
  <si>
    <t xml:space="preserve">Trailer</t>
  </si>
  <si>
    <t xml:space="preserve">Semi-Trailer</t>
  </si>
  <si>
    <t xml:space="preserve">6. Vehicle Parc Stand Still</t>
  </si>
  <si>
    <t xml:space="preserve">Vehicle Parc Standstill %</t>
  </si>
  <si>
    <t xml:space="preserve">6. Vehicle Parc Other makes</t>
  </si>
  <si>
    <t xml:space="preserve">Other makes</t>
  </si>
  <si>
    <t xml:space="preserve">Number of Vehicles</t>
  </si>
  <si>
    <t xml:space="preserve">7. Parc Trailer</t>
  </si>
  <si>
    <t xml:space="preserve">5.1.1 New Truck Market - Country</t>
  </si>
  <si>
    <t xml:space="preserve">1. Total market size country</t>
  </si>
  <si>
    <t xml:space="preserve">GVW between 6 - 15 ton</t>
  </si>
  <si>
    <t xml:space="preserve">GVW over 15 ton</t>
  </si>
  <si>
    <t xml:space="preserve">2. Analysis truck market development (trends, volume, segments, legislation)</t>
  </si>
  <si>
    <t xml:space="preserve">x</t>
  </si>
  <si>
    <t xml:space="preserve">3. Main opportunities for the dealership</t>
  </si>
  <si>
    <t xml:space="preserve">4. Main threats for the dealership</t>
  </si>
  <si>
    <t xml:space="preserve">5.1.2 New Truck Market - Dealer Area</t>
  </si>
  <si>
    <t xml:space="preserve">1. Total market size dealer area</t>
  </si>
  <si>
    <t xml:space="preserve">2. Analysis truck market development in the area</t>
  </si>
  <si>
    <t xml:space="preserve">5.2 Used Truck Market - Dealer Area</t>
  </si>
  <si>
    <t xml:space="preserve">1. Total used truck market dealer area</t>
  </si>
  <si>
    <t xml:space="preserve">2. Market competitors and characteristics</t>
  </si>
  <si>
    <t xml:space="preserve">5.3 Running Parc - Dealer Area</t>
  </si>
  <si>
    <t xml:space="preserve">1. Total running DAF parc in dealer area in year before basic year</t>
  </si>
  <si>
    <t xml:space="preserve">DAF 95</t>
  </si>
  <si>
    <t xml:space="preserve">2. Parc development dealer area</t>
  </si>
  <si>
    <t xml:space="preserve">7 years</t>
  </si>
  <si>
    <t xml:space="preserve">10 years</t>
  </si>
  <si>
    <t xml:space="preserve">3. Analysis running parc development DAF and other makes</t>
  </si>
  <si>
    <t xml:space="preserve">4. Main opportunities </t>
  </si>
  <si>
    <t xml:space="preserve">5. Main threats </t>
  </si>
  <si>
    <t xml:space="preserve">5.4.1 Competition in Area</t>
  </si>
  <si>
    <t xml:space="preserve">1. Map of dealer locations of competition and spokes in area</t>
  </si>
  <si>
    <t xml:space="preserve">2. Market shares in dealer area   </t>
  </si>
  <si>
    <t xml:space="preserve">6-15 ton</t>
  </si>
  <si>
    <t xml:space="preserve">&gt; 15 ton</t>
  </si>
  <si>
    <t xml:space="preserve">Mercedes</t>
  </si>
  <si>
    <t xml:space="preserve">Volvo</t>
  </si>
  <si>
    <t xml:space="preserve">Scania</t>
  </si>
  <si>
    <t xml:space="preserve">Man</t>
  </si>
  <si>
    <t xml:space="preserve">Iveco</t>
  </si>
  <si>
    <t xml:space="preserve">Renault</t>
  </si>
  <si>
    <t xml:space="preserve">Others</t>
  </si>
  <si>
    <t xml:space="preserve">3. Value propositions (advantages for customers)</t>
  </si>
  <si>
    <t xml:space="preserve">4. Competitive edge</t>
  </si>
  <si>
    <t xml:space="preserve">5.4.2 Competitive Analysis Table</t>
  </si>
  <si>
    <t xml:space="preserve">1. Strengths and Weaknesses of the competition in the dealer area</t>
  </si>
  <si>
    <t xml:space="preserve">Indicator</t>
  </si>
  <si>
    <t xml:space="preserve">MAN</t>
  </si>
  <si>
    <t xml:space="preserve">RVI</t>
  </si>
  <si>
    <t xml:space="preserve">Price</t>
  </si>
  <si>
    <t xml:space="preserve">Truck Quality </t>
  </si>
  <si>
    <t xml:space="preserve">Location</t>
  </si>
  <si>
    <t xml:space="preserve">Image</t>
  </si>
  <si>
    <t xml:space="preserve">Dealer Network</t>
  </si>
  <si>
    <t xml:space="preserve">Used truck price</t>
  </si>
  <si>
    <t xml:space="preserve">Product range</t>
  </si>
  <si>
    <t xml:space="preserve">Cost of ownership</t>
  </si>
  <si>
    <t xml:space="preserve">Overall</t>
  </si>
  <si>
    <t xml:space="preserve">=best</t>
  </si>
  <si>
    <t xml:space="preserve">=second best</t>
  </si>
  <si>
    <t xml:space="preserve">=third best</t>
  </si>
  <si>
    <t xml:space="preserve">2. Main opportunities DAF dealership</t>
  </si>
  <si>
    <t xml:space="preserve">3. Main threats DAF dealership</t>
  </si>
  <si>
    <t xml:space="preserve">5.4.3 Competitive Analysis SWOT</t>
  </si>
  <si>
    <t xml:space="preserve">Strengths and Weaknesses of the competition in the dealer area</t>
  </si>
  <si>
    <t xml:space="preserve">Strengths</t>
  </si>
  <si>
    <t xml:space="preserve">1. </t>
  </si>
  <si>
    <t xml:space="preserve">2. </t>
  </si>
  <si>
    <t xml:space="preserve">3.  </t>
  </si>
  <si>
    <t xml:space="preserve">Weaknesses</t>
  </si>
  <si>
    <t xml:space="preserve">1.   </t>
  </si>
  <si>
    <t xml:space="preserve">3. </t>
  </si>
  <si>
    <t xml:space="preserve">2.  </t>
  </si>
  <si>
    <t xml:space="preserve">1.  </t>
  </si>
  <si>
    <t xml:space="preserve">3.</t>
  </si>
  <si>
    <t xml:space="preserve">2.</t>
  </si>
  <si>
    <t xml:space="preserve">5.5 Customers</t>
  </si>
  <si>
    <t xml:space="preserve">1. Major customers</t>
  </si>
  <si>
    <t xml:space="preserve">Customer name</t>
  </si>
  <si>
    <t xml:space="preserve">Kind of Transport</t>
  </si>
  <si>
    <t xml:space="preserve">Sector</t>
  </si>
  <si>
    <t xml:space="preserve">Fleetsize</t>
  </si>
  <si>
    <t xml:space="preserve">National</t>
  </si>
  <si>
    <t xml:space="preserve">4.</t>
  </si>
  <si>
    <t xml:space="preserve">5.</t>
  </si>
  <si>
    <t xml:space="preserve">6.</t>
  </si>
  <si>
    <t xml:space="preserve">7.</t>
  </si>
  <si>
    <t xml:space="preserve">8.</t>
  </si>
  <si>
    <t xml:space="preserve">9.</t>
  </si>
  <si>
    <t xml:space="preserve">10.</t>
  </si>
  <si>
    <t xml:space="preserve">2. Purchase behavior customers</t>
  </si>
  <si>
    <t xml:space="preserve">3. Major fleets/other customers in the area</t>
  </si>
  <si>
    <t xml:space="preserve">Main Make</t>
  </si>
  <si>
    <t xml:space="preserve">&lt;5</t>
  </si>
  <si>
    <t xml:space="preserve">1%-25%</t>
  </si>
  <si>
    <t xml:space="preserve">Construction</t>
  </si>
  <si>
    <t xml:space="preserve">5-10</t>
  </si>
  <si>
    <t xml:space="preserve">25%-50%</t>
  </si>
  <si>
    <t xml:space="preserve">International</t>
  </si>
  <si>
    <t xml:space="preserve">Food/Beverages</t>
  </si>
  <si>
    <t xml:space="preserve">11-25</t>
  </si>
  <si>
    <t xml:space="preserve">50%-75%</t>
  </si>
  <si>
    <t xml:space="preserve">National+International</t>
  </si>
  <si>
    <t xml:space="preserve">Bulk</t>
  </si>
  <si>
    <t xml:space="preserve">26-100</t>
  </si>
  <si>
    <t xml:space="preserve">75%-100%</t>
  </si>
  <si>
    <t xml:space="preserve">Container</t>
  </si>
  <si>
    <t xml:space="preserve">101-250</t>
  </si>
  <si>
    <t xml:space="preserve">Automotive</t>
  </si>
  <si>
    <t xml:space="preserve">&gt;250</t>
  </si>
  <si>
    <t xml:space="preserve">6. Customer satisfaction</t>
  </si>
  <si>
    <t xml:space="preserve">7. Dealer Management IT system</t>
  </si>
  <si>
    <t xml:space="preserve">if yes, which functionalities</t>
  </si>
  <si>
    <t xml:space="preserve">Invoicing</t>
  </si>
  <si>
    <t xml:space="preserve">Customer Database</t>
  </si>
  <si>
    <t xml:space="preserve">Trace</t>
  </si>
  <si>
    <t xml:space="preserve">Strategy and Implementation</t>
  </si>
  <si>
    <t xml:space="preserve">6.0 New Truck Sales</t>
  </si>
  <si>
    <t xml:space="preserve">1. New truck sales history</t>
  </si>
  <si>
    <r>
      <rPr>
        <b val="true"/>
        <sz val="10"/>
        <rFont val="Trebuchet MS"/>
        <family val="2"/>
        <charset val="1"/>
      </rPr>
      <t xml:space="preserve">2. Analysis new truck sales </t>
    </r>
    <r>
      <rPr>
        <sz val="10"/>
        <rFont val="Trebuchet MS"/>
        <family val="2"/>
        <charset val="1"/>
      </rPr>
      <t xml:space="preserve">(market share, volume development)</t>
    </r>
  </si>
  <si>
    <t xml:space="preserve">3. Positioning  </t>
  </si>
  <si>
    <t xml:space="preserve">4. Pricing and costing</t>
  </si>
  <si>
    <t xml:space="preserve">5. Advertising and promotion</t>
  </si>
  <si>
    <t xml:space="preserve">6. Sales/Marketing Management</t>
  </si>
  <si>
    <t xml:space="preserve">   </t>
  </si>
  <si>
    <t xml:space="preserve">7. Strengths of the new truck sales process</t>
  </si>
  <si>
    <t xml:space="preserve">8. Weaknesses of the new truck sales process</t>
  </si>
  <si>
    <t xml:space="preserve">9. Advantages towards competitors</t>
  </si>
  <si>
    <t xml:space="preserve">6.1 Used Trucks</t>
  </si>
  <si>
    <t xml:space="preserve">1. Used truck sales history</t>
  </si>
  <si>
    <t xml:space="preserve">2. Analysis used truck sales</t>
  </si>
  <si>
    <t xml:space="preserve">7. Strengths of the used truck sales process</t>
  </si>
  <si>
    <t xml:space="preserve">8. Weaknesses of the used truck sales process</t>
  </si>
  <si>
    <t xml:space="preserve">6.2 After Sales - Parts</t>
  </si>
  <si>
    <t xml:space="preserve">1. Parts policy </t>
  </si>
  <si>
    <t xml:space="preserve">Guideline</t>
  </si>
  <si>
    <t xml:space="preserve">Comments</t>
  </si>
  <si>
    <t xml:space="preserve">Stock orders vs. </t>
  </si>
  <si>
    <t xml:space="preserve">Rush orders</t>
  </si>
  <si>
    <t xml:space="preserve">Parts availability %:</t>
  </si>
  <si>
    <t xml:space="preserve">(first pick)</t>
  </si>
  <si>
    <t xml:space="preserve">Stock rotation:</t>
  </si>
  <si>
    <t xml:space="preserve">Parts retention:</t>
  </si>
  <si>
    <t xml:space="preserve">see also 7.2.2</t>
  </si>
  <si>
    <t xml:space="preserve">2. Analysis part sales</t>
  </si>
  <si>
    <t xml:space="preserve">7. Strengths of the part sales process</t>
  </si>
  <si>
    <t xml:space="preserve">8. Weaknesses of the part sales process</t>
  </si>
  <si>
    <t xml:space="preserve">6.3 After Sales - Service</t>
  </si>
  <si>
    <t xml:space="preserve">1. Service policy</t>
  </si>
  <si>
    <t xml:space="preserve">2. Effectivity of the workshop</t>
  </si>
  <si>
    <t xml:space="preserve">Productivity</t>
  </si>
  <si>
    <t xml:space="preserve">Efficiency</t>
  </si>
  <si>
    <t xml:space="preserve">Effectivity</t>
  </si>
  <si>
    <t xml:space="preserve">Comments:</t>
  </si>
  <si>
    <t xml:space="preserve">3. Service retention</t>
  </si>
  <si>
    <t xml:space="preserve">Service retention:</t>
  </si>
  <si>
    <t xml:space="preserve">see also 7.2.3</t>
  </si>
  <si>
    <t xml:space="preserve">4. Strengths of the after sales service</t>
  </si>
  <si>
    <t xml:space="preserve">5. Weaknesses of the after sales service</t>
  </si>
  <si>
    <t xml:space="preserve">6. Advantages towards competitors</t>
  </si>
  <si>
    <t xml:space="preserve">DAF Parts Consumption Per Vehicle</t>
  </si>
  <si>
    <t xml:space="preserve">Configuration</t>
  </si>
  <si>
    <t xml:space="preserve">Chassis</t>
  </si>
  <si>
    <t xml:space="preserve">Axle</t>
  </si>
  <si>
    <t xml:space="preserve">Rigid</t>
  </si>
  <si>
    <t xml:space="preserve">Tractor</t>
  </si>
  <si>
    <t xml:space="preserve">Avg.</t>
  </si>
  <si>
    <t xml:space="preserve">DAF Labour Consumption Per Vehicle</t>
  </si>
  <si>
    <t xml:space="preserve">Labour Consumption Per Vehicle</t>
  </si>
  <si>
    <t xml:space="preserve">DAF Oil Consumption Per Vehicle</t>
  </si>
  <si>
    <t xml:space="preserve">Oil Consumption Per Vehicle</t>
  </si>
  <si>
    <t xml:space="preserve">Other Makes Parts Consumption Per Vehicle</t>
  </si>
  <si>
    <t xml:space="preserve">Other Make Configuration</t>
  </si>
  <si>
    <t xml:space="preserve">Parts Consumption Per Vehicle</t>
  </si>
  <si>
    <t xml:space="preserve">Trailer Configuration</t>
  </si>
  <si>
    <t xml:space="preserve">Parts Pricing Factor</t>
  </si>
  <si>
    <t xml:space="preserve">Default Standstill Factor</t>
  </si>
  <si>
    <t xml:space="preserve">Number of years to calculate potential</t>
  </si>
  <si>
    <t xml:space="preserve">Calculation Sheet</t>
  </si>
  <si>
    <t xml:space="preserve">Basic year</t>
  </si>
  <si>
    <t xml:space="preserve">park</t>
  </si>
  <si>
    <t xml:space="preserve">DAF Parts</t>
  </si>
  <si>
    <t xml:space="preserve">DAF Labour Hours</t>
  </si>
  <si>
    <t xml:space="preserve">DAF Oil</t>
  </si>
  <si>
    <t xml:space="preserve">totaal</t>
  </si>
  <si>
    <t xml:space="preserve">Second Year</t>
  </si>
  <si>
    <t xml:space="preserve">Third Year</t>
  </si>
  <si>
    <t xml:space="preserve">Totaal</t>
  </si>
  <si>
    <t xml:space="preserve">Fourth Year</t>
  </si>
  <si>
    <t xml:space="preserve">Fifth Year</t>
  </si>
  <si>
    <t xml:space="preserve">OM Parts</t>
  </si>
  <si>
    <t xml:space="preserve">Trailer Parts</t>
  </si>
  <si>
    <t xml:space="preserve">6.4 SWOT Analysis &amp; Action Plan</t>
  </si>
  <si>
    <t xml:space="preserve">SWOT Analysis</t>
  </si>
  <si>
    <t xml:space="preserve">Actions</t>
  </si>
  <si>
    <t xml:space="preserve">Capitalize on Strengths</t>
  </si>
  <si>
    <t xml:space="preserve">4. </t>
  </si>
  <si>
    <t xml:space="preserve">5. </t>
  </si>
  <si>
    <t xml:space="preserve">7. </t>
  </si>
  <si>
    <t xml:space="preserve">10. 
</t>
  </si>
  <si>
    <t xml:space="preserve">Adress Weaknesses</t>
  </si>
  <si>
    <t xml:space="preserve">Opportunities</t>
  </si>
  <si>
    <t xml:space="preserve">Maximize Opportunities</t>
  </si>
  <si>
    <t xml:space="preserve">Threats</t>
  </si>
  <si>
    <t xml:space="preserve">Minimize Threats </t>
  </si>
  <si>
    <t xml:space="preserve">Financial Business Plan</t>
  </si>
  <si>
    <t xml:space="preserve">7.1 Dealer Area Analysis</t>
  </si>
  <si>
    <t xml:space="preserve">Currency : </t>
  </si>
  <si>
    <t xml:space="preserve">1. Market size dealer area</t>
  </si>
  <si>
    <t xml:space="preserve">Scenario</t>
  </si>
  <si>
    <t xml:space="preserve">6 - 15 ton</t>
  </si>
  <si>
    <t xml:space="preserve">   &gt; 15 ton</t>
  </si>
  <si>
    <t xml:space="preserve">2 Market share DAF</t>
  </si>
  <si>
    <t xml:space="preserve">2a Market share DAF</t>
  </si>
  <si>
    <t xml:space="preserve">3 DAF Volume</t>
  </si>
  <si>
    <t xml:space="preserve">3a Scenario DAF volume </t>
  </si>
  <si>
    <t xml:space="preserve">4. DAF volume mix </t>
  </si>
  <si>
    <t xml:space="preserve">Total 6 -15 ton</t>
  </si>
  <si>
    <t xml:space="preserve">Total &gt; 15 ton</t>
  </si>
  <si>
    <t xml:space="preserve">5. Fleet vs total DAF sales</t>
  </si>
  <si>
    <t xml:space="preserve">6. Running parc DAF </t>
  </si>
  <si>
    <t xml:space="preserve">Total parc</t>
  </si>
  <si>
    <t xml:space="preserve">7.2.1 Turnover Vehicles</t>
  </si>
  <si>
    <t xml:space="preserve">1. New DAF vehicles</t>
  </si>
  <si>
    <t xml:space="preserve">1.1.1 Average turnover per vehicle excluding bodies and VAT, but including assessories</t>
  </si>
  <si>
    <t xml:space="preserve">Price increase</t>
  </si>
  <si>
    <t xml:space="preserve">1.1.2 Average turnover fleet sales per vehicle excluding bodies and VAT, but including assessories</t>
  </si>
  <si>
    <t xml:space="preserve">Price correction fleet sales</t>
  </si>
  <si>
    <t xml:space="preserve">(includes also correction on hours and accessories)</t>
  </si>
  <si>
    <t xml:space="preserve">1.2. Total turnover DAF vehicles</t>
  </si>
  <si>
    <t xml:space="preserve">Turnover New</t>
  </si>
  <si>
    <t xml:space="preserve">2.Used trucks</t>
  </si>
  <si>
    <t xml:space="preserve">2.1 Average sales price</t>
  </si>
  <si>
    <t xml:space="preserve">Average sales price</t>
  </si>
  <si>
    <t xml:space="preserve">2.1 Turnover</t>
  </si>
  <si>
    <t xml:space="preserve">Turnover 6 - 15t</t>
  </si>
  <si>
    <t xml:space="preserve">Turnover &gt; 15t</t>
  </si>
  <si>
    <t xml:space="preserve">Turnover Used Trucks</t>
  </si>
  <si>
    <t xml:space="preserve">2.2 Stock Used Trucks</t>
  </si>
  <si>
    <t xml:space="preserve">Closing stock in units</t>
  </si>
  <si>
    <t xml:space="preserve">(-) Initial stock at cost price</t>
  </si>
  <si>
    <t xml:space="preserve">(+) Closing stock at cost price</t>
  </si>
  <si>
    <t xml:space="preserve">= change in stock</t>
  </si>
  <si>
    <t xml:space="preserve">3. Turnover other products</t>
  </si>
  <si>
    <t xml:space="preserve">Number of trailers</t>
  </si>
  <si>
    <t xml:space="preserve">Average sales price per vehicle </t>
  </si>
  <si>
    <t xml:space="preserve">Turnover trailer</t>
  </si>
  <si>
    <t xml:space="preserve">Number of vans</t>
  </si>
  <si>
    <t xml:space="preserve">Turnover vans</t>
  </si>
  <si>
    <t xml:space="preserve">Number of bodies</t>
  </si>
  <si>
    <t xml:space="preserve">Average sales price per body</t>
  </si>
  <si>
    <t xml:space="preserve">Turnover bodies</t>
  </si>
  <si>
    <t xml:space="preserve">Turnover other products</t>
  </si>
  <si>
    <t xml:space="preserve">Total turnover vehicles</t>
  </si>
  <si>
    <t xml:space="preserve">4. Decision required number of salesmen</t>
  </si>
  <si>
    <t xml:space="preserve">1. DAF</t>
  </si>
  <si>
    <t xml:space="preserve">    Avg. volume per year per salesman</t>
  </si>
  <si>
    <t xml:space="preserve">    Required salesmen</t>
  </si>
  <si>
    <t xml:space="preserve">    Decision number of salesmen</t>
  </si>
  <si>
    <t xml:space="preserve">2. Used trucks</t>
  </si>
  <si>
    <t xml:space="preserve">3. Other products</t>
  </si>
  <si>
    <t xml:space="preserve">4. Administration &amp; other</t>
  </si>
  <si>
    <t xml:space="preserve">5. Sales manager</t>
  </si>
  <si>
    <t xml:space="preserve">Total number</t>
  </si>
  <si>
    <t xml:space="preserve">7.2.2 Turnover Parts</t>
  </si>
  <si>
    <t xml:space="preserve">1. Potential parts consumption on DAF vehicles </t>
  </si>
  <si>
    <t xml:space="preserve">Annual price increase DAF parts</t>
  </si>
  <si>
    <r>
      <rPr>
        <b val="true"/>
        <sz val="10"/>
        <rFont val="Trebuchet MS"/>
        <family val="2"/>
        <charset val="1"/>
      </rPr>
      <t xml:space="preserve">Vehicle Parc Standstill % </t>
    </r>
    <r>
      <rPr>
        <sz val="8"/>
        <rFont val="Trebuchet MS"/>
        <family val="2"/>
        <charset val="1"/>
      </rPr>
      <t xml:space="preserve">(input in 5.1)</t>
    </r>
  </si>
  <si>
    <t xml:space="preserve">Maximum years vehicle in potential</t>
  </si>
  <si>
    <t xml:space="preserve">Potential based on parc</t>
  </si>
  <si>
    <t xml:space="preserve">2.1 Total parts turnover (after discount)</t>
  </si>
  <si>
    <t xml:space="preserve">Parts retention DAF vehicles</t>
  </si>
  <si>
    <t xml:space="preserve">Parts turnover DAF</t>
  </si>
  <si>
    <t xml:space="preserve">Parts turnover other activities</t>
  </si>
  <si>
    <t xml:space="preserve">Oil and lubricants</t>
  </si>
  <si>
    <t xml:space="preserve">2.2 Preparation new and used trucks (internal invoiced parts as part of the total invoiced parts)</t>
  </si>
  <si>
    <t xml:space="preserve">Consumption</t>
  </si>
  <si>
    <t xml:space="preserve">per vehicle</t>
  </si>
  <si>
    <t xml:space="preserve">Parts new trucks</t>
  </si>
  <si>
    <t xml:space="preserve">Parts used trucks</t>
  </si>
  <si>
    <t xml:space="preserve">2.3 Split total parts turnover over counter and workshop </t>
  </si>
  <si>
    <t xml:space="preserve">Workshop sales as part of:</t>
  </si>
  <si>
    <t xml:space="preserve">Parts turnover on DAF vehicles</t>
  </si>
  <si>
    <t xml:space="preserve">Parts turnover other makes</t>
  </si>
  <si>
    <t xml:space="preserve">Turnover</t>
  </si>
  <si>
    <t xml:space="preserve">Workshop DAF vehicles</t>
  </si>
  <si>
    <t xml:space="preserve">Workshop other makes</t>
  </si>
  <si>
    <t xml:space="preserve">Total workshop</t>
  </si>
  <si>
    <t xml:space="preserve">% Counter DAF vehicles to spokes</t>
  </si>
  <si>
    <t xml:space="preserve">Counter DAF vehicles to spokes</t>
  </si>
  <si>
    <t xml:space="preserve">Counter DAF vehicles to others</t>
  </si>
  <si>
    <t xml:space="preserve">Counter other activities</t>
  </si>
  <si>
    <t xml:space="preserve">Total counter</t>
  </si>
  <si>
    <t xml:space="preserve">3. Decision required number of parts personnel</t>
  </si>
  <si>
    <t xml:space="preserve">Turnover per person</t>
  </si>
  <si>
    <t xml:space="preserve">Required number of parts personnel</t>
  </si>
  <si>
    <t xml:space="preserve">Warehouse clerks </t>
  </si>
  <si>
    <t xml:space="preserve">Administration, drivers and reception</t>
  </si>
  <si>
    <t xml:space="preserve">Parts sales managers</t>
  </si>
  <si>
    <t xml:space="preserve">Parts manager</t>
  </si>
  <si>
    <t xml:space="preserve">Total parts personnel</t>
  </si>
  <si>
    <t xml:space="preserve">4. Parts stock</t>
  </si>
  <si>
    <t xml:space="preserve">4.1. Stock rotation</t>
  </si>
  <si>
    <t xml:space="preserve">Parts turnover / Parts stock </t>
  </si>
  <si>
    <t xml:space="preserve">Stock rotation months</t>
  </si>
  <si>
    <t xml:space="preserve">Parts stock at sales price</t>
  </si>
  <si>
    <t xml:space="preserve">4.2. Change in stock at purchase price (based on sales price)</t>
  </si>
  <si>
    <t xml:space="preserve">Weighted avg</t>
  </si>
  <si>
    <t xml:space="preserve">gross margin</t>
  </si>
  <si>
    <t xml:space="preserve">(-)  Initial stock</t>
  </si>
  <si>
    <t xml:space="preserve">(+)  Closing stock</t>
  </si>
  <si>
    <t xml:space="preserve">= Change in stock</t>
  </si>
  <si>
    <t xml:space="preserve">4.3. Purchases during year</t>
  </si>
  <si>
    <t xml:space="preserve">Purchases</t>
  </si>
  <si>
    <t xml:space="preserve">7.2.3 Turnover Service &amp; Bodyshop</t>
  </si>
  <si>
    <t xml:space="preserve">1. Potential workshop hours consumption on DAF vehicles </t>
  </si>
  <si>
    <t xml:space="preserve">% to be serviced by spokes</t>
  </si>
  <si>
    <t xml:space="preserve">Potential for dealer</t>
  </si>
  <si>
    <t xml:space="preserve">2.1.1 Total hours </t>
  </si>
  <si>
    <t xml:space="preserve">Service retention DAF vehicles</t>
  </si>
  <si>
    <t xml:space="preserve">Number of hours DAF</t>
  </si>
  <si>
    <t xml:space="preserve">Number of hours other activities</t>
  </si>
  <si>
    <t xml:space="preserve">Total number of invoiced hours</t>
  </si>
  <si>
    <t xml:space="preserve">2.2 Preparation new and used trucks (internal invoiced hours as part of the total invoiced hours)</t>
  </si>
  <si>
    <t xml:space="preserve">Hours new</t>
  </si>
  <si>
    <t xml:space="preserve">Hours used</t>
  </si>
  <si>
    <t xml:space="preserve">3. Total turnover hours</t>
  </si>
  <si>
    <t xml:space="preserve">Annual tariff indexation</t>
  </si>
  <si>
    <t xml:space="preserve">Hour tariffs:</t>
  </si>
  <si>
    <t xml:space="preserve">DAF service (external invoicing)</t>
  </si>
  <si>
    <t xml:space="preserve">Preparation trucks (internal invoicing)</t>
  </si>
  <si>
    <t xml:space="preserve">Other activities</t>
  </si>
  <si>
    <t xml:space="preserve">Turnover:</t>
  </si>
  <si>
    <t xml:space="preserve">DAF service </t>
  </si>
  <si>
    <t xml:space="preserve">Preparation new trucks </t>
  </si>
  <si>
    <t xml:space="preserve">Preparation used trucks </t>
  </si>
  <si>
    <t xml:space="preserve">Total turnover hours</t>
  </si>
  <si>
    <t xml:space="preserve">4. Outsourced workshop activities</t>
  </si>
  <si>
    <t xml:space="preserve">Body &amp; paint</t>
  </si>
  <si>
    <t xml:space="preserve">Other 1</t>
  </si>
  <si>
    <t xml:space="preserve">Other 2</t>
  </si>
  <si>
    <t xml:space="preserve">5.1 Required number of mechanics</t>
  </si>
  <si>
    <t xml:space="preserve">Hours per mechanic</t>
  </si>
  <si>
    <t xml:space="preserve">Efficiency </t>
  </si>
  <si>
    <t xml:space="preserve">Productive hours</t>
  </si>
  <si>
    <t xml:space="preserve">Mechanics DAF</t>
  </si>
  <si>
    <t xml:space="preserve">Mechanics other activities</t>
  </si>
  <si>
    <t xml:space="preserve">5.2 Decision number of mechanics</t>
  </si>
  <si>
    <t xml:space="preserve">Other activities (used, trailers, bodies,…)</t>
  </si>
  <si>
    <t xml:space="preserve">Workshop managers </t>
  </si>
  <si>
    <t xml:space="preserve">Administration &amp; other</t>
  </si>
  <si>
    <t xml:space="preserve">7.3 Cost of Sales</t>
  </si>
  <si>
    <t xml:space="preserve">1. Vehicles </t>
  </si>
  <si>
    <t xml:space="preserve">1.1. New : Gross margin (of turnover) &amp; average purchase cost per vehicle excluding accessories &amp; bodies mounted by dealer</t>
  </si>
  <si>
    <t xml:space="preserve">1. Retail</t>
  </si>
  <si>
    <t xml:space="preserve">Gross margin</t>
  </si>
  <si>
    <t xml:space="preserve">2. Fleet</t>
  </si>
  <si>
    <t xml:space="preserve">1.2. Used: Gross margin (of turnover) &amp; average purchase cost per vehicle</t>
  </si>
  <si>
    <t xml:space="preserve">Price per vehicle</t>
  </si>
  <si>
    <t xml:space="preserve">1.3. Other: Gross margin (of turnover) &amp; purchase costs</t>
  </si>
  <si>
    <t xml:space="preserve">Total other</t>
  </si>
  <si>
    <t xml:space="preserve">1.4. Total cost of sales vehicles</t>
  </si>
  <si>
    <t xml:space="preserve">New retail</t>
  </si>
  <si>
    <t xml:space="preserve">New fleet</t>
  </si>
  <si>
    <t xml:space="preserve">Used</t>
  </si>
  <si>
    <t xml:space="preserve">Total </t>
  </si>
  <si>
    <t xml:space="preserve">1.5. Annual bonus, DAF and other activities</t>
  </si>
  <si>
    <t xml:space="preserve">Average bonus</t>
  </si>
  <si>
    <t xml:space="preserve">percentage</t>
  </si>
  <si>
    <t xml:space="preserve">DAF retail</t>
  </si>
  <si>
    <t xml:space="preserve">other activities</t>
  </si>
  <si>
    <t xml:space="preserve">2. Parts</t>
  </si>
  <si>
    <t xml:space="preserve">2.1. Gross margin (after discount given to the customer) and purchase costs parts (excluding bonus)</t>
  </si>
  <si>
    <t xml:space="preserve">Workshop DAF</t>
  </si>
  <si>
    <t xml:space="preserve">Workshop other activities</t>
  </si>
  <si>
    <t xml:space="preserve">Preparation new</t>
  </si>
  <si>
    <t xml:space="preserve">Preparation used</t>
  </si>
  <si>
    <t xml:space="preserve">Counter DAF to spokes</t>
  </si>
  <si>
    <t xml:space="preserve">Counter DAF to others</t>
  </si>
  <si>
    <t xml:space="preserve">Counter other activ.</t>
  </si>
  <si>
    <t xml:space="preserve">Oil &amp; lubricants</t>
  </si>
  <si>
    <t xml:space="preserve">Weighted average margin DAF parts</t>
  </si>
  <si>
    <t xml:space="preserve">2.2. Annual bonus DAF and other activities</t>
  </si>
  <si>
    <t xml:space="preserve">Stock order percentage DAF</t>
  </si>
  <si>
    <t xml:space="preserve">DAF parts</t>
  </si>
  <si>
    <t xml:space="preserve">3. Outsourced workshop activities: gross margin (of turnover) &amp; cost of sales</t>
  </si>
  <si>
    <t xml:space="preserve">4. Total cost of sales (vehicles &amp; parts)</t>
  </si>
  <si>
    <t xml:space="preserve">Vehicles</t>
  </si>
  <si>
    <t xml:space="preserve">Outsourced workshop activities</t>
  </si>
  <si>
    <t xml:space="preserve">Bonus vehicles</t>
  </si>
  <si>
    <t xml:space="preserve">Bonus parts</t>
  </si>
  <si>
    <t xml:space="preserve">7.4.1 Salaries &amp; wages</t>
  </si>
  <si>
    <t xml:space="preserve">1. Number of personnel</t>
  </si>
  <si>
    <t xml:space="preserve">1.1    Dealer principal</t>
  </si>
  <si>
    <t xml:space="preserve">1.2    Controller</t>
  </si>
  <si>
    <t xml:space="preserve">1.3    General &amp; administration</t>
  </si>
  <si>
    <t xml:space="preserve">1.4    After sales manager</t>
  </si>
  <si>
    <t xml:space="preserve">1.5    Sales Manager</t>
  </si>
  <si>
    <t xml:space="preserve">1.6    Salesmen</t>
  </si>
  <si>
    <t xml:space="preserve">1.7    Sales administration &amp; other</t>
  </si>
  <si>
    <t xml:space="preserve">1.8    Mechanics DAF </t>
  </si>
  <si>
    <t xml:space="preserve">1.9    Mechanics other activities</t>
  </si>
  <si>
    <t xml:space="preserve">1.10  Workshop administration &amp; other</t>
  </si>
  <si>
    <t xml:space="preserve">1.11  Workshop managers</t>
  </si>
  <si>
    <t xml:space="preserve">1.12  Warehouse clerks</t>
  </si>
  <si>
    <t xml:space="preserve">1.13  Warehouse administration &amp; other</t>
  </si>
  <si>
    <t xml:space="preserve">1.14  Parts sales manager</t>
  </si>
  <si>
    <t xml:space="preserve">1.15  Parts manager</t>
  </si>
  <si>
    <t xml:space="preserve">Total personnel</t>
  </si>
  <si>
    <t xml:space="preserve">2. Annual personnel cost</t>
  </si>
  <si>
    <t xml:space="preserve">Yearly indexation</t>
  </si>
  <si>
    <t xml:space="preserve">2.1. Dealer principal</t>
  </si>
  <si>
    <t xml:space="preserve">1. Average gross salary</t>
  </si>
  <si>
    <t xml:space="preserve">2. Social security and taxes employer</t>
  </si>
  <si>
    <t xml:space="preserve">3. Other</t>
  </si>
  <si>
    <t xml:space="preserve">Total cost</t>
  </si>
  <si>
    <t xml:space="preserve">Number </t>
  </si>
  <si>
    <t xml:space="preserve">2.2. Controller</t>
  </si>
  <si>
    <t xml:space="preserve">2.3. General &amp; administration</t>
  </si>
  <si>
    <t xml:space="preserve">2.4. After sales manager</t>
  </si>
  <si>
    <t xml:space="preserve">2.5. Sales manager</t>
  </si>
  <si>
    <t xml:space="preserve">2.6. Salesmen</t>
  </si>
  <si>
    <t xml:space="preserve">     Fixed</t>
  </si>
  <si>
    <t xml:space="preserve">     Variable </t>
  </si>
  <si>
    <t xml:space="preserve">3. Other </t>
  </si>
  <si>
    <t xml:space="preserve">2.7. Sales administration &amp; other</t>
  </si>
  <si>
    <t xml:space="preserve">2.8. Mechanics DAF</t>
  </si>
  <si>
    <t xml:space="preserve">2.9. Mechanics other activities</t>
  </si>
  <si>
    <t xml:space="preserve">2.10. Workshop administration &amp; other</t>
  </si>
  <si>
    <t xml:space="preserve">2.11. Workshop managers</t>
  </si>
  <si>
    <t xml:space="preserve">2.12. Warehouse clerks</t>
  </si>
  <si>
    <t xml:space="preserve">2.13. Warehouse administration &amp; other</t>
  </si>
  <si>
    <t xml:space="preserve">2.14. Parts sales manager</t>
  </si>
  <si>
    <t xml:space="preserve">2.15. Parts manager</t>
  </si>
  <si>
    <t xml:space="preserve">Total cost of personnel</t>
  </si>
  <si>
    <t xml:space="preserve">7.4.2 Selling &amp; Operating Expenses</t>
  </si>
  <si>
    <t xml:space="preserve">1.1 Selling Expenses</t>
  </si>
  <si>
    <t xml:space="preserve">Annual indexation</t>
  </si>
  <si>
    <t xml:space="preserve">Policy expense (coulances,…)</t>
  </si>
  <si>
    <t xml:space="preserve">1.2 Operating Expenses</t>
  </si>
  <si>
    <t xml:space="preserve">Company vehicles </t>
  </si>
  <si>
    <t xml:space="preserve">Company cars</t>
  </si>
  <si>
    <t xml:space="preserve">Office supplies</t>
  </si>
  <si>
    <t xml:space="preserve">Other supply (tools,…)</t>
  </si>
  <si>
    <t xml:space="preserve">Energy</t>
  </si>
  <si>
    <t xml:space="preserve">Sales promotion &amp; advertising </t>
  </si>
  <si>
    <t xml:space="preserve">Computer expenses</t>
  </si>
  <si>
    <t xml:space="preserve">Travel &amp; subsistance</t>
  </si>
  <si>
    <t xml:space="preserve">Outsourced services (bookkeeping, …)</t>
  </si>
  <si>
    <t xml:space="preserve">Communication</t>
  </si>
  <si>
    <t xml:space="preserve">Repair &amp; maintenance assets</t>
  </si>
  <si>
    <t xml:space="preserve">Demonstration vehicles </t>
  </si>
  <si>
    <t xml:space="preserve">Consultancy</t>
  </si>
  <si>
    <t xml:space="preserve">Rent </t>
  </si>
  <si>
    <t xml:space="preserve">Taxes (real estate, environment,…)</t>
  </si>
  <si>
    <t xml:space="preserve">Insurance</t>
  </si>
  <si>
    <t xml:space="preserve">Miscellaneous</t>
  </si>
  <si>
    <t xml:space="preserve">Total operating expenses</t>
  </si>
  <si>
    <t xml:space="preserve">Scenario </t>
  </si>
  <si>
    <t xml:space="preserve">2.1 Allocation of selling expenses to activities</t>
  </si>
  <si>
    <t xml:space="preserve">Suggested allocation keys</t>
  </si>
  <si>
    <t xml:space="preserve">new</t>
  </si>
  <si>
    <t xml:space="preserve">used</t>
  </si>
  <si>
    <t xml:space="preserve">other</t>
  </si>
  <si>
    <t xml:space="preserve">parts</t>
  </si>
  <si>
    <t xml:space="preserve">service</t>
  </si>
  <si>
    <t xml:space="preserve">Admin.</t>
  </si>
  <si>
    <t xml:space="preserve">Selling expense (coulances,…)</t>
  </si>
  <si>
    <t xml:space="preserve">2.2 Allocation of operating expenses to activities</t>
  </si>
  <si>
    <t xml:space="preserve">Gen. &amp;</t>
  </si>
  <si>
    <t xml:space="preserve">number of vehicles</t>
  </si>
  <si>
    <t xml:space="preserve">number of cars</t>
  </si>
  <si>
    <t xml:space="preserve">number of desks</t>
  </si>
  <si>
    <t xml:space="preserve">usage</t>
  </si>
  <si>
    <t xml:space="preserve">turnover</t>
  </si>
  <si>
    <t xml:space="preserve">number of screens</t>
  </si>
  <si>
    <t xml:space="preserve">Outsourced services</t>
  </si>
  <si>
    <t xml:space="preserve">number of connections</t>
  </si>
  <si>
    <t xml:space="preserve">Demonstration vehicles</t>
  </si>
  <si>
    <t xml:space="preserve">7.4.3 Investments, Depreciations and Provisions</t>
  </si>
  <si>
    <t xml:space="preserve">1. Fixed assets already on balance sheet of existing dealer before start basis year (to be skipped for new dealers)</t>
  </si>
  <si>
    <t xml:space="preserve">1.1 Fixed asset value at beginning of basis year and desinvestments over years after, excluding depreciations</t>
  </si>
  <si>
    <t xml:space="preserve">a. Intangible fixed assets</t>
  </si>
  <si>
    <t xml:space="preserve">b. Tangible fixed assets</t>
  </si>
  <si>
    <t xml:space="preserve">     Land</t>
  </si>
  <si>
    <t xml:space="preserve">     Building</t>
  </si>
  <si>
    <t xml:space="preserve">     Installations &amp; equipment</t>
  </si>
  <si>
    <t xml:space="preserve">     Computers</t>
  </si>
  <si>
    <t xml:space="preserve">A. Intangible fixed assets</t>
  </si>
  <si>
    <t xml:space="preserve">     Furniture &amp; fixtures</t>
  </si>
  <si>
    <t xml:space="preserve">Depreciations</t>
  </si>
  <si>
    <t xml:space="preserve">     Vehicles</t>
  </si>
  <si>
    <t xml:space="preserve">     Demonstration vehicles</t>
  </si>
  <si>
    <t xml:space="preserve">     Other </t>
  </si>
  <si>
    <t xml:space="preserve">     Total tangible fixed assets</t>
  </si>
  <si>
    <t xml:space="preserve">c. Financial fixed assets</t>
  </si>
  <si>
    <t xml:space="preserve">Total fixed assets</t>
  </si>
  <si>
    <t xml:space="preserve">Total depr.</t>
  </si>
  <si>
    <t xml:space="preserve">1.2 Depreciations on the fixed assets which were already on the balance sheet before the basisyear</t>
  </si>
  <si>
    <t xml:space="preserve">B. Tangible fixed assets</t>
  </si>
  <si>
    <t xml:space="preserve">Investments</t>
  </si>
  <si>
    <t xml:space="preserve">years</t>
  </si>
  <si>
    <t xml:space="preserve">     Installations  &amp; Equipment</t>
  </si>
  <si>
    <t xml:space="preserve">Total depreciations</t>
  </si>
  <si>
    <t xml:space="preserve">1. Fixed asset value plus Investments and desinvestments over period</t>
  </si>
  <si>
    <t xml:space="preserve">opening</t>
  </si>
  <si>
    <t xml:space="preserve">balance</t>
  </si>
  <si>
    <t xml:space="preserve">    Start up costs</t>
  </si>
  <si>
    <t xml:space="preserve">    Goodwill</t>
  </si>
  <si>
    <t xml:space="preserve">    Other</t>
  </si>
  <si>
    <t xml:space="preserve">    Total intangible assets</t>
  </si>
  <si>
    <t xml:space="preserve">b.  Tangible fixed assets  </t>
  </si>
  <si>
    <t xml:space="preserve">     Participations</t>
  </si>
  <si>
    <t xml:space="preserve">d. Change in inventory</t>
  </si>
  <si>
    <t xml:space="preserve">    Parts stock, new or existing dealer</t>
  </si>
  <si>
    <t xml:space="preserve">    Used trucks stock, new or existing dealer</t>
  </si>
  <si>
    <t xml:space="preserve">Total depr. </t>
  </si>
  <si>
    <t xml:space="preserve">Total investments </t>
  </si>
  <si>
    <t xml:space="preserve">2. Depreciations on fixed assets</t>
  </si>
  <si>
    <t xml:space="preserve">annual</t>
  </si>
  <si>
    <t xml:space="preserve">depreciations</t>
  </si>
  <si>
    <t xml:space="preserve">depreciation</t>
  </si>
  <si>
    <t xml:space="preserve">YTD</t>
  </si>
  <si>
    <t xml:space="preserve">amount</t>
  </si>
  <si>
    <t xml:space="preserve">     Installations  &amp; equipment</t>
  </si>
  <si>
    <t xml:space="preserve">4. Total depreciations on assets </t>
  </si>
  <si>
    <t xml:space="preserve">3. Amortization &amp; Provisions for risks and costs</t>
  </si>
  <si>
    <t xml:space="preserve">Inventory</t>
  </si>
  <si>
    <t xml:space="preserve">    Stock new trucks</t>
  </si>
  <si>
    <t xml:space="preserve">    Stock used trucks</t>
  </si>
  <si>
    <t xml:space="preserve">    Stock used other</t>
  </si>
  <si>
    <t xml:space="preserve">    Stock parts</t>
  </si>
  <si>
    <t xml:space="preserve">    Receivables</t>
  </si>
  <si>
    <t xml:space="preserve">Provisions</t>
  </si>
  <si>
    <t xml:space="preserve">7.5.1 Financial Income: Requirements</t>
  </si>
  <si>
    <t xml:space="preserve">1. Long term requirements (after depreciations)</t>
  </si>
  <si>
    <t xml:space="preserve">Intangible fixed assets</t>
  </si>
  <si>
    <t xml:space="preserve">Tangible fixed assets</t>
  </si>
  <si>
    <t xml:space="preserve">Financial fixed assets</t>
  </si>
  <si>
    <t xml:space="preserve">Initial stock parts</t>
  </si>
  <si>
    <t xml:space="preserve">Initial stock used trucks</t>
  </si>
  <si>
    <t xml:space="preserve">2. Short term requirements (after depreciations)</t>
  </si>
  <si>
    <t xml:space="preserve">2.1. Trade receivables </t>
  </si>
  <si>
    <t xml:space="preserve">Actual Days of Sales</t>
  </si>
  <si>
    <t xml:space="preserve">Outstanding</t>
  </si>
  <si>
    <t xml:space="preserve">DSO</t>
  </si>
  <si>
    <t xml:space="preserve">Vehicles new</t>
  </si>
  <si>
    <t xml:space="preserve">Vehicles used</t>
  </si>
  <si>
    <t xml:space="preserve">Other products</t>
  </si>
  <si>
    <t xml:space="preserve">Workshop DAF </t>
  </si>
  <si>
    <t xml:space="preserve">Parts counter DAF</t>
  </si>
  <si>
    <t xml:space="preserve">Parts counter other activities</t>
  </si>
  <si>
    <t xml:space="preserve">Provision bad debts</t>
  </si>
  <si>
    <t xml:space="preserve">2.2. Inventories</t>
  </si>
  <si>
    <t xml:space="preserve">Days On Hand</t>
  </si>
  <si>
    <t xml:space="preserve">DOH</t>
  </si>
  <si>
    <t xml:space="preserve">New trucks </t>
  </si>
  <si>
    <t xml:space="preserve">Other products+WIP</t>
  </si>
  <si>
    <t xml:space="preserve">Change in stock parts</t>
  </si>
  <si>
    <t xml:space="preserve">Change in stock used trucks</t>
  </si>
  <si>
    <t xml:space="preserve">2.3. Trade payables</t>
  </si>
  <si>
    <t xml:space="preserve">Days of Payables </t>
  </si>
  <si>
    <t xml:space="preserve">DPO</t>
  </si>
  <si>
    <t xml:space="preserve">Expenses</t>
  </si>
  <si>
    <t xml:space="preserve">Total trade payables</t>
  </si>
  <si>
    <t xml:space="preserve">2.4.  VAT on investments (and part of the outstanding amounts to be paid)</t>
  </si>
  <si>
    <t xml:space="preserve">Standard payment term in days</t>
  </si>
  <si>
    <t xml:space="preserve">days</t>
  </si>
  <si>
    <t xml:space="preserve">VAT on tangible fixed assets</t>
  </si>
  <si>
    <t xml:space="preserve">2.5. Total Short Term requirements</t>
  </si>
  <si>
    <t xml:space="preserve">Inventory (+)</t>
  </si>
  <si>
    <t xml:space="preserve">Total trade receivables (+)</t>
  </si>
  <si>
    <t xml:space="preserve">Total trade payables (-)</t>
  </si>
  <si>
    <t xml:space="preserve">VAT on investments (-)</t>
  </si>
  <si>
    <t xml:space="preserve">VAT balance</t>
  </si>
  <si>
    <t xml:space="preserve">Cash (+)</t>
  </si>
  <si>
    <t xml:space="preserve">Dividends</t>
  </si>
  <si>
    <t xml:space="preserve">Short term requirements</t>
  </si>
  <si>
    <t xml:space="preserve">Available short term means</t>
  </si>
  <si>
    <t xml:space="preserve">Total requirements (LT +ST)</t>
  </si>
  <si>
    <t xml:space="preserve">7.5.2 Financial Income &amp; Expenses</t>
  </si>
  <si>
    <t xml:space="preserve">new dealers only</t>
  </si>
  <si>
    <t xml:space="preserve">1. Summary funding requirements</t>
  </si>
  <si>
    <t xml:space="preserve">LT- Requirements</t>
  </si>
  <si>
    <t xml:space="preserve">ST- Requirements</t>
  </si>
  <si>
    <t xml:space="preserve">2. Long term funding</t>
  </si>
  <si>
    <t xml:space="preserve">2.1. Equity &amp; associated means</t>
  </si>
  <si>
    <t xml:space="preserve">1. Paid-in capital </t>
  </si>
  <si>
    <t xml:space="preserve">2. Increase in capital</t>
  </si>
  <si>
    <t xml:space="preserve">3. Reserves </t>
  </si>
  <si>
    <t xml:space="preserve">4. Revaluation reserves</t>
  </si>
  <si>
    <t xml:space="preserve">5. Retained earnings previous years</t>
  </si>
  <si>
    <t xml:space="preserve">6. Result in latest year</t>
  </si>
  <si>
    <t xml:space="preserve">7. Subordinated loans (to all creditors)</t>
  </si>
  <si>
    <t xml:space="preserve">Total equity  &amp; associated means</t>
  </si>
  <si>
    <t xml:space="preserve">2.2. Long term funding (&gt;= 1 Year)</t>
  </si>
  <si>
    <t xml:space="preserve">a. Long term debt structure</t>
  </si>
  <si>
    <t xml:space="preserve">Years</t>
  </si>
  <si>
    <t xml:space="preserve">Amount</t>
  </si>
  <si>
    <t xml:space="preserve">Opening or previous years</t>
  </si>
  <si>
    <t xml:space="preserve">Subordinated loans (to bank)</t>
  </si>
  <si>
    <t xml:space="preserve">Long term funding</t>
  </si>
  <si>
    <t xml:space="preserve">Excess </t>
  </si>
  <si>
    <t xml:space="preserve">3. Short term funding </t>
  </si>
  <si>
    <t xml:space="preserve">3.1. Percentage of inventory financing</t>
  </si>
  <si>
    <t xml:space="preserve">New trucks</t>
  </si>
  <si>
    <t xml:space="preserve">Other trucks</t>
  </si>
  <si>
    <t xml:space="preserve">3.2. Short term debt structure</t>
  </si>
  <si>
    <t xml:space="preserve">ST requirements</t>
  </si>
  <si>
    <t xml:space="preserve">Financial need (-) or surplus (+) on long term</t>
  </si>
  <si>
    <t xml:space="preserve">Truck inventory financing</t>
  </si>
  <si>
    <t xml:space="preserve">Total short term financing </t>
  </si>
  <si>
    <t xml:space="preserve">Cash surplus</t>
  </si>
  <si>
    <t xml:space="preserve">4. Financial Expenses</t>
  </si>
  <si>
    <t xml:space="preserve">average </t>
  </si>
  <si>
    <t xml:space="preserve">interest rate</t>
  </si>
  <si>
    <t xml:space="preserve">interest</t>
  </si>
  <si>
    <t xml:space="preserve">ST loans</t>
  </si>
  <si>
    <t xml:space="preserve">LT loans</t>
  </si>
  <si>
    <t xml:space="preserve">Subordinated loans</t>
  </si>
  <si>
    <t xml:space="preserve">Total financial expenses</t>
  </si>
  <si>
    <t xml:space="preserve">5. Financial Income</t>
  </si>
  <si>
    <t xml:space="preserve">Total financial income</t>
  </si>
  <si>
    <t xml:space="preserve">7.5.3 VAT</t>
  </si>
  <si>
    <t xml:space="preserve">1.VAT general</t>
  </si>
  <si>
    <t xml:space="preserve">VAT tariff</t>
  </si>
  <si>
    <t xml:space="preserve">Number of days between two VAT declarations</t>
  </si>
  <si>
    <t xml:space="preserve">Number of days after VAT declaration</t>
  </si>
  <si>
    <t xml:space="preserve">   of payment VAT to VAT authorities</t>
  </si>
  <si>
    <t xml:space="preserve">   of receiption VAT from VAT authorities</t>
  </si>
  <si>
    <r>
      <rPr>
        <b val="true"/>
        <sz val="14"/>
        <rFont val="Trebuchet MS"/>
        <family val="2"/>
        <charset val="1"/>
      </rPr>
      <t xml:space="preserve">2.VAT received from customers </t>
    </r>
    <r>
      <rPr>
        <sz val="14"/>
        <rFont val="Trebuchet MS"/>
        <family val="2"/>
        <charset val="1"/>
      </rPr>
      <t xml:space="preserve">(to pay to VAT authorities)</t>
    </r>
  </si>
  <si>
    <t xml:space="preserve">Days</t>
  </si>
  <si>
    <t xml:space="preserve">Parts counter DAF to spokes</t>
  </si>
  <si>
    <t xml:space="preserve">Parts counter DAF to others</t>
  </si>
  <si>
    <t xml:space="preserve">Total received and to be paid</t>
  </si>
  <si>
    <r>
      <rPr>
        <b val="true"/>
        <sz val="14"/>
        <rFont val="Trebuchet MS"/>
        <family val="2"/>
        <charset val="1"/>
      </rPr>
      <t xml:space="preserve">3. VAT paid </t>
    </r>
    <r>
      <rPr>
        <sz val="14"/>
        <rFont val="Trebuchet MS"/>
        <family val="2"/>
        <charset val="1"/>
      </rPr>
      <t xml:space="preserve">(to recover from VAT authorities)</t>
    </r>
  </si>
  <si>
    <t xml:space="preserve">A. Investments</t>
  </si>
  <si>
    <t xml:space="preserve">Land</t>
  </si>
  <si>
    <t xml:space="preserve">Building</t>
  </si>
  <si>
    <t xml:space="preserve">Installations &amp; equipment</t>
  </si>
  <si>
    <t xml:space="preserve">Computers</t>
  </si>
  <si>
    <t xml:space="preserve">Furniture &amp; fixtures</t>
  </si>
  <si>
    <t xml:space="preserve">Vehicles </t>
  </si>
  <si>
    <t xml:space="preserve">Other </t>
  </si>
  <si>
    <t xml:space="preserve">B. Purchases</t>
  </si>
  <si>
    <t xml:space="preserve">Parts DAF</t>
  </si>
  <si>
    <t xml:space="preserve">Parts other activities</t>
  </si>
  <si>
    <t xml:space="preserve">C. Expenses (after corrections)(*)</t>
  </si>
  <si>
    <t xml:space="preserve">(*) corrections = rent of building, taxes and insurance</t>
  </si>
  <si>
    <t xml:space="preserve">Total paid and to be recovered</t>
  </si>
  <si>
    <t xml:space="preserve">4. VAT balance</t>
  </si>
  <si>
    <t xml:space="preserve">VAT to be paid (-) or to be recovered (+)</t>
  </si>
  <si>
    <t xml:space="preserve">7.6.1 Activity Contribution</t>
  </si>
  <si>
    <t xml:space="preserve">Year =</t>
  </si>
  <si>
    <t xml:space="preserve">New</t>
  </si>
  <si>
    <t xml:space="preserve">Gen. &amp; Admin.</t>
  </si>
  <si>
    <t xml:space="preserve">Total (incl. internal)</t>
  </si>
  <si>
    <t xml:space="preserve">TOTAL (excl. Internal)</t>
  </si>
  <si>
    <t xml:space="preserve">External</t>
  </si>
  <si>
    <t xml:space="preserve">     DAF</t>
  </si>
  <si>
    <t xml:space="preserve">     Other</t>
  </si>
  <si>
    <t xml:space="preserve">     Tyres</t>
  </si>
  <si>
    <t xml:space="preserve">     Oil &amp; Lubricants</t>
  </si>
  <si>
    <t xml:space="preserve">Internal</t>
  </si>
  <si>
    <t xml:space="preserve">Total turnover</t>
  </si>
  <si>
    <t xml:space="preserve">Cost of sales</t>
  </si>
  <si>
    <t xml:space="preserve">Salaries &amp; Wages</t>
  </si>
  <si>
    <t xml:space="preserve">Bonus supplier on sales</t>
  </si>
  <si>
    <t xml:space="preserve">Total Cost of Sales</t>
  </si>
  <si>
    <t xml:space="preserve">Gross Profit/Loss</t>
  </si>
  <si>
    <t xml:space="preserve">Selling expense</t>
  </si>
  <si>
    <t xml:space="preserve">Other Operating expenses</t>
  </si>
  <si>
    <t xml:space="preserve">Sales Promotion &amp; Adv.</t>
  </si>
  <si>
    <t xml:space="preserve">Travel &amp; Subsistance</t>
  </si>
  <si>
    <t xml:space="preserve">Outsourced services </t>
  </si>
  <si>
    <t xml:space="preserve">Repair &amp; Maintenance Assets</t>
  </si>
  <si>
    <t xml:space="preserve">Taxes (real estate, …)</t>
  </si>
  <si>
    <t xml:space="preserve">Total other operating expenses</t>
  </si>
  <si>
    <t xml:space="preserve">Depreciations &amp; Amortization</t>
  </si>
  <si>
    <t xml:space="preserve">Operating profit/loss per activity</t>
  </si>
  <si>
    <t xml:space="preserve">Interest cost ST loans</t>
  </si>
  <si>
    <t xml:space="preserve">Interest cost LT loans</t>
  </si>
  <si>
    <t xml:space="preserve">Interest cost subordinated loans</t>
  </si>
  <si>
    <t xml:space="preserve">Financial Expenses</t>
  </si>
  <si>
    <t xml:space="preserve">Financial Income</t>
  </si>
  <si>
    <t xml:space="preserve">Profit before tax &amp; ex-ord income/loss</t>
  </si>
  <si>
    <t xml:space="preserve">Year = </t>
  </si>
  <si>
    <t xml:space="preserve">Financial income</t>
  </si>
  <si>
    <t xml:space="preserve">7.6.2 Activity Analysis</t>
  </si>
  <si>
    <t xml:space="preserve">Margin </t>
  </si>
  <si>
    <t xml:space="preserve">Selling expenses</t>
  </si>
  <si>
    <t xml:space="preserve">Margin</t>
  </si>
  <si>
    <t xml:space="preserve">Profit/loss before tax &amp; extra-ord</t>
  </si>
  <si>
    <t xml:space="preserve">Subordinated loan</t>
  </si>
  <si>
    <t xml:space="preserve">7.7 Profit &amp; Loss Account</t>
  </si>
  <si>
    <t xml:space="preserve">Gross profit / loss</t>
  </si>
  <si>
    <t xml:space="preserve">Salaries and wages</t>
  </si>
  <si>
    <t xml:space="preserve">Other operating expenses</t>
  </si>
  <si>
    <t xml:space="preserve">Depreciation &amp; Amortization</t>
  </si>
  <si>
    <t xml:space="preserve">Operating profit / loss</t>
  </si>
  <si>
    <t xml:space="preserve">Financial income/expense</t>
  </si>
  <si>
    <t xml:space="preserve">Profit / loss before tax &amp; extra-ordinary income</t>
  </si>
  <si>
    <t xml:space="preserve">Extraordinary income</t>
  </si>
  <si>
    <t xml:space="preserve">Extraordinary costs</t>
  </si>
  <si>
    <t xml:space="preserve">Result R&amp;M contracts</t>
  </si>
  <si>
    <t xml:space="preserve">Profit / loss before tax</t>
  </si>
  <si>
    <t xml:space="preserve">Taxation</t>
  </si>
  <si>
    <t xml:space="preserve">Net profit / loss</t>
  </si>
  <si>
    <t xml:space="preserve">Changes in equity</t>
  </si>
  <si>
    <t xml:space="preserve">Reserves</t>
  </si>
  <si>
    <t xml:space="preserve">Dividends (*)</t>
  </si>
  <si>
    <t xml:space="preserve">Retained profit/loss</t>
  </si>
  <si>
    <t xml:space="preserve">(*) Funding implications</t>
  </si>
  <si>
    <t xml:space="preserve">7.9.2 Balance Sheet - Liabilities</t>
  </si>
  <si>
    <t xml:space="preserve">a. Equity</t>
  </si>
  <si>
    <t xml:space="preserve">Share capital</t>
  </si>
  <si>
    <t xml:space="preserve">Revaluation reserves</t>
  </si>
  <si>
    <t xml:space="preserve">Subordinated loans (subordinated to all creditors)</t>
  </si>
  <si>
    <t xml:space="preserve">Retained earnings</t>
  </si>
  <si>
    <t xml:space="preserve">Result in the year</t>
  </si>
  <si>
    <t xml:space="preserve">Total equity</t>
  </si>
  <si>
    <t xml:space="preserve">b. Long term liabilities</t>
  </si>
  <si>
    <t xml:space="preserve">Subordinated loans (subordinated to bank)</t>
  </si>
  <si>
    <t xml:space="preserve">Long term loans</t>
  </si>
  <si>
    <t xml:space="preserve">Total long term debts</t>
  </si>
  <si>
    <t xml:space="preserve">Permanent funds (equity + LT debts)</t>
  </si>
  <si>
    <t xml:space="preserve">C. Short term liabilities</t>
  </si>
  <si>
    <t xml:space="preserve">Trade payables</t>
  </si>
  <si>
    <t xml:space="preserve">VAT to be paid</t>
  </si>
  <si>
    <t xml:space="preserve">Banks</t>
  </si>
  <si>
    <t xml:space="preserve">Total short term debts</t>
  </si>
  <si>
    <t xml:space="preserve">Total debts</t>
  </si>
  <si>
    <t xml:space="preserve">Total liabilities </t>
  </si>
  <si>
    <t xml:space="preserve">Equilibrium</t>
  </si>
  <si>
    <t xml:space="preserve">7.10 Ratio's Balance Sheet</t>
  </si>
  <si>
    <t xml:space="preserve">A. Financial ratios</t>
  </si>
  <si>
    <t xml:space="preserve">1. Change of turnover</t>
  </si>
  <si>
    <t xml:space="preserve">2. Margins</t>
  </si>
  <si>
    <t xml:space="preserve">2.1 Gross margin</t>
  </si>
  <si>
    <t xml:space="preserve">2.2 Gross operating profit / Turnover</t>
  </si>
  <si>
    <t xml:space="preserve">2.3 Profit before tax &amp; ex-ord income / Turnover </t>
  </si>
  <si>
    <t xml:space="preserve">2.4 Profit before interest and tax / Turnover</t>
  </si>
  <si>
    <t xml:space="preserve">2.5 Net profit / Turnover</t>
  </si>
  <si>
    <t xml:space="preserve">3. Profitability</t>
  </si>
  <si>
    <t xml:space="preserve">3.1 Profit before tax / Equity (= ROE or ROI)</t>
  </si>
  <si>
    <t xml:space="preserve">3.2 Net profit / Equity </t>
  </si>
  <si>
    <t xml:space="preserve">3.3 Profit before interest and tax / Permanent funds</t>
  </si>
  <si>
    <t xml:space="preserve">       (= ROCE or ROA)</t>
  </si>
  <si>
    <t xml:space="preserve">4. Liquidity</t>
  </si>
  <si>
    <t xml:space="preserve">4.1 Current ratio</t>
  </si>
  <si>
    <t xml:space="preserve">4.2 Quick ratio</t>
  </si>
  <si>
    <t xml:space="preserve">4.3 Working capital</t>
  </si>
  <si>
    <t xml:space="preserve">5. Working capital cycle</t>
  </si>
  <si>
    <t xml:space="preserve">5.1 Stock days on hand (DOH)</t>
  </si>
  <si>
    <t xml:space="preserve">5.1.1 New trucks</t>
  </si>
  <si>
    <t xml:space="preserve">5.1.2 Other products</t>
  </si>
  <si>
    <t xml:space="preserve">5.1.3 Parts</t>
  </si>
  <si>
    <t xml:space="preserve">5.2 Days sales outstanding (DSO)</t>
  </si>
  <si>
    <t xml:space="preserve">5.3 Days payables outstanding  (DPO)</t>
  </si>
  <si>
    <t xml:space="preserve">6. Solvency </t>
  </si>
  <si>
    <t xml:space="preserve">7. Interest coverage</t>
  </si>
  <si>
    <t xml:space="preserve">8. Salaries &amp; wages / Gross margin</t>
  </si>
  <si>
    <t xml:space="preserve">B. Operational ratios</t>
  </si>
  <si>
    <t xml:space="preserve">1. Service retention</t>
  </si>
  <si>
    <t xml:space="preserve">2. Parts retention</t>
  </si>
  <si>
    <t xml:space="preserve">3. Productivity workshop</t>
  </si>
  <si>
    <t xml:space="preserve">C. Calculation absorption rate</t>
  </si>
  <si>
    <t xml:space="preserve">Total gross profit / loss</t>
  </si>
  <si>
    <t xml:space="preserve">Correction gross profit vehicle sales</t>
  </si>
  <si>
    <t xml:space="preserve">Correction margin preparation new and used vehicles</t>
  </si>
  <si>
    <t xml:space="preserve">Total gross profit excluding vehicle sales (1)</t>
  </si>
  <si>
    <t xml:space="preserve">Depreciation and Amortization</t>
  </si>
  <si>
    <t xml:space="preserve">Total expenses</t>
  </si>
  <si>
    <t xml:space="preserve">Total expenses - Selling expenses (2)</t>
  </si>
  <si>
    <t xml:space="preserve">Truck inventory financing (3)</t>
  </si>
  <si>
    <t xml:space="preserve">1. Absorption rate financing excluded (1) / (2)</t>
  </si>
  <si>
    <t xml:space="preserve">2. Absorption rate financing included (1) / (2) + (3)</t>
  </si>
  <si>
    <t xml:space="preserve">7.11 Cash Flow Analysis</t>
  </si>
  <si>
    <t xml:space="preserve">1. Cash flows from operating activities</t>
  </si>
  <si>
    <t xml:space="preserve">1.1 Gross Cash flow</t>
  </si>
  <si>
    <t xml:space="preserve">    Net profit / loss</t>
  </si>
  <si>
    <t xml:space="preserve">    Depreciation</t>
  </si>
  <si>
    <t xml:space="preserve">  A. Total</t>
  </si>
  <si>
    <t xml:space="preserve">B. 1.2 Provisions</t>
  </si>
  <si>
    <t xml:space="preserve">1.3 Change Working capital</t>
  </si>
  <si>
    <t xml:space="preserve">1.2.1 Changes in current assets</t>
  </si>
  <si>
    <t xml:space="preserve">    (Increase) / Decrease in accounts receivable</t>
  </si>
  <si>
    <t xml:space="preserve">    (Increase)/Decrease in inventories</t>
  </si>
  <si>
    <t xml:space="preserve">    (Increase)/Decrease in other current assets (excl. cash/banks)</t>
  </si>
  <si>
    <t xml:space="preserve">   Total</t>
  </si>
  <si>
    <t xml:space="preserve">1.2.2 Changes in current liabilities</t>
  </si>
  <si>
    <t xml:space="preserve">    Increase/(Decrease) in accounts payable</t>
  </si>
  <si>
    <t xml:space="preserve">    Increase/(Decrease) in other current liabilities (excl. banks &amp; financing)</t>
  </si>
  <si>
    <t xml:space="preserve">   Total </t>
  </si>
  <si>
    <t xml:space="preserve"> C. Total change in working capital</t>
  </si>
  <si>
    <t xml:space="preserve">Operating cash flow (A+B+C)</t>
  </si>
  <si>
    <t xml:space="preserve">2. Cash flows from investing activities</t>
  </si>
  <si>
    <t xml:space="preserve">    (Increase)/Decrease intangible fixed assets</t>
  </si>
  <si>
    <t xml:space="preserve">    (Increase)/Decrease tangible fixed assets (land, building, equipment,…)</t>
  </si>
  <si>
    <t xml:space="preserve">    (Increase)/Decrease financial fixed assets</t>
  </si>
  <si>
    <t xml:space="preserve">D. Cash flow from investments activities</t>
  </si>
  <si>
    <t xml:space="preserve">3. Cash flows from financing activities</t>
  </si>
  <si>
    <t xml:space="preserve">Increase/(Decrease) in equity (excl. Profit/loss)</t>
  </si>
  <si>
    <t xml:space="preserve">Increase/(Decrease) in LT funds</t>
  </si>
  <si>
    <t xml:space="preserve">Increase/(Decrease) in truck inventory financing</t>
  </si>
  <si>
    <t xml:space="preserve">E. Cash flows from financing activities</t>
  </si>
  <si>
    <t xml:space="preserve">4. Change in liquidity A+B+C+D+E</t>
  </si>
  <si>
    <t xml:space="preserve">5. Ending cash and equivalents</t>
  </si>
  <si>
    <t xml:space="preserve">7.12 Assumptions &amp; Remarks</t>
  </si>
  <si>
    <t xml:space="preserve">Assumptions &amp; remarks business plan</t>
  </si>
  <si>
    <t xml:space="preserve">Long-term business plan</t>
  </si>
  <si>
    <t xml:space="preserve">DAF Business Plan</t>
  </si>
  <si>
    <t xml:space="preserve">Attachment A</t>
  </si>
  <si>
    <t xml:space="preserve">Copy of Chamber of Commerce registration</t>
  </si>
  <si>
    <t xml:space="preserve">Attachment B</t>
  </si>
  <si>
    <t xml:space="preserve">Photographs of dealer premises</t>
  </si>
  <si>
    <t xml:space="preserve">Attachment C</t>
  </si>
  <si>
    <t xml:space="preserve">Latest certified accounts</t>
  </si>
  <si>
    <t xml:space="preserve">9.0 Scenario's</t>
  </si>
  <si>
    <t xml:space="preserve">Scenario's</t>
  </si>
  <si>
    <t xml:space="preserve">Input</t>
  </si>
  <si>
    <t xml:space="preserve">1. Change market size trucks</t>
  </si>
  <si>
    <t xml:space="preserve">2. Change market share DAF</t>
  </si>
  <si>
    <t xml:space="preserve">3. Change market used trucks</t>
  </si>
  <si>
    <t xml:space="preserve">4. Change of part retention</t>
  </si>
  <si>
    <t xml:space="preserve">5. Change of service retention</t>
  </si>
  <si>
    <t xml:space="preserve">6. Change of gross margin new trucks</t>
  </si>
  <si>
    <t xml:space="preserve">7. Salaries &amp; Wages</t>
  </si>
  <si>
    <t xml:space="preserve">8. Change operating expenses</t>
  </si>
  <si>
    <t xml:space="preserve">Profit &amp; Loss</t>
  </si>
  <si>
    <t xml:space="preserve">Output</t>
  </si>
  <si>
    <t xml:space="preserve">Gross profit</t>
  </si>
  <si>
    <t xml:space="preserve">Operating profit</t>
  </si>
  <si>
    <t xml:space="preserve">Net profit</t>
  </si>
  <si>
    <t xml:space="preserve">Working capital </t>
  </si>
  <si>
    <t xml:space="preserve">Solvency</t>
  </si>
  <si>
    <t xml:space="preserve">Absorption</t>
  </si>
  <si>
    <t xml:space="preserve">Profit center</t>
  </si>
  <si>
    <t xml:space="preserve">10.0 Guidelines</t>
  </si>
  <si>
    <t xml:space="preserve">(according PACCAR)</t>
  </si>
  <si>
    <t xml:space="preserve">Department/Description</t>
  </si>
  <si>
    <t xml:space="preserve">Guidelines</t>
  </si>
  <si>
    <t xml:space="preserve">Gross Margin</t>
  </si>
  <si>
    <t xml:space="preserve">4-6%</t>
  </si>
  <si>
    <t xml:space="preserve">Operating Expenses</t>
  </si>
  <si>
    <t xml:space="preserve">3-5%</t>
  </si>
  <si>
    <t xml:space="preserve">Operating Margin</t>
  </si>
  <si>
    <t xml:space="preserve">1-3%</t>
  </si>
  <si>
    <t xml:space="preserve">Inventory turns</t>
  </si>
  <si>
    <t xml:space="preserve">7-9  times</t>
  </si>
  <si>
    <t xml:space="preserve">Days on Hand</t>
  </si>
  <si>
    <t xml:space="preserve">40-50 days</t>
  </si>
  <si>
    <t xml:space="preserve">6-10%</t>
  </si>
  <si>
    <t xml:space="preserve">4-7%</t>
  </si>
  <si>
    <t xml:space="preserve">1-4%</t>
  </si>
  <si>
    <t xml:space="preserve">5-6 times</t>
  </si>
  <si>
    <t xml:space="preserve">60-73 days</t>
  </si>
  <si>
    <t xml:space="preserve">New &amp; Used Combined</t>
  </si>
  <si>
    <t xml:space="preserve">5-8%</t>
  </si>
  <si>
    <t xml:space="preserve">3-6%</t>
  </si>
  <si>
    <t xml:space="preserve">25-30%</t>
  </si>
  <si>
    <t xml:space="preserve">16-20%</t>
  </si>
  <si>
    <t xml:space="preserve">Parts sales to service</t>
  </si>
  <si>
    <t xml:space="preserve">Obsolesence (12 months no sale)</t>
  </si>
  <si>
    <t xml:space="preserve">Service Level</t>
  </si>
  <si>
    <t xml:space="preserve">85-90%</t>
  </si>
  <si>
    <t xml:space="preserve">Stock Turn</t>
  </si>
  <si>
    <t xml:space="preserve">4,5-5,5 times</t>
  </si>
  <si>
    <t xml:space="preserve">Stock orders vs. Rush orders</t>
  </si>
  <si>
    <t xml:space="preserve">90:10</t>
  </si>
  <si>
    <t xml:space="preserve">62-68%</t>
  </si>
  <si>
    <t xml:space="preserve">50-54%</t>
  </si>
  <si>
    <t xml:space="preserve">80-90%</t>
  </si>
  <si>
    <t xml:space="preserve">Effieciency</t>
  </si>
  <si>
    <t xml:space="preserve">Days to file warranty</t>
  </si>
  <si>
    <t xml:space="preserve">&lt;10 days</t>
  </si>
  <si>
    <t xml:space="preserve">Body shop</t>
  </si>
  <si>
    <t xml:space="preserve">58-65%</t>
  </si>
  <si>
    <t xml:space="preserve">7-12%</t>
  </si>
  <si>
    <t xml:space="preserve">Operating expenses</t>
  </si>
  <si>
    <t xml:space="preserve">48-52%</t>
  </si>
  <si>
    <t xml:space="preserve">Trade credit</t>
  </si>
  <si>
    <t xml:space="preserve">current</t>
  </si>
  <si>
    <t xml:space="preserve">70-80%</t>
  </si>
  <si>
    <t xml:space="preserve">30 days</t>
  </si>
  <si>
    <t xml:space="preserve">12-15%</t>
  </si>
  <si>
    <t xml:space="preserve">60 days</t>
  </si>
  <si>
    <t xml:space="preserve">5-7%</t>
  </si>
  <si>
    <t xml:space="preserve">90 days</t>
  </si>
  <si>
    <t xml:space="preserve">120 days or more</t>
  </si>
  <si>
    <t xml:space="preserve">0-3%</t>
  </si>
  <si>
    <t xml:space="preserve">35-40 days</t>
  </si>
  <si>
    <t xml:space="preserve">Bad Debt</t>
  </si>
  <si>
    <t xml:space="preserve">Entire Dealership</t>
  </si>
  <si>
    <t xml:space="preserve">Sales mix*</t>
  </si>
  <si>
    <t xml:space="preserve">45-60%</t>
  </si>
  <si>
    <t xml:space="preserve">5-10%</t>
  </si>
  <si>
    <t xml:space="preserve">Parts </t>
  </si>
  <si>
    <t xml:space="preserve">15-30%</t>
  </si>
  <si>
    <t xml:space="preserve">10-20%</t>
  </si>
  <si>
    <t xml:space="preserve">1-2%</t>
  </si>
  <si>
    <t xml:space="preserve">13-18%</t>
  </si>
  <si>
    <t xml:space="preserve">10-14%</t>
  </si>
  <si>
    <t xml:space="preserve">Operating margin</t>
  </si>
  <si>
    <t xml:space="preserve">3-4%</t>
  </si>
  <si>
    <t xml:space="preserve">Net profit before taxes</t>
  </si>
  <si>
    <t xml:space="preserve">2-3%</t>
  </si>
  <si>
    <t xml:space="preserve">100-110%</t>
  </si>
  <si>
    <t xml:space="preserve">Current ratio</t>
  </si>
  <si>
    <t xml:space="preserve">1,5:1</t>
  </si>
  <si>
    <t xml:space="preserve">Quick ratio</t>
  </si>
  <si>
    <t xml:space="preserve">1,0:1</t>
  </si>
  <si>
    <t xml:space="preserve">*varies per country</t>
  </si>
</sst>
</file>

<file path=xl/styles.xml><?xml version="1.0" encoding="utf-8"?>
<styleSheet xmlns="http://schemas.openxmlformats.org/spreadsheetml/2006/main">
  <numFmts count="21">
    <numFmt numFmtId="164" formatCode="General"/>
    <numFmt numFmtId="165" formatCode="_(* #,##0.00_);_(* \(#,##0.00\);_(* \-??_);_(@_)"/>
    <numFmt numFmtId="166" formatCode="_-* #,##0.00_-;_-* #,##0.00\-;_-* \-??_-;_-@_-"/>
    <numFmt numFmtId="167" formatCode="_-&quot;fl &quot;* #,##0.00_-;_-&quot;fl &quot;* #,##0.00\-;_-&quot;fl &quot;* \-??_-;_-@_-"/>
    <numFmt numFmtId="168" formatCode="_(\$* #,##0.00_);_(\$* \(#,##0.00\);_(\$* \-??_);_(@_)"/>
    <numFmt numFmtId="169" formatCode="@"/>
    <numFmt numFmtId="170" formatCode="0%"/>
    <numFmt numFmtId="171" formatCode="0.00%"/>
    <numFmt numFmtId="172" formatCode="0"/>
    <numFmt numFmtId="173" formatCode="M/D/YYYY"/>
    <numFmt numFmtId="174" formatCode="D\-MMM\-YY"/>
    <numFmt numFmtId="175" formatCode="DD/MM/YY"/>
    <numFmt numFmtId="176" formatCode="#,##0"/>
    <numFmt numFmtId="177" formatCode="0.0%"/>
    <numFmt numFmtId="178" formatCode="MMM\-YY"/>
    <numFmt numFmtId="179" formatCode="_-* #,##0_-;_-* #,##0\-;_-* \-??_-;_-@_-"/>
    <numFmt numFmtId="180" formatCode="#,##0.0"/>
    <numFmt numFmtId="181" formatCode="&quot;€ &quot;#,##0_-"/>
    <numFmt numFmtId="182" formatCode="#,##0.00"/>
    <numFmt numFmtId="183" formatCode="0.0"/>
    <numFmt numFmtId="184" formatCode="0.00"/>
  </numFmts>
  <fonts count="94">
    <font>
      <sz val="10"/>
      <name val="Arial"/>
      <family val="0"/>
      <charset val="1"/>
    </font>
    <font>
      <sz val="10"/>
      <name val="Arial"/>
      <family val="0"/>
    </font>
    <font>
      <sz val="10"/>
      <name val="Arial"/>
      <family val="0"/>
    </font>
    <font>
      <sz val="10"/>
      <name val="Arial"/>
      <family val="0"/>
    </font>
    <font>
      <sz val="10"/>
      <name val="Trebuchet MS"/>
      <family val="2"/>
      <charset val="1"/>
    </font>
    <font>
      <b val="true"/>
      <sz val="22"/>
      <color rgb="FFFFFFFF"/>
      <name val="Trebuchet MS"/>
      <family val="2"/>
      <charset val="1"/>
    </font>
    <font>
      <b val="true"/>
      <sz val="14"/>
      <color rgb="FFFFFFFF"/>
      <name val="Trebuchet MS"/>
      <family val="2"/>
      <charset val="1"/>
    </font>
    <font>
      <b val="true"/>
      <sz val="16"/>
      <color rgb="FFFFFFFF"/>
      <name val="Trebuchet MS"/>
      <family val="2"/>
      <charset val="1"/>
    </font>
    <font>
      <b val="true"/>
      <sz val="22"/>
      <name val="Trebuchet MS"/>
      <family val="2"/>
      <charset val="1"/>
    </font>
    <font>
      <sz val="12"/>
      <name val="Trebuchet MS"/>
      <family val="2"/>
      <charset val="1"/>
    </font>
    <font>
      <u val="single"/>
      <sz val="12"/>
      <color rgb="FF0000FF"/>
      <name val="Trebuchet MS"/>
      <family val="2"/>
      <charset val="1"/>
    </font>
    <font>
      <u val="single"/>
      <sz val="6.5"/>
      <color rgb="FF0000FF"/>
      <name val="Arial"/>
      <family val="2"/>
      <charset val="1"/>
    </font>
    <font>
      <i val="true"/>
      <sz val="10"/>
      <name val="Trebuchet MS"/>
      <family val="2"/>
      <charset val="1"/>
    </font>
    <font>
      <sz val="10"/>
      <color rgb="FFFF0000"/>
      <name val="Trebuchet MS"/>
      <family val="2"/>
      <charset val="1"/>
    </font>
    <font>
      <u val="single"/>
      <sz val="12"/>
      <color rgb="FFFF0000"/>
      <name val="Trebuchet MS"/>
      <family val="2"/>
      <charset val="1"/>
    </font>
    <font>
      <sz val="12"/>
      <color rgb="FFFF0000"/>
      <name val="Trebuchet MS"/>
      <family val="2"/>
      <charset val="1"/>
    </font>
    <font>
      <b val="true"/>
      <sz val="12"/>
      <color rgb="FFFF0000"/>
      <name val="Trebuchet MS"/>
      <family val="0"/>
    </font>
    <font>
      <b val="true"/>
      <sz val="16"/>
      <color rgb="FFFF0000"/>
      <name val="Trebuchet MS"/>
      <family val="0"/>
    </font>
    <font>
      <b val="true"/>
      <sz val="10"/>
      <color rgb="FFFF0000"/>
      <name val="Trebuchet MS"/>
      <family val="0"/>
    </font>
    <font>
      <b val="true"/>
      <sz val="10"/>
      <color rgb="FF000000"/>
      <name val="Trebuchet MS"/>
      <family val="0"/>
    </font>
    <font>
      <sz val="10"/>
      <color rgb="FF000000"/>
      <name val="Trebuchet MS"/>
      <family val="0"/>
    </font>
    <font>
      <b val="true"/>
      <u val="single"/>
      <sz val="12"/>
      <color rgb="FF000000"/>
      <name val="Trebuchet MS"/>
      <family val="0"/>
    </font>
    <font>
      <sz val="22"/>
      <name val="Trebuchet MS"/>
      <family val="2"/>
      <charset val="1"/>
    </font>
    <font>
      <b val="true"/>
      <sz val="16"/>
      <name val="Trebuchet MS"/>
      <family val="2"/>
      <charset val="1"/>
    </font>
    <font>
      <b val="true"/>
      <sz val="12"/>
      <name val="Trebuchet MS"/>
      <family val="2"/>
      <charset val="1"/>
    </font>
    <font>
      <b val="true"/>
      <sz val="10"/>
      <name val="Trebuchet MS"/>
      <family val="2"/>
      <charset val="1"/>
    </font>
    <font>
      <b val="true"/>
      <sz val="12"/>
      <color rgb="FF0000FF"/>
      <name val="Trebuchet MS"/>
      <family val="2"/>
      <charset val="1"/>
    </font>
    <font>
      <u val="single"/>
      <sz val="10"/>
      <color rgb="FF0000FF"/>
      <name val="Trebuchet MS"/>
      <family val="2"/>
      <charset val="1"/>
    </font>
    <font>
      <sz val="10"/>
      <color rgb="FF0000FF"/>
      <name val="Trebuchet MS"/>
      <family val="2"/>
      <charset val="1"/>
    </font>
    <font>
      <sz val="8"/>
      <name val="Trebuchet MS"/>
      <family val="2"/>
      <charset val="1"/>
    </font>
    <font>
      <sz val="10"/>
      <color rgb="FFFFFFFF"/>
      <name val="Trebuchet MS"/>
      <family val="2"/>
      <charset val="1"/>
    </font>
    <font>
      <sz val="10"/>
      <color rgb="FF000000"/>
      <name val="Arial"/>
      <family val="0"/>
    </font>
    <font>
      <b val="true"/>
      <sz val="10"/>
      <color rgb="FF000000"/>
      <name val="Arial"/>
      <family val="0"/>
    </font>
    <font>
      <sz val="10"/>
      <color rgb="FF000000"/>
      <name val="Trebuchet MS"/>
      <family val="2"/>
      <charset val="1"/>
    </font>
    <font>
      <b val="true"/>
      <i val="true"/>
      <sz val="10"/>
      <color rgb="FF000000"/>
      <name val="Trebuchet MS"/>
      <family val="2"/>
      <charset val="1"/>
    </font>
    <font>
      <b val="true"/>
      <sz val="8"/>
      <color rgb="FF000000"/>
      <name val="Trebuchet MS"/>
      <family val="0"/>
    </font>
    <font>
      <sz val="8"/>
      <color rgb="FF000000"/>
      <name val="Trebuchet MS"/>
      <family val="0"/>
    </font>
    <font>
      <sz val="12"/>
      <name val="Times New Roman"/>
      <family val="1"/>
    </font>
    <font>
      <sz val="16"/>
      <name val="Trebuchet MS"/>
      <family val="2"/>
      <charset val="1"/>
    </font>
    <font>
      <b val="true"/>
      <sz val="11"/>
      <name val="Calibri"/>
      <family val="0"/>
    </font>
    <font>
      <sz val="11"/>
      <name val="Calibri"/>
      <family val="0"/>
    </font>
    <font>
      <b val="true"/>
      <u val="single"/>
      <sz val="10"/>
      <color rgb="FF000000"/>
      <name val="Trebuchet MS"/>
      <family val="0"/>
    </font>
    <font>
      <sz val="16"/>
      <color rgb="FFFFFFFF"/>
      <name val="Trebuchet MS"/>
      <family val="2"/>
      <charset val="1"/>
    </font>
    <font>
      <sz val="12"/>
      <color rgb="FF000000"/>
      <name val="Trebuchet MS"/>
      <family val="2"/>
      <charset val="1"/>
    </font>
    <font>
      <b val="true"/>
      <sz val="12"/>
      <color rgb="FF000000"/>
      <name val="Trebuchet MS"/>
      <family val="2"/>
      <charset val="1"/>
    </font>
    <font>
      <b val="true"/>
      <sz val="14"/>
      <name val="Trebuchet MS"/>
      <family val="2"/>
      <charset val="1"/>
    </font>
    <font>
      <sz val="10"/>
      <color rgb="FF000000"/>
      <name val="Arial"/>
      <family val="2"/>
      <charset val="1"/>
    </font>
    <font>
      <b val="true"/>
      <sz val="14"/>
      <color rgb="FFFFFFFF"/>
      <name val="Arial"/>
      <family val="2"/>
      <charset val="1"/>
    </font>
    <font>
      <sz val="14"/>
      <color rgb="FFFFFFFF"/>
      <name val="Arial"/>
      <family val="2"/>
      <charset val="1"/>
    </font>
    <font>
      <sz val="14"/>
      <color rgb="FFFFFFFF"/>
      <name val="Trebuchet MS"/>
      <family val="2"/>
      <charset val="1"/>
    </font>
    <font>
      <b val="true"/>
      <sz val="14"/>
      <color rgb="FF000000"/>
      <name val="Trebuchet MS"/>
      <family val="0"/>
    </font>
    <font>
      <sz val="10"/>
      <name val="Arial"/>
      <family val="2"/>
      <charset val="1"/>
    </font>
    <font>
      <sz val="10"/>
      <color rgb="FFFF0000"/>
      <name val="Arial"/>
      <family val="2"/>
      <charset val="1"/>
    </font>
    <font>
      <b val="true"/>
      <sz val="10"/>
      <name val="Arial"/>
      <family val="2"/>
      <charset val="1"/>
    </font>
    <font>
      <b val="true"/>
      <i val="true"/>
      <sz val="10"/>
      <color rgb="FF000000"/>
      <name val="Arial"/>
      <family val="2"/>
      <charset val="1"/>
    </font>
    <font>
      <b val="true"/>
      <sz val="12"/>
      <name val="Arial"/>
      <family val="2"/>
      <charset val="1"/>
    </font>
    <font>
      <b val="true"/>
      <sz val="10"/>
      <color rgb="FF000000"/>
      <name val="Arial"/>
      <family val="2"/>
      <charset val="1"/>
    </font>
    <font>
      <sz val="10.25"/>
      <color rgb="FF000000"/>
      <name val="Arial"/>
      <family val="2"/>
    </font>
    <font>
      <sz val="8.6"/>
      <color rgb="FF000000"/>
      <name val="Arial"/>
      <family val="2"/>
    </font>
    <font>
      <b val="true"/>
      <sz val="14"/>
      <color rgb="FF000000"/>
      <name val="Trebuchet MS"/>
      <family val="0"/>
      <charset val="1"/>
    </font>
    <font>
      <b val="true"/>
      <sz val="10"/>
      <color rgb="FF000000"/>
      <name val="Trebuchet MS"/>
      <family val="2"/>
      <charset val="1"/>
    </font>
    <font>
      <sz val="10"/>
      <color rgb="FF000000"/>
      <name val="Arial"/>
      <family val="2"/>
    </font>
    <font>
      <sz val="8.45"/>
      <color rgb="FF000000"/>
      <name val="Arial"/>
      <family val="2"/>
    </font>
    <font>
      <sz val="8"/>
      <color rgb="FF000000"/>
      <name val="Arial"/>
      <family val="2"/>
    </font>
    <font>
      <sz val="6.75"/>
      <color rgb="FF000000"/>
      <name val="Arial"/>
      <family val="2"/>
    </font>
    <font>
      <sz val="10"/>
      <color rgb="FF000000"/>
      <name val="Trebuchet MS"/>
      <family val="2"/>
    </font>
    <font>
      <sz val="8.45"/>
      <color rgb="FF000000"/>
      <name val="Trebuchet MS"/>
      <family val="2"/>
    </font>
    <font>
      <b val="true"/>
      <sz val="10"/>
      <color rgb="FF000000"/>
      <name val="Arial"/>
      <family val="2"/>
    </font>
    <font>
      <sz val="8"/>
      <color rgb="FF000000"/>
      <name val="Trebuchet MS"/>
      <family val="2"/>
    </font>
    <font>
      <sz val="6.75"/>
      <color rgb="FF000000"/>
      <name val="Trebuchet MS"/>
      <family val="2"/>
    </font>
    <font>
      <b val="true"/>
      <sz val="10"/>
      <color rgb="FFFFFFFF"/>
      <name val="Trebuchet MS"/>
      <family val="2"/>
      <charset val="1"/>
    </font>
    <font>
      <sz val="12"/>
      <name val="Calibri"/>
      <family val="0"/>
    </font>
    <font>
      <sz val="12"/>
      <color rgb="FF000000"/>
      <name val="Times New Roman"/>
      <family val="1"/>
    </font>
    <font>
      <b val="true"/>
      <sz val="8"/>
      <name val="Trebuchet MS"/>
      <family val="2"/>
      <charset val="1"/>
    </font>
    <font>
      <b val="true"/>
      <u val="single"/>
      <sz val="14"/>
      <name val="Trebuchet MS"/>
      <family val="2"/>
      <charset val="1"/>
    </font>
    <font>
      <b val="true"/>
      <u val="single"/>
      <sz val="14"/>
      <color rgb="FF000000"/>
      <name val="Trebuchet MS"/>
      <family val="2"/>
      <charset val="1"/>
    </font>
    <font>
      <sz val="14"/>
      <name val="Trebuchet MS"/>
      <family val="2"/>
      <charset val="1"/>
    </font>
    <font>
      <b val="true"/>
      <i val="true"/>
      <sz val="10"/>
      <name val="Trebuchet MS"/>
      <family val="2"/>
      <charset val="1"/>
    </font>
    <font>
      <sz val="8"/>
      <color rgb="FFFF0000"/>
      <name val="Trebuchet MS"/>
      <family val="2"/>
      <charset val="1"/>
    </font>
    <font>
      <b val="true"/>
      <sz val="13"/>
      <name val="Trebuchet MS"/>
      <family val="2"/>
      <charset val="1"/>
    </font>
    <font>
      <b val="true"/>
      <sz val="14"/>
      <color rgb="FF000000"/>
      <name val="Trebuchet MS"/>
      <family val="2"/>
      <charset val="1"/>
    </font>
    <font>
      <sz val="13"/>
      <name val="Trebuchet MS"/>
      <family val="2"/>
      <charset val="1"/>
    </font>
    <font>
      <sz val="9"/>
      <color rgb="FF000000"/>
      <name val="Trebuchet MS"/>
      <family val="0"/>
    </font>
    <font>
      <b val="true"/>
      <sz val="9"/>
      <color rgb="FF000000"/>
      <name val="Trebuchet MS"/>
      <family val="0"/>
    </font>
    <font>
      <b val="true"/>
      <i val="true"/>
      <sz val="12"/>
      <color rgb="FF000000"/>
      <name val="Trebuchet MS"/>
      <family val="2"/>
      <charset val="1"/>
    </font>
    <font>
      <i val="true"/>
      <sz val="10"/>
      <color rgb="FF000000"/>
      <name val="Trebuchet MS"/>
      <family val="2"/>
      <charset val="1"/>
    </font>
    <font>
      <i val="true"/>
      <sz val="12"/>
      <color rgb="FF000000"/>
      <name val="Trebuchet MS"/>
      <family val="2"/>
      <charset val="1"/>
    </font>
    <font>
      <i val="true"/>
      <sz val="10"/>
      <color rgb="FF000000"/>
      <name val="Trebuchet MS"/>
      <family val="0"/>
    </font>
    <font>
      <b val="true"/>
      <i val="true"/>
      <sz val="10"/>
      <color rgb="FF000000"/>
      <name val="Trebuchet MS"/>
      <family val="0"/>
    </font>
    <font>
      <b val="true"/>
      <sz val="10"/>
      <color rgb="FF000000"/>
      <name val="Arial"/>
      <family val="0"/>
      <charset val="1"/>
    </font>
    <font>
      <sz val="9"/>
      <name val="Trebuchet MS"/>
      <family val="2"/>
      <charset val="1"/>
    </font>
    <font>
      <b val="true"/>
      <sz val="12"/>
      <color rgb="FF000000"/>
      <name val="Trebuchet MS"/>
      <family val="0"/>
    </font>
    <font>
      <sz val="12"/>
      <color rgb="FF000000"/>
      <name val="Trebuchet MS"/>
      <family val="0"/>
    </font>
    <font>
      <b val="true"/>
      <i val="true"/>
      <sz val="14"/>
      <name val="Trebuchet MS"/>
      <family val="2"/>
      <charset val="1"/>
    </font>
  </fonts>
  <fills count="16">
    <fill>
      <patternFill patternType="none"/>
    </fill>
    <fill>
      <patternFill patternType="gray125"/>
    </fill>
    <fill>
      <patternFill patternType="solid">
        <fgColor rgb="FF0000FF"/>
        <bgColor rgb="FF0000FF"/>
      </patternFill>
    </fill>
    <fill>
      <patternFill patternType="solid">
        <fgColor rgb="FFFFFFFF"/>
        <bgColor rgb="FFFFFFC0"/>
      </patternFill>
    </fill>
    <fill>
      <patternFill patternType="solid">
        <fgColor rgb="FFA6CAF0"/>
        <bgColor rgb="FF9BBDE1"/>
      </patternFill>
    </fill>
    <fill>
      <patternFill patternType="solid">
        <fgColor rgb="FFFFFF99"/>
        <bgColor rgb="FFFFFFC0"/>
      </patternFill>
    </fill>
    <fill>
      <patternFill patternType="solid">
        <fgColor rgb="FFFFFFC0"/>
        <bgColor rgb="FFFFFF99"/>
      </patternFill>
    </fill>
    <fill>
      <patternFill patternType="solid">
        <fgColor rgb="FFFFFF00"/>
        <bgColor rgb="FFFFFF00"/>
      </patternFill>
    </fill>
    <fill>
      <patternFill patternType="solid">
        <fgColor rgb="FFC0C0C0"/>
        <bgColor rgb="FFC0C0FF"/>
      </patternFill>
    </fill>
    <fill>
      <patternFill patternType="solid">
        <fgColor rgb="FF69FFFF"/>
        <bgColor rgb="FFA0E0E0"/>
      </patternFill>
    </fill>
    <fill>
      <patternFill patternType="solid">
        <fgColor rgb="FF3366FF"/>
        <bgColor rgb="FF0080C0"/>
      </patternFill>
    </fill>
    <fill>
      <patternFill patternType="solid">
        <fgColor rgb="FF3333CC"/>
        <bgColor rgb="FF3366FF"/>
      </patternFill>
    </fill>
    <fill>
      <patternFill patternType="solid">
        <fgColor rgb="FFA0E0E0"/>
        <bgColor rgb="FFA6CAF0"/>
      </patternFill>
    </fill>
    <fill>
      <patternFill patternType="solid">
        <fgColor rgb="FFFF0000"/>
        <bgColor rgb="FF993300"/>
      </patternFill>
    </fill>
    <fill>
      <patternFill patternType="solid">
        <fgColor rgb="FF9BBDE1"/>
        <bgColor rgb="FFA6CAF0"/>
      </patternFill>
    </fill>
    <fill>
      <patternFill patternType="solid">
        <fgColor rgb="FFCCFFCC"/>
        <bgColor rgb="FFDFDFE0"/>
      </patternFill>
    </fill>
  </fills>
  <borders count="58">
    <border diagonalUp="false" diagonalDown="false">
      <left/>
      <right/>
      <top/>
      <bottom/>
      <diagonal/>
    </border>
    <border diagonalUp="false" diagonalDown="false">
      <left style="thin"/>
      <right/>
      <top/>
      <bottom/>
      <diagonal/>
    </border>
    <border diagonalUp="false" diagonalDown="false">
      <left/>
      <right style="thin"/>
      <top/>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style="thin"/>
      <top style="thin"/>
      <bottom/>
      <diagonal/>
    </border>
    <border diagonalUp="false" diagonalDown="false">
      <left style="thin"/>
      <right style="thin"/>
      <top style="thin"/>
      <bottom style="thin"/>
      <diagonal/>
    </border>
    <border diagonalUp="false" diagonalDown="false">
      <left/>
      <right/>
      <top/>
      <bottom style="thin"/>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style="thin"/>
      <top style="medium"/>
      <bottom style="mediu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top style="thin"/>
      <bottom style="medium"/>
      <diagonal/>
    </border>
    <border diagonalUp="false" diagonalDown="false">
      <left style="thin"/>
      <right style="thin"/>
      <top/>
      <bottom style="thin"/>
      <diagonal/>
    </border>
    <border diagonalUp="false" diagonalDown="false">
      <left style="thin"/>
      <right style="thin"/>
      <top style="double"/>
      <bottom style="thin"/>
      <diagonal/>
    </border>
    <border diagonalUp="false" diagonalDown="false">
      <left/>
      <right style="medium"/>
      <top/>
      <bottom/>
      <diagonal/>
    </border>
    <border diagonalUp="false" diagonalDown="false">
      <left/>
      <right style="medium"/>
      <top/>
      <bottom style="thin"/>
      <diagonal/>
    </border>
    <border diagonalUp="false" diagonalDown="false">
      <left/>
      <right style="medium"/>
      <top style="thin"/>
      <bottom style="thin"/>
      <diagonal/>
    </border>
    <border diagonalUp="false" diagonalDown="false">
      <left/>
      <right style="medium"/>
      <top style="thin"/>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right style="thin"/>
      <top style="medium"/>
      <bottom/>
      <diagonal/>
    </border>
    <border diagonalUp="false" diagonalDown="false">
      <left/>
      <right style="thin"/>
      <top/>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thin"/>
      <right style="medium"/>
      <top style="thin"/>
      <bottom style="thin"/>
      <diagonal/>
    </border>
    <border diagonalUp="false" diagonalDown="false">
      <left/>
      <right style="thin"/>
      <top style="medium"/>
      <bottom style="medium"/>
      <diagonal/>
    </border>
    <border diagonalUp="false" diagonalDown="false">
      <left style="thin"/>
      <right/>
      <top/>
      <bottom style="mediu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top/>
      <bottom style="thin"/>
      <diagonal/>
    </border>
    <border diagonalUp="false" diagonalDown="false">
      <left style="medium"/>
      <right/>
      <top style="thin"/>
      <bottom/>
      <diagonal/>
    </border>
    <border diagonalUp="false" diagonalDown="false">
      <left style="medium"/>
      <right/>
      <top style="thin"/>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style="medium"/>
      <right style="medium"/>
      <top/>
      <bottom/>
      <diagonal/>
    </border>
    <border diagonalUp="false" diagonalDown="false">
      <left style="thin"/>
      <right/>
      <top style="medium"/>
      <bottom/>
      <diagonal/>
    </border>
    <border diagonalUp="false" diagonalDown="false">
      <left style="medium"/>
      <right style="medium"/>
      <top style="thin"/>
      <bottom style="medium"/>
      <diagonal/>
    </border>
    <border diagonalUp="false" diagonalDown="false">
      <left style="medium"/>
      <right style="thin"/>
      <top style="medium"/>
      <bottom style="medium"/>
      <diagonal/>
    </border>
    <border diagonalUp="false" diagonalDown="false">
      <left style="thin"/>
      <right style="medium"/>
      <top style="medium"/>
      <bottom style="medium"/>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cellStyleXfs>
  <cellXfs count="204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true" hidden="false"/>
    </xf>
    <xf numFmtId="164" fontId="4" fillId="0" borderId="2"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true">
      <alignment horizontal="general" vertical="bottom" textRotation="0" wrapText="false" indent="0" shrinkToFit="false"/>
      <protection locked="true" hidden="false"/>
    </xf>
    <xf numFmtId="164" fontId="5" fillId="2" borderId="4" xfId="0" applyFont="true" applyBorder="true" applyAlignment="false" applyProtection="true">
      <alignment horizontal="general" vertical="bottom" textRotation="0" wrapText="false" indent="0" shrinkToFit="false"/>
      <protection locked="true" hidden="false"/>
    </xf>
    <xf numFmtId="164" fontId="6" fillId="2" borderId="4" xfId="0" applyFont="true" applyBorder="true" applyAlignment="false" applyProtection="true">
      <alignment horizontal="general" vertical="bottom" textRotation="0" wrapText="false" indent="0" shrinkToFit="false"/>
      <protection locked="true" hidden="false"/>
    </xf>
    <xf numFmtId="164" fontId="7" fillId="2" borderId="5" xfId="0" applyFont="true" applyBorder="true" applyAlignment="true" applyProtection="true">
      <alignment horizontal="right" vertical="bottom" textRotation="0" wrapText="false" indent="0" shrinkToFit="false"/>
      <protection locked="true" hidden="false"/>
    </xf>
    <xf numFmtId="164" fontId="7" fillId="2" borderId="0" xfId="0" applyFont="true" applyBorder="true" applyAlignment="true" applyProtection="true">
      <alignment horizontal="right" vertical="bottom" textRotation="0" wrapText="false" indent="0" shrinkToFit="false"/>
      <protection locked="true" hidden="false"/>
    </xf>
    <xf numFmtId="164" fontId="8" fillId="2"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4" fillId="0" borderId="3" xfId="0" applyFont="true" applyBorder="true" applyAlignment="false" applyProtection="true">
      <alignment horizontal="general" vertical="bottom" textRotation="0" wrapText="false" indent="0" shrinkToFit="false"/>
      <protection locked="true" hidden="false"/>
    </xf>
    <xf numFmtId="164" fontId="4" fillId="0" borderId="4" xfId="0" applyFont="true" applyBorder="true" applyAlignment="false" applyProtection="true">
      <alignment horizontal="general" vertical="bottom" textRotation="0" wrapText="false" indent="0" shrinkToFit="false"/>
      <protection locked="true" hidden="false"/>
    </xf>
    <xf numFmtId="164" fontId="4" fillId="0" borderId="5" xfId="0" applyFont="true" applyBorder="true" applyAlignment="true" applyProtection="true">
      <alignment horizontal="right" vertical="bottom" textRotation="0" wrapText="false" indent="0" shrinkToFit="false"/>
      <protection locked="true" hidden="false"/>
    </xf>
    <xf numFmtId="164" fontId="4" fillId="0" borderId="0" xfId="0" applyFont="true" applyBorder="true" applyAlignment="true" applyProtection="true">
      <alignment horizontal="right" vertical="bottom" textRotation="0" wrapText="false" indent="0" shrinkToFit="false"/>
      <protection locked="true" hidden="false"/>
    </xf>
    <xf numFmtId="164" fontId="4" fillId="3" borderId="0" xfId="0" applyFont="true" applyBorder="true" applyAlignment="false" applyProtection="false">
      <alignment horizontal="general" vertical="bottom" textRotation="0" wrapText="false" indent="0" shrinkToFit="false"/>
      <protection locked="true" hidden="false"/>
    </xf>
    <xf numFmtId="164" fontId="9" fillId="0" borderId="1" xfId="0" applyFont="true" applyBorder="true" applyAlignment="false" applyProtection="true">
      <alignment horizontal="general" vertical="bottom" textRotation="0" wrapText="false" indent="0" shrinkToFit="false"/>
      <protection locked="true" hidden="false"/>
    </xf>
    <xf numFmtId="164" fontId="9" fillId="0" borderId="0" xfId="0" applyFont="true" applyBorder="true" applyAlignment="false" applyProtection="true">
      <alignment horizontal="general" vertical="bottom" textRotation="0" wrapText="false" indent="0" shrinkToFit="false"/>
      <protection locked="true" hidden="false"/>
    </xf>
    <xf numFmtId="164" fontId="9" fillId="0" borderId="2" xfId="0" applyFont="true" applyBorder="true" applyAlignment="false" applyProtection="true">
      <alignment horizontal="general" vertical="bottom" textRotation="0" wrapText="false" indent="0" shrinkToFit="false"/>
      <protection locked="true" hidden="false"/>
    </xf>
    <xf numFmtId="169" fontId="9" fillId="0" borderId="0" xfId="0" applyFont="true" applyBorder="false" applyAlignment="false" applyProtection="true">
      <alignment horizontal="general" vertical="bottom" textRotation="0" wrapText="false" indent="0" shrinkToFit="false"/>
      <protection locked="false" hidden="false"/>
    </xf>
    <xf numFmtId="171" fontId="4" fillId="3" borderId="0" xfId="19"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9" fillId="0" borderId="2" xfId="0" applyFont="true" applyBorder="true" applyAlignment="true" applyProtection="true">
      <alignment horizontal="left" vertical="bottom" textRotation="0" wrapText="false" indent="0" shrinkToFit="false"/>
      <protection locked="true" hidden="false"/>
    </xf>
    <xf numFmtId="164" fontId="9" fillId="0" borderId="0" xfId="0" applyFont="true" applyBorder="true" applyAlignment="true" applyProtection="true">
      <alignment horizontal="left" vertical="bottom" textRotation="0" wrapText="false" indent="0" shrinkToFit="false"/>
      <protection locked="true" hidden="false"/>
    </xf>
    <xf numFmtId="171" fontId="4" fillId="3" borderId="0" xfId="0" applyFont="true" applyBorder="false" applyAlignment="false" applyProtection="false">
      <alignment horizontal="general" vertical="bottom" textRotation="0" wrapText="false" indent="0" shrinkToFit="false"/>
      <protection locked="true" hidden="false"/>
    </xf>
    <xf numFmtId="172" fontId="9" fillId="0" borderId="0" xfId="0" applyFont="true" applyBorder="false" applyAlignment="false" applyProtection="false">
      <alignment horizontal="general" vertical="bottom" textRotation="0" wrapText="false" indent="0" shrinkToFit="false"/>
      <protection locked="true" hidden="false"/>
    </xf>
    <xf numFmtId="164" fontId="9" fillId="0" borderId="2" xfId="0" applyFont="true" applyBorder="true" applyAlignment="false" applyProtection="true">
      <alignment horizontal="general" vertical="bottom" textRotation="0" wrapText="false" indent="0" shrinkToFit="false"/>
      <protection locked="true" hidden="false"/>
    </xf>
    <xf numFmtId="164" fontId="9" fillId="0" borderId="0" xfId="0" applyFont="true" applyBorder="true" applyAlignment="false" applyProtection="true">
      <alignment horizontal="general" vertical="bottom" textRotation="0" wrapText="false" indent="0" shrinkToFit="false"/>
      <protection locked="true" hidden="false"/>
    </xf>
    <xf numFmtId="169" fontId="10" fillId="4" borderId="6" xfId="20" applyFont="true" applyBorder="true" applyAlignment="true" applyProtection="true">
      <alignment horizontal="general" vertical="bottom" textRotation="0" wrapText="false" indent="0" shrinkToFit="false"/>
      <protection locked="false" hidden="false"/>
    </xf>
    <xf numFmtId="164" fontId="9" fillId="0" borderId="0" xfId="0" applyFont="true" applyBorder="true" applyAlignment="true" applyProtection="true">
      <alignment horizontal="general" vertical="bottom" textRotation="0" wrapText="false" indent="0" shrinkToFit="false"/>
      <protection locked="false" hidden="false"/>
    </xf>
    <xf numFmtId="164" fontId="9" fillId="4" borderId="7" xfId="0" applyFont="true" applyBorder="true" applyAlignment="true" applyProtection="true">
      <alignment horizontal="general" vertical="bottom" textRotation="0" wrapText="false" indent="0" shrinkToFit="false"/>
      <protection locked="false" hidden="false"/>
    </xf>
    <xf numFmtId="173" fontId="9" fillId="0" borderId="0" xfId="0" applyFont="true" applyBorder="true" applyAlignment="false" applyProtection="true">
      <alignment horizontal="general" vertical="bottom" textRotation="0" wrapText="false" indent="0" shrinkToFit="false"/>
      <protection locked="true" hidden="false"/>
    </xf>
    <xf numFmtId="164" fontId="9" fillId="4" borderId="7" xfId="0" applyFont="true" applyBorder="true" applyAlignment="false" applyProtection="true">
      <alignment horizontal="general" vertical="bottom" textRotation="0" wrapText="false" indent="0" shrinkToFit="false"/>
      <protection locked="fals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74" fontId="9" fillId="4" borderId="7" xfId="0" applyFont="true" applyBorder="true" applyAlignment="true" applyProtection="true">
      <alignment horizontal="center" vertical="bottom" textRotation="0" wrapText="false" indent="0" shrinkToFit="false"/>
      <protection locked="false" hidden="false"/>
    </xf>
    <xf numFmtId="164" fontId="9" fillId="4" borderId="7" xfId="0" applyFont="true" applyBorder="true" applyAlignment="true" applyProtection="true">
      <alignment horizontal="center" vertical="bottom" textRotation="0" wrapText="false" indent="0" shrinkToFit="false"/>
      <protection locked="false" hidden="false"/>
    </xf>
    <xf numFmtId="164" fontId="9" fillId="4" borderId="7" xfId="0" applyFont="true" applyBorder="true" applyAlignment="true" applyProtection="true">
      <alignment horizontal="right" vertical="bottom" textRotation="0" wrapText="false" indent="0" shrinkToFit="false"/>
      <protection locked="false" hidden="false"/>
    </xf>
    <xf numFmtId="173" fontId="13"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true" hidden="false"/>
    </xf>
    <xf numFmtId="164" fontId="14" fillId="0" borderId="1" xfId="0" applyFont="true" applyBorder="true" applyAlignment="false" applyProtection="true">
      <alignment horizontal="general" vertical="bottom" textRotation="0" wrapText="false" indent="0" shrinkToFit="false"/>
      <protection locked="true" hidden="false"/>
    </xf>
    <xf numFmtId="164" fontId="15" fillId="0" borderId="1" xfId="0" applyFont="true" applyBorder="true" applyAlignment="false" applyProtection="true">
      <alignment horizontal="general" vertical="bottom" textRotation="0" wrapText="false" indent="0" shrinkToFit="false"/>
      <protection locked="true" hidden="false"/>
    </xf>
    <xf numFmtId="164" fontId="13" fillId="0" borderId="1" xfId="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fals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71"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9" xfId="0" applyFont="true" applyBorder="true" applyAlignment="false" applyProtection="true">
      <alignment horizontal="general" vertical="bottom" textRotation="0" wrapText="false" indent="0" shrinkToFit="false"/>
      <protection locked="true" hidden="false"/>
    </xf>
    <xf numFmtId="164" fontId="4" fillId="0" borderId="8" xfId="0" applyFont="true" applyBorder="true" applyAlignment="false" applyProtection="true">
      <alignment horizontal="general" vertical="bottom" textRotation="0" wrapText="false" indent="0" shrinkToFit="false"/>
      <protection locked="true" hidden="false"/>
    </xf>
    <xf numFmtId="164" fontId="4" fillId="0" borderId="10" xfId="0" applyFont="true" applyBorder="true" applyAlignment="false" applyProtection="tru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4" fontId="4" fillId="5" borderId="0"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false" applyProtection="false">
      <alignment horizontal="general" vertical="bottom" textRotation="0" wrapText="false" indent="0" shrinkToFit="false"/>
      <protection locked="true" hidden="false"/>
    </xf>
    <xf numFmtId="164" fontId="5" fillId="2" borderId="11" xfId="0" applyFont="true" applyBorder="true" applyAlignment="true" applyProtection="false">
      <alignment horizontal="center" vertical="bottom" textRotation="0" wrapText="false" indent="0" shrinkToFit="false"/>
      <protection locked="true" hidden="false"/>
    </xf>
    <xf numFmtId="164" fontId="8" fillId="0" borderId="2" xfId="0" applyFont="true" applyBorder="true" applyAlignment="true" applyProtection="false">
      <alignment horizontal="center"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8" fillId="0" borderId="1" xfId="0" applyFont="true" applyBorder="tru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center" vertical="bottom" textRotation="0" wrapText="false" indent="0" shrinkToFit="false"/>
      <protection locked="true" hidden="false"/>
    </xf>
    <xf numFmtId="164" fontId="22" fillId="0" borderId="2" xfId="0" applyFont="true" applyBorder="true" applyAlignment="false" applyProtection="false">
      <alignment horizontal="general" vertical="bottom" textRotation="0" wrapText="false" indent="0" shrinkToFit="false"/>
      <protection locked="true" hidden="false"/>
    </xf>
    <xf numFmtId="164" fontId="8" fillId="0" borderId="11" xfId="0" applyFont="true" applyBorder="true" applyAlignment="true" applyProtection="false">
      <alignment horizontal="center" vertical="bottom" textRotation="0" wrapText="false" indent="0" shrinkToFit="false"/>
      <protection locked="true" hidden="false"/>
    </xf>
    <xf numFmtId="164" fontId="23" fillId="0" borderId="11" xfId="0" applyFont="true" applyBorder="true" applyAlignment="true" applyProtection="false">
      <alignment horizontal="center" vertical="bottom" textRotation="0" wrapText="false" indent="0" shrinkToFit="false"/>
      <protection locked="true" hidden="false"/>
    </xf>
    <xf numFmtId="174" fontId="23" fillId="0" borderId="11" xfId="0" applyFont="true" applyBorder="true" applyAlignment="true" applyProtection="false">
      <alignment horizontal="center" vertical="bottom" textRotation="0" wrapText="false" indent="0" shrinkToFit="false"/>
      <protection locked="true" hidden="false"/>
    </xf>
    <xf numFmtId="164" fontId="23"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true" applyAlignment="false" applyProtection="false">
      <alignment horizontal="general" vertical="bottom" textRotation="0" wrapText="false" indent="0" shrinkToFit="false"/>
      <protection locked="true" hidden="false"/>
    </xf>
    <xf numFmtId="164" fontId="26" fillId="6" borderId="0" xfId="20" applyFont="true" applyBorder="true" applyAlignment="true" applyProtection="true">
      <alignment horizontal="general" vertical="bottom" textRotation="0" wrapText="false" indent="0" shrinkToFit="false"/>
      <protection locked="false" hidden="false"/>
    </xf>
    <xf numFmtId="164" fontId="25" fillId="6" borderId="0" xfId="0" applyFont="true" applyBorder="true" applyAlignment="false" applyProtection="true">
      <alignment horizontal="general" vertical="bottom" textRotation="0" wrapText="false" indent="0" shrinkToFit="false"/>
      <protection locked="false" hidden="false"/>
    </xf>
    <xf numFmtId="164" fontId="9" fillId="6" borderId="0" xfId="0" applyFont="true" applyBorder="true" applyAlignment="false" applyProtection="false">
      <alignment horizontal="general" vertical="bottom" textRotation="0" wrapText="false" indent="0" shrinkToFit="false"/>
      <protection locked="true" hidden="false"/>
    </xf>
    <xf numFmtId="164" fontId="4" fillId="6" borderId="0" xfId="0" applyFont="true" applyBorder="true" applyAlignment="false" applyProtection="false">
      <alignment horizontal="general" vertical="bottom" textRotation="0" wrapText="false" indent="0" shrinkToFit="false"/>
      <protection locked="true" hidden="false"/>
    </xf>
    <xf numFmtId="164" fontId="24" fillId="6" borderId="0" xfId="0" applyFont="true" applyBorder="true" applyAlignment="false" applyProtection="true">
      <alignment horizontal="general" vertical="bottom" textRotation="0" wrapText="false" indent="0" shrinkToFit="false"/>
      <protection locked="false" hidden="false"/>
    </xf>
    <xf numFmtId="164" fontId="4" fillId="6" borderId="0" xfId="0" applyFont="true" applyBorder="true" applyAlignment="false" applyProtection="true">
      <alignment horizontal="general" vertical="bottom" textRotation="0" wrapText="false" indent="0" shrinkToFit="false"/>
      <protection locked="false" hidden="false"/>
    </xf>
    <xf numFmtId="164" fontId="25" fillId="6" borderId="0" xfId="0" applyFont="true" applyBorder="true" applyAlignment="false" applyProtection="false">
      <alignment horizontal="general" vertical="bottom" textRotation="0" wrapText="false" indent="0" shrinkToFit="false"/>
      <protection locked="true" hidden="false"/>
    </xf>
    <xf numFmtId="164" fontId="27" fillId="6" borderId="0" xfId="20" applyFont="true" applyBorder="true" applyAlignment="true" applyProtection="true">
      <alignment horizontal="general" vertical="bottom" textRotation="0" wrapText="false" indent="0" shrinkToFit="false"/>
      <protection locked="false" hidden="false"/>
    </xf>
    <xf numFmtId="164" fontId="15" fillId="6" borderId="0" xfId="0" applyFont="true" applyBorder="true" applyAlignment="false" applyProtection="false">
      <alignment horizontal="general" vertical="bottom" textRotation="0" wrapText="false" indent="0" shrinkToFit="false"/>
      <protection locked="true" hidden="false"/>
    </xf>
    <xf numFmtId="172" fontId="27" fillId="6" borderId="0" xfId="20" applyFont="true" applyBorder="true" applyAlignment="true" applyProtection="true">
      <alignment horizontal="general" vertical="bottom" textRotation="0" wrapText="false" indent="0" shrinkToFit="false"/>
      <protection locked="false" hidden="false"/>
    </xf>
    <xf numFmtId="164" fontId="9" fillId="0" borderId="2" xfId="0" applyFont="true" applyBorder="true" applyAlignment="false" applyProtection="false">
      <alignment horizontal="general" vertical="bottom" textRotation="0" wrapText="false" indent="0" shrinkToFit="false"/>
      <protection locked="true" hidden="false"/>
    </xf>
    <xf numFmtId="164" fontId="28" fillId="6" borderId="0" xfId="20" applyFont="true" applyBorder="true" applyAlignment="true" applyProtection="true">
      <alignment horizontal="general" vertical="bottom" textRotation="0" wrapText="false" indent="0" shrinkToFit="false"/>
      <protection locked="false" hidden="false"/>
    </xf>
    <xf numFmtId="164" fontId="4" fillId="0" borderId="2" xfId="0" applyFont="true" applyBorder="true" applyAlignment="false" applyProtection="false">
      <alignment horizontal="general" vertical="bottom" textRotation="0" wrapText="false" indent="0" shrinkToFit="false"/>
      <protection locked="true" hidden="false"/>
    </xf>
    <xf numFmtId="164" fontId="27" fillId="6" borderId="0" xfId="20" applyFont="true" applyBorder="true" applyAlignment="true" applyProtection="true">
      <alignment horizontal="general" vertical="bottom" textRotation="0" wrapText="false" indent="0" shrinkToFit="false"/>
      <protection locked="true" hidden="false"/>
    </xf>
    <xf numFmtId="164" fontId="4" fillId="0" borderId="9"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0"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2" xfId="0" applyFont="true" applyBorder="true" applyAlignment="true" applyProtection="false">
      <alignment horizontal="center" vertical="bottom" textRotation="0" wrapText="false" indent="0" shrinkToFit="false"/>
      <protection locked="true" hidden="false"/>
    </xf>
    <xf numFmtId="164" fontId="4" fillId="3" borderId="0" xfId="0" applyFont="true" applyBorder="false" applyAlignment="false" applyProtection="true">
      <alignment horizontal="general" vertical="bottom" textRotation="0" wrapText="false" indent="0" shrinkToFit="false"/>
      <protection locked="true" hidden="false"/>
    </xf>
    <xf numFmtId="164" fontId="4" fillId="3" borderId="1" xfId="0" applyFont="true" applyBorder="true" applyAlignment="false" applyProtection="true">
      <alignment horizontal="general" vertical="bottom" textRotation="0" wrapText="false" indent="0" shrinkToFit="false"/>
      <protection locked="true" hidden="false"/>
    </xf>
    <xf numFmtId="164" fontId="4" fillId="3" borderId="0" xfId="0" applyFont="true" applyBorder="true" applyAlignment="false" applyProtection="true">
      <alignment horizontal="general" vertical="bottom" textRotation="0" wrapText="false" indent="0" shrinkToFit="false"/>
      <protection locked="true" hidden="false"/>
    </xf>
    <xf numFmtId="164" fontId="29" fillId="3" borderId="0" xfId="0" applyFont="true" applyBorder="true" applyAlignment="false" applyProtection="true">
      <alignment horizontal="general" vertical="bottom" textRotation="0" wrapText="false" indent="0" shrinkToFit="false"/>
      <protection locked="true" hidden="false"/>
    </xf>
    <xf numFmtId="164" fontId="4" fillId="3" borderId="4" xfId="0" applyFont="true" applyBorder="true" applyAlignment="false" applyProtection="true">
      <alignment horizontal="general" vertical="bottom" textRotation="0" wrapText="false" indent="0" shrinkToFit="false"/>
      <protection locked="true" hidden="false"/>
    </xf>
    <xf numFmtId="164" fontId="4" fillId="3" borderId="5" xfId="0" applyFont="true" applyBorder="true" applyAlignment="false" applyProtection="true">
      <alignment horizontal="general" vertical="bottom" textRotation="0" wrapText="false" indent="0" shrinkToFit="false"/>
      <protection locked="true" hidden="false"/>
    </xf>
    <xf numFmtId="164" fontId="24" fillId="5" borderId="7" xfId="0" applyFont="true" applyBorder="true" applyAlignment="true" applyProtection="true">
      <alignment horizontal="center" vertical="center" textRotation="0" wrapText="false" indent="0" shrinkToFit="false"/>
      <protection locked="true" hidden="false"/>
    </xf>
    <xf numFmtId="164" fontId="4" fillId="3" borderId="2" xfId="0" applyFont="true" applyBorder="true" applyAlignment="false" applyProtection="true">
      <alignment horizontal="general" vertical="bottom" textRotation="0" wrapText="false" indent="0" shrinkToFit="false"/>
      <protection locked="true" hidden="false"/>
    </xf>
    <xf numFmtId="164" fontId="9" fillId="3" borderId="0" xfId="0" applyFont="true" applyBorder="true" applyAlignment="true" applyProtection="true">
      <alignment horizontal="center" vertical="center" textRotation="0" wrapText="false" indent="0" shrinkToFit="false"/>
      <protection locked="true" hidden="false"/>
    </xf>
    <xf numFmtId="164" fontId="4" fillId="3" borderId="0" xfId="0" applyFont="true" applyBorder="true" applyAlignment="true" applyProtection="true">
      <alignment horizontal="center" vertical="top" textRotation="0" wrapText="false" indent="0" shrinkToFit="false"/>
      <protection locked="true" hidden="false"/>
    </xf>
    <xf numFmtId="164" fontId="4" fillId="3" borderId="0" xfId="0" applyFont="true" applyBorder="true" applyAlignment="true" applyProtection="true">
      <alignment horizontal="center" vertical="center"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30" fillId="3" borderId="1" xfId="0" applyFont="true" applyBorder="true" applyAlignment="false" applyProtection="true">
      <alignment horizontal="general" vertical="bottom" textRotation="0" wrapText="false" indent="0" shrinkToFit="false"/>
      <protection locked="false" hidden="false"/>
    </xf>
    <xf numFmtId="164" fontId="4" fillId="3" borderId="0" xfId="0" applyFont="true" applyBorder="true" applyAlignment="true" applyProtection="true">
      <alignment horizontal="left" vertical="top" textRotation="0" wrapText="false" indent="0" shrinkToFit="false"/>
      <protection locked="true" hidden="false"/>
    </xf>
    <xf numFmtId="164" fontId="4" fillId="3" borderId="9" xfId="0" applyFont="true" applyBorder="true" applyAlignment="false" applyProtection="true">
      <alignment horizontal="general" vertical="bottom" textRotation="0" wrapText="false" indent="0" shrinkToFit="false"/>
      <protection locked="true" hidden="false"/>
    </xf>
    <xf numFmtId="164" fontId="4" fillId="3" borderId="8" xfId="0" applyFont="true" applyBorder="true" applyAlignment="false" applyProtection="true">
      <alignment horizontal="general" vertical="bottom" textRotation="0" wrapText="false" indent="0" shrinkToFit="false"/>
      <protection locked="true" hidden="false"/>
    </xf>
    <xf numFmtId="164" fontId="4" fillId="3" borderId="8"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3" borderId="10" xfId="0" applyFont="true" applyBorder="true" applyAlignment="false" applyProtection="true">
      <alignment horizontal="general" vertical="bottom" textRotation="0" wrapText="false" indent="0" shrinkToFit="false"/>
      <protection locked="true" hidden="false"/>
    </xf>
    <xf numFmtId="164" fontId="4" fillId="7" borderId="9" xfId="0" applyFont="true" applyBorder="true" applyAlignment="false" applyProtection="true">
      <alignment horizontal="general" vertical="bottom" textRotation="0" wrapText="false" indent="0" shrinkToFit="false"/>
      <protection locked="false" hidden="false"/>
    </xf>
    <xf numFmtId="164" fontId="4" fillId="3" borderId="10" xfId="0" applyFont="true" applyBorder="true" applyAlignment="false" applyProtection="false">
      <alignment horizontal="general" vertical="bottom" textRotation="0" wrapText="false" indent="0" shrinkToFit="false"/>
      <protection locked="true" hidden="false"/>
    </xf>
    <xf numFmtId="164" fontId="4" fillId="3" borderId="9" xfId="0" applyFont="true" applyBorder="true" applyAlignment="false" applyProtection="false">
      <alignment horizontal="general" vertical="bottom" textRotation="0" wrapText="false" indent="0" shrinkToFit="false"/>
      <protection locked="true" hidden="false"/>
    </xf>
    <xf numFmtId="164" fontId="4" fillId="8" borderId="0" xfId="0" applyFont="true" applyBorder="fals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5" fillId="2" borderId="4" xfId="0" applyFont="true" applyBorder="true" applyAlignment="false" applyProtection="false">
      <alignment horizontal="general" vertical="bottom" textRotation="0" wrapText="false" indent="0" shrinkToFit="false"/>
      <protection locked="true" hidden="false"/>
    </xf>
    <xf numFmtId="164" fontId="7" fillId="2" borderId="5" xfId="0" applyFont="true" applyBorder="true" applyAlignment="true" applyProtection="false">
      <alignment horizontal="right" vertical="bottom" textRotation="0" wrapText="false" indent="0" shrinkToFit="false"/>
      <protection locked="true" hidden="false"/>
    </xf>
    <xf numFmtId="164" fontId="33" fillId="0" borderId="0" xfId="0" applyFont="true" applyBorder="true" applyAlignment="false" applyProtection="false">
      <alignment horizontal="general" vertical="bottom" textRotation="0" wrapText="false" indent="0" shrinkToFit="false"/>
      <protection locked="true" hidden="false"/>
    </xf>
    <xf numFmtId="169" fontId="4"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right" vertical="bottom" textRotation="0" wrapText="false" indent="0" shrinkToFit="false"/>
      <protection locked="true" hidden="false"/>
    </xf>
    <xf numFmtId="173" fontId="13" fillId="0" borderId="0" xfId="0" applyFont="true" applyBorder="true" applyAlignment="false" applyProtection="false">
      <alignment horizontal="general" vertical="bottom" textRotation="0" wrapText="false" indent="0" shrinkToFit="false"/>
      <protection locked="true" hidden="false"/>
    </xf>
    <xf numFmtId="164" fontId="33" fillId="0" borderId="2" xfId="0" applyFont="true" applyBorder="true" applyAlignment="false" applyProtection="false">
      <alignment horizontal="general" vertical="bottom" textRotation="0" wrapText="false" indent="0" shrinkToFit="false"/>
      <protection locked="true" hidden="false"/>
    </xf>
    <xf numFmtId="173" fontId="33"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right" vertical="bottom" textRotation="0" wrapText="false" indent="0" shrinkToFit="false"/>
      <protection locked="true" hidden="false"/>
    </xf>
    <xf numFmtId="164" fontId="4" fillId="0" borderId="0" xfId="0" applyFont="true" applyBorder="true" applyAlignment="true" applyProtection="false">
      <alignment horizontal="left" vertical="bottom" textRotation="0" wrapText="false" indent="0" shrinkToFit="false"/>
      <protection locked="true" hidden="false"/>
    </xf>
    <xf numFmtId="164" fontId="4" fillId="0" borderId="2" xfId="0" applyFont="true" applyBorder="true" applyAlignment="true" applyProtection="false">
      <alignment horizontal="right" vertical="bottom" textRotation="0" wrapText="false" indent="0" shrinkToFit="false"/>
      <protection locked="true" hidden="false"/>
    </xf>
    <xf numFmtId="164" fontId="13" fillId="8" borderId="0" xfId="0" applyFont="true" applyBorder="false" applyAlignment="false" applyProtection="false">
      <alignment horizontal="general" vertical="bottom" textRotation="0" wrapText="false" indent="0" shrinkToFit="false"/>
      <protection locked="true" hidden="false"/>
    </xf>
    <xf numFmtId="164" fontId="34" fillId="0" borderId="8" xfId="0" applyFont="true" applyBorder="true" applyAlignment="false" applyProtection="false">
      <alignment horizontal="general" vertical="bottom" textRotation="0" wrapText="false" indent="0" shrinkToFit="false"/>
      <protection locked="true" hidden="false"/>
    </xf>
    <xf numFmtId="173" fontId="34" fillId="0" borderId="8" xfId="0" applyFont="true" applyBorder="true" applyAlignment="false" applyProtection="false">
      <alignment horizontal="general" vertical="bottom" textRotation="0" wrapText="false" indent="0" shrinkToFit="false"/>
      <protection locked="true" hidden="false"/>
    </xf>
    <xf numFmtId="164" fontId="34" fillId="0" borderId="10"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true" applyAlignment="false" applyProtection="false">
      <alignment horizontal="general" vertical="bottom" textRotation="0" wrapText="false" indent="0" shrinkToFit="false"/>
      <protection locked="true" hidden="false"/>
    </xf>
    <xf numFmtId="173" fontId="34" fillId="0" borderId="0" xfId="0" applyFont="true" applyBorder="true" applyAlignment="false" applyProtection="false">
      <alignment horizontal="general" vertical="bottom" textRotation="0" wrapText="false" indent="0" shrinkToFit="false"/>
      <protection locked="true" hidden="false"/>
    </xf>
    <xf numFmtId="164" fontId="25" fillId="5" borderId="13" xfId="0" applyFont="true" applyBorder="true" applyAlignment="false" applyProtection="false">
      <alignment horizontal="general" vertical="bottom" textRotation="0" wrapText="false" indent="0" shrinkToFit="false"/>
      <protection locked="true" hidden="false"/>
    </xf>
    <xf numFmtId="164" fontId="4" fillId="5" borderId="14" xfId="0" applyFont="true" applyBorder="true" applyAlignment="false" applyProtection="false">
      <alignment horizontal="general" vertical="bottom" textRotation="0" wrapText="false" indent="0" shrinkToFit="false"/>
      <protection locked="true" hidden="false"/>
    </xf>
    <xf numFmtId="164" fontId="4" fillId="5" borderId="15" xfId="0" applyFont="tru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4" fontId="4" fillId="0" borderId="9" xfId="0" applyFont="true" applyBorder="true" applyAlignment="false" applyProtection="false">
      <alignment horizontal="general" vertical="bottom" textRotation="0" wrapText="false" indent="0" shrinkToFit="false"/>
      <protection locked="true" hidden="false"/>
    </xf>
    <xf numFmtId="164" fontId="4" fillId="0" borderId="10" xfId="0" applyFont="true" applyBorder="true" applyAlignment="false" applyProtection="false">
      <alignment horizontal="general" vertical="bottom" textRotation="0" wrapText="false" indent="0" shrinkToFit="false"/>
      <protection locked="true" hidden="false"/>
    </xf>
    <xf numFmtId="164" fontId="5" fillId="2" borderId="13" xfId="0" applyFont="true" applyBorder="true" applyAlignment="false" applyProtection="false">
      <alignment horizontal="general" vertical="bottom" textRotation="0" wrapText="false" indent="0" shrinkToFit="false"/>
      <protection locked="true" hidden="false"/>
    </xf>
    <xf numFmtId="164" fontId="5" fillId="2" borderId="14" xfId="0" applyFont="true" applyBorder="true" applyAlignment="false" applyProtection="false">
      <alignment horizontal="general" vertical="bottom" textRotation="0" wrapText="false" indent="0" shrinkToFit="false"/>
      <protection locked="true" hidden="false"/>
    </xf>
    <xf numFmtId="164" fontId="5" fillId="2" borderId="15" xfId="0" applyFont="true" applyBorder="true" applyAlignment="true" applyProtection="false">
      <alignment horizontal="right" vertical="bottom" textRotation="0" wrapText="false" indent="0" shrinkToFit="false"/>
      <protection locked="true" hidden="false"/>
    </xf>
    <xf numFmtId="169" fontId="4" fillId="9" borderId="3" xfId="0" applyFont="true" applyBorder="true" applyAlignment="false" applyProtection="false">
      <alignment horizontal="general" vertical="bottom" textRotation="0" wrapText="false" indent="0" shrinkToFit="false"/>
      <protection locked="true" hidden="false"/>
    </xf>
    <xf numFmtId="164" fontId="4" fillId="9" borderId="4" xfId="0" applyFont="true" applyBorder="true" applyAlignment="false" applyProtection="false">
      <alignment horizontal="general" vertical="bottom" textRotation="0" wrapText="false" indent="0" shrinkToFit="false"/>
      <protection locked="true" hidden="false"/>
    </xf>
    <xf numFmtId="164" fontId="4" fillId="9" borderId="5" xfId="0" applyFont="true" applyBorder="true" applyAlignment="false" applyProtection="false">
      <alignment horizontal="general" vertical="bottom" textRotation="0" wrapText="false" indent="0" shrinkToFit="false"/>
      <protection locked="true" hidden="false"/>
    </xf>
    <xf numFmtId="164" fontId="4" fillId="9" borderId="1" xfId="0" applyFont="true" applyBorder="true" applyAlignment="false" applyProtection="false">
      <alignment horizontal="general" vertical="bottom" textRotation="0" wrapText="false" indent="0" shrinkToFit="false"/>
      <protection locked="true" hidden="false"/>
    </xf>
    <xf numFmtId="164" fontId="4" fillId="9" borderId="0" xfId="0" applyFont="true" applyBorder="true" applyAlignment="false" applyProtection="false">
      <alignment horizontal="general" vertical="bottom" textRotation="0" wrapText="false" indent="0" shrinkToFit="false"/>
      <protection locked="true" hidden="false"/>
    </xf>
    <xf numFmtId="164" fontId="4" fillId="9" borderId="2" xfId="0" applyFont="true" applyBorder="true" applyAlignment="false" applyProtection="false">
      <alignment horizontal="general" vertical="bottom" textRotation="0" wrapText="false" indent="0" shrinkToFit="false"/>
      <protection locked="true" hidden="false"/>
    </xf>
    <xf numFmtId="164" fontId="4" fillId="9" borderId="9" xfId="0" applyFont="true" applyBorder="true" applyAlignment="false" applyProtection="false">
      <alignment horizontal="general" vertical="bottom" textRotation="0" wrapText="false" indent="0" shrinkToFit="false"/>
      <protection locked="true" hidden="false"/>
    </xf>
    <xf numFmtId="164" fontId="4" fillId="9" borderId="8" xfId="0" applyFont="true" applyBorder="true" applyAlignment="false" applyProtection="false">
      <alignment horizontal="general" vertical="bottom" textRotation="0" wrapText="false" indent="0" shrinkToFit="false"/>
      <protection locked="true" hidden="false"/>
    </xf>
    <xf numFmtId="164" fontId="4" fillId="9" borderId="10" xfId="0" applyFont="true" applyBorder="true" applyAlignment="false" applyProtection="false">
      <alignment horizontal="general" vertical="bottom" textRotation="0" wrapText="false" indent="0" shrinkToFit="false"/>
      <protection locked="true" hidden="false"/>
    </xf>
    <xf numFmtId="164" fontId="4" fillId="9" borderId="3" xfId="0" applyFont="true" applyBorder="true" applyAlignment="false" applyProtection="false">
      <alignment horizontal="general" vertical="bottom" textRotation="0" wrapText="false" indent="0" shrinkToFit="false"/>
      <protection locked="true" hidden="false"/>
    </xf>
    <xf numFmtId="164" fontId="24" fillId="9" borderId="3" xfId="0" applyFont="true" applyBorder="true" applyAlignment="false" applyProtection="false">
      <alignment horizontal="general" vertical="bottom" textRotation="0" wrapText="false" indent="0" shrinkToFit="false"/>
      <protection locked="true" hidden="false"/>
    </xf>
    <xf numFmtId="164" fontId="24" fillId="9" borderId="1" xfId="0" applyFont="true" applyBorder="true" applyAlignment="false" applyProtection="false">
      <alignment horizontal="general" vertical="bottom" textRotation="0" wrapText="false" indent="0" shrinkToFit="false"/>
      <protection locked="true" hidden="false"/>
    </xf>
    <xf numFmtId="164" fontId="24" fillId="9" borderId="9" xfId="0" applyFont="true" applyBorder="true" applyAlignment="false" applyProtection="false">
      <alignment horizontal="general" vertical="bottom" textRotation="0" wrapText="false" indent="0" shrinkToFit="false"/>
      <protection locked="tru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4" fillId="6" borderId="14" xfId="0" applyFont="true" applyBorder="true" applyAlignment="false" applyProtection="true">
      <alignment horizontal="general" vertical="bottom" textRotation="0" wrapText="false" indent="0" shrinkToFit="false"/>
      <protection locked="false" hidden="false"/>
    </xf>
    <xf numFmtId="164" fontId="4" fillId="6" borderId="15" xfId="0" applyFont="true" applyBorder="true" applyAlignment="false" applyProtection="true">
      <alignment horizontal="general" vertical="bottom" textRotation="0" wrapText="false" indent="0" shrinkToFit="false"/>
      <protection locked="false" hidden="false"/>
    </xf>
    <xf numFmtId="164" fontId="25" fillId="0" borderId="1" xfId="0" applyFont="true" applyBorder="true" applyAlignment="false" applyProtection="false">
      <alignment horizontal="general" vertical="bottom" textRotation="0" wrapText="false" indent="0" shrinkToFit="false"/>
      <protection locked="true" hidden="false"/>
    </xf>
    <xf numFmtId="164" fontId="4" fillId="6" borderId="4" xfId="0" applyFont="true" applyBorder="true" applyAlignment="false" applyProtection="true">
      <alignment horizontal="general" vertical="bottom" textRotation="0" wrapText="false" indent="0" shrinkToFit="false"/>
      <protection locked="false" hidden="false"/>
    </xf>
    <xf numFmtId="164" fontId="4" fillId="3" borderId="15" xfId="0" applyFont="true" applyBorder="true" applyAlignment="false" applyProtection="true">
      <alignment horizontal="general" vertical="bottom" textRotation="0" wrapText="false" indent="0" shrinkToFit="false"/>
      <protection locked="false" hidden="false"/>
    </xf>
    <xf numFmtId="164" fontId="4" fillId="6" borderId="7" xfId="0" applyFont="true" applyBorder="true" applyAlignment="true" applyProtection="true">
      <alignment horizontal="center" vertical="bottom" textRotation="0" wrapText="false" indent="0" shrinkToFit="false"/>
      <protection locked="false" hidden="false"/>
    </xf>
    <xf numFmtId="164" fontId="4" fillId="6" borderId="8" xfId="0" applyFont="true" applyBorder="true" applyAlignment="false" applyProtection="true">
      <alignment horizontal="general" vertical="bottom" textRotation="0" wrapText="false" indent="0" shrinkToFit="false"/>
      <protection locked="false" hidden="false"/>
    </xf>
    <xf numFmtId="164" fontId="4" fillId="3" borderId="7" xfId="0" applyFont="true" applyBorder="true" applyAlignment="false" applyProtection="true">
      <alignment horizontal="general" vertical="bottom" textRotation="0" wrapText="false" indent="0" shrinkToFit="false"/>
      <protection locked="false" hidden="false"/>
    </xf>
    <xf numFmtId="164" fontId="4" fillId="3" borderId="13" xfId="0" applyFont="true" applyBorder="true" applyAlignment="false" applyProtection="true">
      <alignment horizontal="general" vertical="bottom" textRotation="0" wrapText="false" indent="0" shrinkToFit="false"/>
      <protection locked="fals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6" borderId="13" xfId="0" applyFont="true" applyBorder="true" applyAlignment="false" applyProtection="true">
      <alignment horizontal="general" vertical="bottom" textRotation="0" wrapText="false" indent="0" shrinkToFit="false"/>
      <protection locked="false" hidden="false"/>
    </xf>
    <xf numFmtId="164" fontId="4" fillId="6" borderId="5" xfId="0" applyFont="true" applyBorder="true" applyAlignment="false" applyProtection="true">
      <alignment horizontal="general" vertical="bottom" textRotation="0" wrapText="false" indent="0" shrinkToFit="false"/>
      <protection locked="false" hidden="false"/>
    </xf>
    <xf numFmtId="164" fontId="25" fillId="0" borderId="9"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true">
      <alignment horizontal="general" vertical="bottom" textRotation="0" wrapText="false" indent="0" shrinkToFit="false"/>
      <protection locked="true" hidden="false"/>
    </xf>
    <xf numFmtId="164" fontId="0" fillId="0" borderId="2" xfId="0" applyFont="false" applyBorder="true" applyAlignment="false" applyProtection="true">
      <alignment horizontal="general" vertical="bottom" textRotation="0" wrapText="false" indent="0" shrinkToFit="false"/>
      <protection locked="true" hidden="false"/>
    </xf>
    <xf numFmtId="164" fontId="4" fillId="8" borderId="0" xfId="0" applyFont="true" applyBorder="false" applyAlignment="fals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true" hidden="false"/>
    </xf>
    <xf numFmtId="164" fontId="5" fillId="2" borderId="13" xfId="0" applyFont="true" applyBorder="true" applyAlignment="false" applyProtection="true">
      <alignment horizontal="general" vertical="bottom" textRotation="0" wrapText="false" indent="0" shrinkToFit="false"/>
      <protection locked="true" hidden="false"/>
    </xf>
    <xf numFmtId="164" fontId="5" fillId="2" borderId="14" xfId="0" applyFont="true" applyBorder="true" applyAlignment="false" applyProtection="true">
      <alignment horizontal="general" vertical="bottom" textRotation="0" wrapText="false" indent="0" shrinkToFit="false"/>
      <protection locked="true" hidden="false"/>
    </xf>
    <xf numFmtId="164" fontId="5" fillId="2" borderId="15" xfId="0" applyFont="true" applyBorder="true" applyAlignment="true" applyProtection="true">
      <alignment horizontal="right" vertical="bottom" textRotation="0" wrapText="false" indent="0" shrinkToFit="false"/>
      <protection locked="true" hidden="false"/>
    </xf>
    <xf numFmtId="164" fontId="38" fillId="3" borderId="0" xfId="0" applyFont="true" applyBorder="false" applyAlignment="false" applyProtection="true">
      <alignment horizontal="general" vertical="bottom" textRotation="0" wrapText="false" indent="0" shrinkToFit="false"/>
      <protection locked="true" hidden="false"/>
    </xf>
    <xf numFmtId="164" fontId="38" fillId="8" borderId="0" xfId="0" applyFont="true" applyBorder="false" applyAlignment="false" applyProtection="true">
      <alignment horizontal="general" vertical="bottom" textRotation="0" wrapText="false" indent="0" shrinkToFit="false"/>
      <protection locked="true" hidden="false"/>
    </xf>
    <xf numFmtId="164" fontId="38" fillId="0" borderId="0" xfId="0" applyFont="true" applyBorder="false" applyAlignment="false" applyProtection="true">
      <alignment horizontal="general" vertical="bottom" textRotation="0" wrapText="false" indent="0" shrinkToFit="false"/>
      <protection locked="true" hidden="false"/>
    </xf>
    <xf numFmtId="164" fontId="33" fillId="0" borderId="0" xfId="0" applyFont="true" applyBorder="true" applyAlignment="false" applyProtection="true">
      <alignment horizontal="general" vertical="bottom" textRotation="0" wrapText="false" indent="0" shrinkToFit="false"/>
      <protection locked="true" hidden="false"/>
    </xf>
    <xf numFmtId="169" fontId="4" fillId="0" borderId="0"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right" vertical="bottom" textRotation="0" wrapText="false" indent="0" shrinkToFit="false"/>
      <protection locked="true" hidden="false"/>
    </xf>
    <xf numFmtId="164" fontId="33" fillId="0" borderId="2" xfId="0" applyFont="true" applyBorder="true" applyAlignment="false" applyProtection="true">
      <alignment horizontal="general" vertical="bottom" textRotation="0" wrapText="false" indent="0" shrinkToFit="false"/>
      <protection locked="true" hidden="false"/>
    </xf>
    <xf numFmtId="164" fontId="25" fillId="0" borderId="0" xfId="0" applyFont="true" applyBorder="true" applyAlignment="false" applyProtection="true">
      <alignment horizontal="general" vertical="bottom" textRotation="0" wrapText="false" indent="0" shrinkToFit="false"/>
      <protection locked="true" hidden="false"/>
    </xf>
    <xf numFmtId="173" fontId="33" fillId="0" borderId="0"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right"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64" fontId="4" fillId="0" borderId="2" xfId="0" applyFont="true" applyBorder="true" applyAlignment="true" applyProtection="true">
      <alignment horizontal="right" vertical="bottom" textRotation="0" wrapText="false" indent="0" shrinkToFit="false"/>
      <protection locked="true" hidden="false"/>
    </xf>
    <xf numFmtId="164" fontId="34" fillId="0" borderId="8" xfId="0" applyFont="true" applyBorder="true" applyAlignment="false" applyProtection="true">
      <alignment horizontal="general" vertical="bottom" textRotation="0" wrapText="false" indent="0" shrinkToFit="false"/>
      <protection locked="true" hidden="false"/>
    </xf>
    <xf numFmtId="173" fontId="34" fillId="0" borderId="8" xfId="0" applyFont="true" applyBorder="true" applyAlignment="false" applyProtection="true">
      <alignment horizontal="general" vertical="bottom" textRotation="0" wrapText="false" indent="0" shrinkToFit="false"/>
      <protection locked="true" hidden="false"/>
    </xf>
    <xf numFmtId="164" fontId="34" fillId="0" borderId="10" xfId="0" applyFont="true" applyBorder="true" applyAlignment="false" applyProtection="true">
      <alignment horizontal="general" vertical="bottom" textRotation="0" wrapText="false" indent="0" shrinkToFit="false"/>
      <protection locked="true" hidden="false"/>
    </xf>
    <xf numFmtId="164" fontId="25" fillId="5" borderId="13" xfId="0" applyFont="true" applyBorder="true" applyAlignment="false" applyProtection="true">
      <alignment horizontal="general" vertical="bottom" textRotation="0" wrapText="false" indent="0" shrinkToFit="false"/>
      <protection locked="true" hidden="false"/>
    </xf>
    <xf numFmtId="164" fontId="4" fillId="5" borderId="14" xfId="0" applyFont="true" applyBorder="true" applyAlignment="false" applyProtection="true">
      <alignment horizontal="general" vertical="bottom" textRotation="0" wrapText="false" indent="0" shrinkToFit="false"/>
      <protection locked="true" hidden="false"/>
    </xf>
    <xf numFmtId="164" fontId="4" fillId="5" borderId="15" xfId="0" applyFont="true" applyBorder="true" applyAlignment="false" applyProtection="true">
      <alignment horizontal="general" vertical="bottom" textRotation="0" wrapText="false" indent="0" shrinkToFit="false"/>
      <protection locked="true" hidden="false"/>
    </xf>
    <xf numFmtId="164" fontId="4" fillId="9" borderId="0" xfId="0" applyFont="true" applyBorder="false" applyAlignment="false" applyProtection="true">
      <alignment horizontal="general" vertical="bottom" textRotation="0" wrapText="false" indent="0" shrinkToFit="false"/>
      <protection locked="true" hidden="false"/>
    </xf>
    <xf numFmtId="164" fontId="4" fillId="6" borderId="3" xfId="0" applyFont="true" applyBorder="true" applyAlignment="false" applyProtection="true">
      <alignment horizontal="general" vertical="bottom" textRotation="0" wrapText="false" indent="0" shrinkToFit="false"/>
      <protection locked="true" hidden="false"/>
    </xf>
    <xf numFmtId="164" fontId="4" fillId="6" borderId="4" xfId="0" applyFont="true" applyBorder="true" applyAlignment="false" applyProtection="true">
      <alignment horizontal="general" vertical="bottom" textRotation="0" wrapText="false" indent="0" shrinkToFit="false"/>
      <protection locked="true" hidden="false"/>
    </xf>
    <xf numFmtId="164" fontId="4" fillId="6" borderId="5" xfId="0" applyFont="true" applyBorder="true" applyAlignment="false" applyProtection="true">
      <alignment horizontal="general" vertical="bottom" textRotation="0" wrapText="false" indent="0" shrinkToFit="false"/>
      <protection locked="true" hidden="false"/>
    </xf>
    <xf numFmtId="164" fontId="4" fillId="6" borderId="1" xfId="0" applyFont="true" applyBorder="true" applyAlignment="false" applyProtection="true">
      <alignment horizontal="general" vertical="bottom" textRotation="0" wrapText="false" indent="0" shrinkToFit="false"/>
      <protection locked="true" hidden="false"/>
    </xf>
    <xf numFmtId="164" fontId="4" fillId="6" borderId="0" xfId="0" applyFont="true" applyBorder="true" applyAlignment="false" applyProtection="true">
      <alignment horizontal="general" vertical="bottom" textRotation="0" wrapText="false" indent="0" shrinkToFit="false"/>
      <protection locked="true" hidden="false"/>
    </xf>
    <xf numFmtId="164" fontId="4" fillId="6" borderId="2" xfId="0" applyFont="true" applyBorder="true" applyAlignment="false" applyProtection="true">
      <alignment horizontal="general" vertical="bottom" textRotation="0" wrapText="false" indent="0" shrinkToFit="false"/>
      <protection locked="true" hidden="false"/>
    </xf>
    <xf numFmtId="164" fontId="4" fillId="6" borderId="9" xfId="0" applyFont="true" applyBorder="true" applyAlignment="false" applyProtection="true">
      <alignment horizontal="general" vertical="bottom" textRotation="0" wrapText="false" indent="0" shrinkToFit="false"/>
      <protection locked="true" hidden="false"/>
    </xf>
    <xf numFmtId="164" fontId="4" fillId="6" borderId="8" xfId="0" applyFont="true" applyBorder="true" applyAlignment="false" applyProtection="true">
      <alignment horizontal="general" vertical="bottom" textRotation="0" wrapText="false" indent="0" shrinkToFit="false"/>
      <protection locked="true" hidden="false"/>
    </xf>
    <xf numFmtId="164" fontId="4" fillId="6" borderId="10" xfId="0" applyFont="true" applyBorder="true" applyAlignment="false" applyProtection="true">
      <alignment horizontal="general" vertical="bottom" textRotation="0" wrapText="false" indent="0" shrinkToFit="false"/>
      <protection locked="true" hidden="false"/>
    </xf>
    <xf numFmtId="164" fontId="4" fillId="0" borderId="9" xfId="0" applyFont="true" applyBorder="true" applyAlignment="false" applyProtection="true">
      <alignment horizontal="general" vertical="bottom" textRotation="0" wrapText="false" indent="0" shrinkToFit="false"/>
      <protection locked="true" hidden="false"/>
    </xf>
    <xf numFmtId="164" fontId="4" fillId="0" borderId="8" xfId="0" applyFont="true" applyBorder="true" applyAlignment="false" applyProtection="true">
      <alignment horizontal="general" vertical="bottom" textRotation="0" wrapText="false" indent="0" shrinkToFit="false"/>
      <protection locked="true" hidden="false"/>
    </xf>
    <xf numFmtId="164" fontId="4" fillId="0" borderId="10"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true" hidden="false"/>
    </xf>
    <xf numFmtId="164" fontId="4" fillId="0" borderId="15" xfId="0" applyFont="true" applyBorder="true" applyAlignment="false" applyProtection="true">
      <alignment horizontal="general" vertical="bottom" textRotation="0" wrapText="false" indent="0" shrinkToFit="false"/>
      <protection locked="true" hidden="false"/>
    </xf>
    <xf numFmtId="164" fontId="4" fillId="5" borderId="0" xfId="0" applyFont="true" applyBorder="false" applyAlignment="false" applyProtection="true">
      <alignment horizontal="general" vertical="bottom" textRotation="0" wrapText="false" indent="0" shrinkToFit="false"/>
      <protection locked="true" hidden="false"/>
    </xf>
    <xf numFmtId="164" fontId="25" fillId="5" borderId="14" xfId="0" applyFont="true" applyBorder="true" applyAlignment="false" applyProtection="true">
      <alignment horizontal="general" vertical="bottom" textRotation="0" wrapText="false" indent="0" shrinkToFit="false"/>
      <protection locked="true" hidden="false"/>
    </xf>
    <xf numFmtId="164" fontId="25" fillId="5" borderId="15" xfId="0" applyFont="true" applyBorder="true" applyAlignment="false" applyProtection="true">
      <alignment horizontal="general" vertical="bottom" textRotation="0" wrapText="false" indent="0" shrinkToFit="false"/>
      <protection locked="true" hidden="false"/>
    </xf>
    <xf numFmtId="164" fontId="4" fillId="6" borderId="3" xfId="0" applyFont="true" applyBorder="true" applyAlignment="false" applyProtection="true">
      <alignment horizontal="general" vertical="bottom" textRotation="0" wrapText="false" indent="0" shrinkToFit="false"/>
      <protection locked="true" hidden="false"/>
    </xf>
    <xf numFmtId="164" fontId="4" fillId="6" borderId="4" xfId="0" applyFont="true" applyBorder="true" applyAlignment="false" applyProtection="true">
      <alignment horizontal="general" vertical="bottom" textRotation="0" wrapText="false" indent="0" shrinkToFit="false"/>
      <protection locked="true" hidden="false"/>
    </xf>
    <xf numFmtId="164" fontId="4" fillId="6" borderId="5" xfId="0" applyFont="true" applyBorder="true" applyAlignment="false" applyProtection="true">
      <alignment horizontal="general" vertical="bottom" textRotation="0" wrapText="false" indent="0" shrinkToFit="false"/>
      <protection locked="true" hidden="false"/>
    </xf>
    <xf numFmtId="164" fontId="4" fillId="6" borderId="1" xfId="0" applyFont="true" applyBorder="true" applyAlignment="false" applyProtection="true">
      <alignment horizontal="general" vertical="bottom" textRotation="0" wrapText="false" indent="0" shrinkToFit="false"/>
      <protection locked="true" hidden="false"/>
    </xf>
    <xf numFmtId="164" fontId="4" fillId="6" borderId="0" xfId="0" applyFont="true" applyBorder="true" applyAlignment="false" applyProtection="true">
      <alignment horizontal="general" vertical="bottom" textRotation="0" wrapText="false" indent="0" shrinkToFit="false"/>
      <protection locked="true" hidden="false"/>
    </xf>
    <xf numFmtId="164" fontId="4" fillId="6" borderId="2" xfId="0" applyFont="true" applyBorder="true" applyAlignment="false" applyProtection="true">
      <alignment horizontal="general" vertical="bottom" textRotation="0" wrapText="false" indent="0" shrinkToFit="false"/>
      <protection locked="true" hidden="false"/>
    </xf>
    <xf numFmtId="164" fontId="4" fillId="6" borderId="9" xfId="0" applyFont="true" applyBorder="true" applyAlignment="false" applyProtection="true">
      <alignment horizontal="general" vertical="bottom" textRotation="0" wrapText="false" indent="0" shrinkToFit="false"/>
      <protection locked="true" hidden="false"/>
    </xf>
    <xf numFmtId="164" fontId="4" fillId="6" borderId="8" xfId="0" applyFont="true" applyBorder="true" applyAlignment="false" applyProtection="true">
      <alignment horizontal="general" vertical="bottom" textRotation="0" wrapText="false" indent="0" shrinkToFit="false"/>
      <protection locked="true" hidden="false"/>
    </xf>
    <xf numFmtId="164" fontId="4" fillId="6" borderId="10" xfId="0" applyFont="true" applyBorder="true" applyAlignment="false" applyProtection="true">
      <alignment horizontal="general" vertical="bottom" textRotation="0" wrapText="false" indent="0" shrinkToFit="false"/>
      <protection locked="true" hidden="false"/>
    </xf>
    <xf numFmtId="164" fontId="25" fillId="5" borderId="3" xfId="0" applyFont="true" applyBorder="true" applyAlignment="false" applyProtection="true">
      <alignment horizontal="general" vertical="bottom" textRotation="0" wrapText="false" indent="0" shrinkToFit="false"/>
      <protection locked="true" hidden="false"/>
    </xf>
    <xf numFmtId="164" fontId="25" fillId="5" borderId="4" xfId="0" applyFont="true" applyBorder="true" applyAlignment="false" applyProtection="true">
      <alignment horizontal="general" vertical="bottom" textRotation="0" wrapText="false" indent="0" shrinkToFit="false"/>
      <protection locked="true" hidden="false"/>
    </xf>
    <xf numFmtId="175" fontId="4" fillId="0" borderId="0" xfId="0" applyFont="true" applyBorder="true" applyAlignment="true" applyProtection="true">
      <alignment horizontal="right" vertical="bottom" textRotation="0" wrapText="false" indent="0" shrinkToFit="false"/>
      <protection locked="true" hidden="false"/>
    </xf>
    <xf numFmtId="164" fontId="34" fillId="0" borderId="0" xfId="0" applyFont="true" applyBorder="true" applyAlignment="false" applyProtection="true">
      <alignment horizontal="general" vertical="bottom" textRotation="0" wrapText="false" indent="0" shrinkToFit="false"/>
      <protection locked="true" hidden="false"/>
    </xf>
    <xf numFmtId="173" fontId="34" fillId="0" borderId="0" xfId="0" applyFont="true" applyBorder="true" applyAlignment="false" applyProtection="true">
      <alignment horizontal="general" vertical="bottom" textRotation="0" wrapText="false" indent="0" shrinkToFit="false"/>
      <protection locked="true" hidden="false"/>
    </xf>
    <xf numFmtId="164" fontId="4" fillId="8" borderId="0" xfId="0" applyFont="true" applyBorder="true" applyAlignment="false" applyProtection="true">
      <alignment horizontal="general" vertical="bottom" textRotation="0" wrapText="false" indent="0" shrinkToFit="false"/>
      <protection locked="true" hidden="false"/>
    </xf>
    <xf numFmtId="164" fontId="24" fillId="0" borderId="3" xfId="0" applyFont="true" applyBorder="true" applyAlignment="false" applyProtection="true">
      <alignment horizontal="general" vertical="bottom" textRotation="0" wrapText="false" indent="0" shrinkToFit="false"/>
      <protection locked="true" hidden="false"/>
    </xf>
    <xf numFmtId="164" fontId="4" fillId="0" borderId="5" xfId="0" applyFont="true" applyBorder="true" applyAlignment="false" applyProtection="true">
      <alignment horizontal="general" vertical="bottom" textRotation="0" wrapText="false" indent="0" shrinkToFit="false"/>
      <protection locked="true" hidden="false"/>
    </xf>
    <xf numFmtId="176" fontId="4" fillId="9" borderId="7" xfId="0" applyFont="true" applyBorder="true" applyAlignment="false" applyProtection="true">
      <alignment horizontal="general" vertical="bottom" textRotation="0" wrapText="false" indent="0" shrinkToFit="false"/>
      <protection locked="false" hidden="false"/>
    </xf>
    <xf numFmtId="164" fontId="4" fillId="0" borderId="0" xfId="0" applyFont="true" applyBorder="true" applyAlignment="true" applyProtection="true">
      <alignment horizontal="left" vertical="bottom" textRotation="0" wrapText="false" indent="0" shrinkToFit="false"/>
      <protection locked="true" hidden="false"/>
    </xf>
    <xf numFmtId="164" fontId="4" fillId="0" borderId="2" xfId="0" applyFont="true" applyBorder="true" applyAlignment="true" applyProtection="true">
      <alignment horizontal="left" vertical="bottom" textRotation="0" wrapText="false" indent="0" shrinkToFit="false"/>
      <protection locked="true" hidden="false"/>
    </xf>
    <xf numFmtId="164" fontId="4" fillId="0" borderId="2" xfId="0" applyFont="true" applyBorder="true" applyAlignment="true" applyProtection="true">
      <alignment horizontal="left" vertical="bottom" textRotation="0" wrapText="false" indent="0" shrinkToFit="false"/>
      <protection locked="true" hidden="false"/>
    </xf>
    <xf numFmtId="164" fontId="4" fillId="5" borderId="4" xfId="0" applyFont="true" applyBorder="true" applyAlignment="false" applyProtection="true">
      <alignment horizontal="general" vertical="bottom" textRotation="0" wrapText="false" indent="0" shrinkToFit="false"/>
      <protection locked="true" hidden="false"/>
    </xf>
    <xf numFmtId="164" fontId="4" fillId="5" borderId="5" xfId="0" applyFont="true" applyBorder="true" applyAlignment="false" applyProtection="true">
      <alignment horizontal="general" vertical="bottom" textRotation="0" wrapText="false" indent="0" shrinkToFit="false"/>
      <protection locked="true" hidden="false"/>
    </xf>
    <xf numFmtId="164" fontId="25" fillId="6" borderId="3" xfId="0" applyFont="true" applyBorder="true" applyAlignment="false" applyProtection="true">
      <alignment horizontal="general" vertical="bottom" textRotation="0" wrapText="false" indent="0" shrinkToFit="false"/>
      <protection locked="true" hidden="false"/>
    </xf>
    <xf numFmtId="164" fontId="25" fillId="6" borderId="1" xfId="0" applyFont="true" applyBorder="true" applyAlignment="false" applyProtection="tru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center" vertical="bottom" textRotation="0" wrapText="false" indent="0" shrinkToFit="false"/>
      <protection locked="false" hidden="false"/>
    </xf>
    <xf numFmtId="164" fontId="4" fillId="3" borderId="0" xfId="0" applyFont="true" applyBorder="false" applyAlignment="false" applyProtection="true">
      <alignment horizontal="general" vertical="bottom" textRotation="0" wrapText="false" indent="0" shrinkToFit="false"/>
      <protection locked="false" hidden="false"/>
    </xf>
    <xf numFmtId="164" fontId="4" fillId="8" borderId="0" xfId="0" applyFont="true" applyBorder="false" applyAlignment="fals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7" fillId="2" borderId="6" xfId="0" applyFont="true" applyBorder="true" applyAlignment="true" applyProtection="false">
      <alignment horizontal="left" vertical="bottom" textRotation="0" wrapText="false" indent="0" shrinkToFit="false"/>
      <protection locked="true" hidden="false"/>
    </xf>
    <xf numFmtId="164" fontId="42" fillId="2" borderId="4" xfId="0" applyFont="true" applyBorder="true" applyAlignment="false" applyProtection="false">
      <alignment horizontal="general" vertical="bottom" textRotation="0" wrapText="false" indent="0" shrinkToFit="false"/>
      <protection locked="true" hidden="false"/>
    </xf>
    <xf numFmtId="164" fontId="42" fillId="2" borderId="4" xfId="0" applyFont="true" applyBorder="true" applyAlignment="true" applyProtection="false">
      <alignment horizontal="center" vertical="bottom" textRotation="0" wrapText="false" indent="0" shrinkToFit="false"/>
      <protection locked="true" hidden="false"/>
    </xf>
    <xf numFmtId="164" fontId="7" fillId="2" borderId="4" xfId="0" applyFont="true" applyBorder="true" applyAlignment="false" applyProtection="false">
      <alignment horizontal="general" vertical="bottom" textRotation="0" wrapText="false" indent="0" shrinkToFit="false"/>
      <protection locked="true" hidden="false"/>
    </xf>
    <xf numFmtId="164" fontId="30" fillId="3" borderId="0" xfId="0" applyFont="true" applyBorder="false" applyAlignment="false" applyProtection="false">
      <alignment horizontal="general" vertical="bottom" textRotation="0" wrapText="false" indent="0" shrinkToFit="false"/>
      <protection locked="true" hidden="false"/>
    </xf>
    <xf numFmtId="164" fontId="30" fillId="10" borderId="0" xfId="0" applyFont="true" applyBorder="false" applyAlignment="false" applyProtection="false">
      <alignment horizontal="general" vertical="bottom" textRotation="0" wrapText="false" indent="0" shrinkToFit="false"/>
      <protection locked="true" hidden="false"/>
    </xf>
    <xf numFmtId="164" fontId="38" fillId="0" borderId="1"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4" fillId="5" borderId="14" xfId="0" applyFont="true" applyBorder="true" applyAlignment="true" applyProtection="false">
      <alignment horizontal="center" vertical="bottom" textRotation="0" wrapText="false" indent="0" shrinkToFit="false"/>
      <protection locked="tru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25" fillId="0" borderId="4" xfId="0" applyFont="true" applyBorder="true" applyAlignment="false" applyProtection="false">
      <alignment horizontal="general" vertical="bottom" textRotation="0" wrapText="false" indent="0" shrinkToFit="false"/>
      <protection locked="true" hidden="false"/>
    </xf>
    <xf numFmtId="164" fontId="25" fillId="0" borderId="4" xfId="0" applyFont="true" applyBorder="true" applyAlignment="true" applyProtection="false">
      <alignment horizontal="center"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4" fillId="6" borderId="3" xfId="0" applyFont="true" applyBorder="true" applyAlignment="false" applyProtection="true">
      <alignment horizontal="general" vertical="bottom" textRotation="0" wrapText="false" indent="0" shrinkToFit="false"/>
      <protection locked="false" hidden="false"/>
    </xf>
    <xf numFmtId="164" fontId="4" fillId="6" borderId="1" xfId="0" applyFont="true" applyBorder="true" applyAlignment="false" applyProtection="true">
      <alignment horizontal="general" vertical="bottom" textRotation="0" wrapText="false" indent="0" shrinkToFit="false"/>
      <protection locked="false" hidden="false"/>
    </xf>
    <xf numFmtId="164" fontId="4" fillId="6" borderId="2" xfId="0" applyFont="true" applyBorder="true" applyAlignment="false" applyProtection="true">
      <alignment horizontal="general" vertical="bottom" textRotation="0" wrapText="false" indent="0" shrinkToFit="false"/>
      <protection locked="false" hidden="false"/>
    </xf>
    <xf numFmtId="164" fontId="4" fillId="6" borderId="7" xfId="0" applyFont="true" applyBorder="true" applyAlignment="false" applyProtection="true">
      <alignment horizontal="general" vertical="bottom" textRotation="0" wrapText="false" indent="0" shrinkToFit="false"/>
      <protection locked="false" hidden="false"/>
    </xf>
    <xf numFmtId="164" fontId="4" fillId="0" borderId="0" xfId="0" applyFont="true" applyBorder="true" applyAlignment="false" applyProtection="true">
      <alignment horizontal="general" vertical="bottom" textRotation="0" wrapText="false" indent="0" shrinkToFit="false"/>
      <protection locked="false" hidden="false"/>
    </xf>
    <xf numFmtId="164" fontId="4" fillId="6" borderId="9" xfId="0" applyFont="true" applyBorder="true" applyAlignment="false" applyProtection="true">
      <alignment horizontal="general" vertical="bottom" textRotation="0" wrapText="false" indent="0" shrinkToFit="false"/>
      <protection locked="false" hidden="false"/>
    </xf>
    <xf numFmtId="164" fontId="4" fillId="6" borderId="10" xfId="0" applyFont="true" applyBorder="true" applyAlignment="false" applyProtection="true">
      <alignment horizontal="general" vertical="bottom" textRotation="0" wrapText="false" indent="0" shrinkToFit="false"/>
      <protection locked="false" hidden="false"/>
    </xf>
    <xf numFmtId="164" fontId="4" fillId="0" borderId="8" xfId="0" applyFont="true" applyBorder="true" applyAlignment="false" applyProtection="true">
      <alignment horizontal="general" vertical="bottom" textRotation="0" wrapText="false" indent="0" shrinkToFit="false"/>
      <protection locked="false" hidden="false"/>
    </xf>
    <xf numFmtId="164" fontId="4" fillId="0" borderId="15" xfId="0" applyFont="true" applyBorder="true" applyAlignment="false" applyProtection="true">
      <alignment horizontal="general" vertical="bottom" textRotation="0" wrapText="false" indent="0" shrinkToFit="false"/>
      <protection locked="false" hidden="false"/>
    </xf>
    <xf numFmtId="164" fontId="25" fillId="0" borderId="5" xfId="0" applyFont="true" applyBorder="true" applyAlignment="false" applyProtection="false">
      <alignment horizontal="general" vertical="bottom" textRotation="0" wrapText="false" indent="0" shrinkToFit="false"/>
      <protection locked="true" hidden="false"/>
    </xf>
    <xf numFmtId="164" fontId="25" fillId="3" borderId="0" xfId="0" applyFont="true" applyBorder="false" applyAlignment="false" applyProtection="false">
      <alignment horizontal="general" vertical="bottom" textRotation="0" wrapText="false" indent="0" shrinkToFit="false"/>
      <protection locked="true" hidden="false"/>
    </xf>
    <xf numFmtId="164" fontId="25" fillId="8"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false" applyProtection="true">
      <alignment horizontal="general" vertical="bottom" textRotation="0" wrapText="false" indent="0" shrinkToFit="false"/>
      <protection locked="false" hidden="false"/>
    </xf>
    <xf numFmtId="164" fontId="4" fillId="6" borderId="7" xfId="0" applyFont="true" applyBorder="true" applyAlignment="true" applyProtection="true">
      <alignment horizontal="general" vertical="bottom" textRotation="0" wrapText="false" indent="0" shrinkToFit="false"/>
      <protection locked="false" hidden="false"/>
    </xf>
    <xf numFmtId="164" fontId="25" fillId="5" borderId="14" xfId="0" applyFont="true" applyBorder="true" applyAlignment="false" applyProtection="false">
      <alignment horizontal="general" vertical="bottom" textRotation="0" wrapText="false" indent="0" shrinkToFit="false"/>
      <protection locked="true" hidden="false"/>
    </xf>
    <xf numFmtId="164" fontId="25" fillId="5" borderId="15" xfId="0" applyFont="true" applyBorder="true" applyAlignment="false" applyProtection="false">
      <alignment horizontal="general" vertical="bottom" textRotation="0" wrapText="false" indent="0" shrinkToFit="false"/>
      <protection locked="true" hidden="false"/>
    </xf>
    <xf numFmtId="164" fontId="4" fillId="6" borderId="0" xfId="0" applyFont="true" applyBorder="false" applyAlignment="false" applyProtection="true">
      <alignment horizontal="general" vertical="bottom" textRotation="0" wrapText="false" indent="0" shrinkToFit="false"/>
      <protection locked="false" hidden="false"/>
    </xf>
    <xf numFmtId="164" fontId="4" fillId="6" borderId="0" xfId="0" applyFont="true" applyBorder="false" applyAlignment="true" applyProtection="true">
      <alignment horizontal="center" vertical="bottom" textRotation="0" wrapText="false" indent="0" shrinkToFit="false"/>
      <protection locked="false" hidden="false"/>
    </xf>
    <xf numFmtId="164" fontId="25" fillId="0" borderId="0" xfId="0" applyFont="true" applyBorder="tru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true">
      <alignment horizontal="general" vertical="bottom" textRotation="0" wrapText="false" indent="0" shrinkToFit="false"/>
      <protection locked="true" hidden="false"/>
    </xf>
    <xf numFmtId="164" fontId="4" fillId="0" borderId="15" xfId="0" applyFont="true" applyBorder="true" applyAlignment="false" applyProtection="tru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true">
      <alignment horizontal="general" vertical="bottom" textRotation="0" wrapText="false" indent="0" shrinkToFit="false"/>
      <protection locked="true" hidden="false"/>
    </xf>
    <xf numFmtId="164" fontId="4" fillId="0" borderId="3" xfId="0" applyFont="true" applyBorder="true" applyAlignment="false" applyProtection="true">
      <alignment horizontal="general" vertical="bottom" textRotation="0" wrapText="false" indent="0" shrinkToFit="false"/>
      <protection locked="false" hidden="false"/>
    </xf>
    <xf numFmtId="164" fontId="4" fillId="0" borderId="4" xfId="0" applyFont="true" applyBorder="true" applyAlignment="false" applyProtection="true">
      <alignment horizontal="general" vertical="bottom" textRotation="0" wrapText="false" indent="0" shrinkToFit="false"/>
      <protection locked="false" hidden="false"/>
    </xf>
    <xf numFmtId="164" fontId="4" fillId="0" borderId="9" xfId="0" applyFont="true" applyBorder="true" applyAlignment="false" applyProtection="true">
      <alignment horizontal="general" vertical="bottom" textRotation="0" wrapText="false" indent="0" shrinkToFit="false"/>
      <protection locked="false" hidden="false"/>
    </xf>
    <xf numFmtId="164" fontId="7" fillId="2" borderId="4" xfId="0" applyFont="true" applyBorder="true" applyAlignment="true" applyProtection="true">
      <alignment horizontal="right" vertical="bottom" textRotation="0" wrapText="false" indent="0" shrinkToFit="false"/>
      <protection locked="true" hidden="false"/>
    </xf>
    <xf numFmtId="164" fontId="38" fillId="3" borderId="1" xfId="0" applyFont="true" applyBorder="true" applyAlignment="false" applyProtection="true">
      <alignment horizontal="general" vertical="bottom" textRotation="0" wrapText="false" indent="0" shrinkToFit="false"/>
      <protection locked="true" hidden="false"/>
    </xf>
    <xf numFmtId="164" fontId="38" fillId="8" borderId="0" xfId="0" applyFont="true" applyBorder="true" applyAlignment="false" applyProtection="true">
      <alignment horizontal="general" vertical="bottom" textRotation="0" wrapText="false" indent="0" shrinkToFit="false"/>
      <protection locked="true" hidden="false"/>
    </xf>
    <xf numFmtId="164" fontId="38" fillId="0" borderId="0" xfId="0" applyFont="true" applyBorder="true" applyAlignment="false" applyProtection="true">
      <alignment horizontal="general" vertical="bottom" textRotation="0" wrapText="false" indent="0" shrinkToFit="false"/>
      <protection locked="true" hidden="false"/>
    </xf>
    <xf numFmtId="164" fontId="33" fillId="0" borderId="0" xfId="0" applyFont="true" applyBorder="true" applyAlignment="false" applyProtection="true">
      <alignment horizontal="general" vertical="bottom" textRotation="0" wrapText="false" indent="0" shrinkToFit="false"/>
      <protection locked="true" hidden="false"/>
    </xf>
    <xf numFmtId="164" fontId="4" fillId="0" borderId="4" xfId="0" applyFont="true" applyBorder="true" applyAlignment="true" applyProtection="true">
      <alignment horizontal="center" vertical="bottom" textRotation="0" wrapText="false" indent="0" shrinkToFit="false"/>
      <protection locked="true" hidden="false"/>
    </xf>
    <xf numFmtId="164" fontId="4" fillId="0" borderId="0" xfId="0" applyFont="true" applyBorder="true" applyAlignment="true" applyProtection="true">
      <alignment horizontal="center" vertical="bottom" textRotation="0" wrapText="false" indent="0" shrinkToFit="false"/>
      <protection locked="true" hidden="false"/>
    </xf>
    <xf numFmtId="176" fontId="4" fillId="6" borderId="7" xfId="0" applyFont="true" applyBorder="true" applyAlignment="false" applyProtection="true">
      <alignment horizontal="general" vertical="bottom" textRotation="0" wrapText="false" indent="0" shrinkToFit="false"/>
      <protection locked="false" hidden="false"/>
    </xf>
    <xf numFmtId="177" fontId="4" fillId="0" borderId="0" xfId="0" applyFont="true" applyBorder="true" applyAlignment="false" applyProtection="true">
      <alignment horizontal="general" vertical="bottom" textRotation="0" wrapText="false" indent="0" shrinkToFit="false"/>
      <protection locked="true" hidden="false"/>
    </xf>
    <xf numFmtId="176" fontId="4" fillId="6" borderId="16" xfId="0" applyFont="true" applyBorder="true" applyAlignment="false" applyProtection="true">
      <alignment horizontal="general" vertical="bottom" textRotation="0" wrapText="false" indent="0" shrinkToFit="false"/>
      <protection locked="false" hidden="false"/>
    </xf>
    <xf numFmtId="176" fontId="4" fillId="6" borderId="17" xfId="0" applyFont="true" applyBorder="true" applyAlignment="false" applyProtection="true">
      <alignment horizontal="general" vertical="bottom" textRotation="0" wrapText="false" indent="0" shrinkToFit="false"/>
      <protection locked="false" hidden="false"/>
    </xf>
    <xf numFmtId="164" fontId="4" fillId="0" borderId="8" xfId="0" applyFont="true" applyBorder="true" applyAlignment="false" applyProtection="true">
      <alignment horizontal="general" vertical="bottom" textRotation="0" wrapText="false" indent="0" shrinkToFit="false"/>
      <protection locked="false" hidden="false"/>
    </xf>
    <xf numFmtId="164" fontId="4" fillId="0" borderId="14" xfId="0" applyFont="true" applyBorder="true" applyAlignment="false" applyProtection="true">
      <alignment horizontal="general" vertical="bottom" textRotation="0" wrapText="false" indent="0" shrinkToFit="false"/>
      <protection locked="true" hidden="false"/>
    </xf>
    <xf numFmtId="164" fontId="4" fillId="0" borderId="3" xfId="0" applyFont="true" applyBorder="true" applyAlignment="false" applyProtection="true">
      <alignment horizontal="general" vertical="bottom" textRotation="0" wrapText="false" indent="0" shrinkToFit="false"/>
      <protection locked="true" hidden="false"/>
    </xf>
    <xf numFmtId="164" fontId="4" fillId="6" borderId="6" xfId="0" applyFont="true" applyBorder="true" applyAlignment="true" applyProtection="true">
      <alignment horizontal="general" vertical="bottom" textRotation="0" wrapText="false" indent="0" shrinkToFit="false"/>
      <protection locked="false" hidden="false"/>
    </xf>
    <xf numFmtId="164" fontId="4" fillId="0" borderId="1" xfId="0" applyFont="true" applyBorder="true" applyAlignment="false" applyProtection="true">
      <alignment horizontal="general" vertical="bottom" textRotation="0" wrapText="false" indent="0" shrinkToFit="false"/>
      <protection locked="true" hidden="false"/>
    </xf>
    <xf numFmtId="164" fontId="4" fillId="6" borderId="11" xfId="0" applyFont="true" applyBorder="true" applyAlignment="true" applyProtection="true">
      <alignment horizontal="general" vertical="bottom" textRotation="0" wrapText="false" indent="0" shrinkToFit="false"/>
      <protection locked="false" hidden="false"/>
    </xf>
    <xf numFmtId="171" fontId="4" fillId="6" borderId="11" xfId="0" applyFont="true" applyBorder="true" applyAlignment="true" applyProtection="true">
      <alignment horizontal="general" vertical="bottom" textRotation="0" wrapText="false" indent="0" shrinkToFit="false"/>
      <protection locked="false" hidden="false"/>
    </xf>
    <xf numFmtId="164" fontId="4" fillId="0" borderId="9" xfId="0" applyFont="true" applyBorder="true" applyAlignment="false" applyProtection="true">
      <alignment horizontal="general" vertical="bottom" textRotation="0" wrapText="false" indent="0" shrinkToFit="false"/>
      <protection locked="true" hidden="false"/>
    </xf>
    <xf numFmtId="164" fontId="4" fillId="6" borderId="17" xfId="0" applyFont="true" applyBorder="true" applyAlignment="true" applyProtection="true">
      <alignment horizontal="general" vertical="bottom" textRotation="0" wrapText="false" indent="0" shrinkToFit="false"/>
      <protection locked="false" hidden="false"/>
    </xf>
    <xf numFmtId="170" fontId="4" fillId="6" borderId="7" xfId="0" applyFont="true" applyBorder="true" applyAlignment="false" applyProtection="true">
      <alignment horizontal="general" vertical="bottom" textRotation="0" wrapText="false" indent="0" shrinkToFit="false"/>
      <protection locked="false" hidden="false"/>
    </xf>
    <xf numFmtId="164" fontId="38" fillId="3" borderId="0" xfId="0" applyFont="true" applyBorder="false" applyAlignment="false" applyProtection="false">
      <alignment horizontal="general" vertical="bottom" textRotation="0" wrapText="false" indent="0" shrinkToFit="false"/>
      <protection locked="true" hidden="false"/>
    </xf>
    <xf numFmtId="164" fontId="38" fillId="8"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75" fontId="4" fillId="0" borderId="0" xfId="0" applyFont="true" applyBorder="true" applyAlignment="true" applyProtection="false">
      <alignment horizontal="right"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24" fillId="5" borderId="13" xfId="0" applyFont="true" applyBorder="true" applyAlignment="false" applyProtection="false">
      <alignment horizontal="general" vertical="bottom" textRotation="0" wrapText="false" indent="0" shrinkToFit="false"/>
      <protection locked="true" hidden="false"/>
    </xf>
    <xf numFmtId="164" fontId="24" fillId="0" borderId="14" xfId="0" applyFont="true" applyBorder="true" applyAlignment="false" applyProtection="false">
      <alignment horizontal="general" vertical="bottom" textRotation="0" wrapText="false" indent="0" shrinkToFit="false"/>
      <protection locked="true" hidden="false"/>
    </xf>
    <xf numFmtId="164" fontId="24" fillId="0" borderId="14" xfId="0" applyFont="true" applyBorder="true" applyAlignment="false" applyProtection="false">
      <alignment horizontal="general" vertical="bottom" textRotation="0" wrapText="false" indent="0" shrinkToFit="false"/>
      <protection locked="true" hidden="false"/>
    </xf>
    <xf numFmtId="164" fontId="4" fillId="8" borderId="0" xfId="0" applyFont="true" applyBorder="true" applyAlignment="false" applyProtection="false">
      <alignment horizontal="general" vertical="bottom" textRotation="0" wrapText="false" indent="0" shrinkToFit="false"/>
      <protection locked="true" hidden="false"/>
    </xf>
    <xf numFmtId="164" fontId="24" fillId="6" borderId="3" xfId="0" applyFont="true" applyBorder="true" applyAlignment="false" applyProtection="false">
      <alignment horizontal="general" vertical="bottom" textRotation="0" wrapText="false" indent="0" shrinkToFit="false"/>
      <protection locked="true" hidden="false"/>
    </xf>
    <xf numFmtId="164" fontId="4" fillId="6" borderId="4" xfId="0" applyFont="true" applyBorder="true" applyAlignment="false" applyProtection="false">
      <alignment horizontal="general" vertical="bottom" textRotation="0" wrapText="false" indent="0" shrinkToFit="false"/>
      <protection locked="true" hidden="false"/>
    </xf>
    <xf numFmtId="164" fontId="4" fillId="6" borderId="5" xfId="0" applyFont="true" applyBorder="true" applyAlignment="false" applyProtection="false">
      <alignment horizontal="general" vertical="bottom" textRotation="0" wrapText="false" indent="0" shrinkToFit="false"/>
      <protection locked="true" hidden="false"/>
    </xf>
    <xf numFmtId="164" fontId="24" fillId="6" borderId="1" xfId="0" applyFont="true" applyBorder="true" applyAlignment="false" applyProtection="false">
      <alignment horizontal="general" vertical="bottom" textRotation="0" wrapText="false" indent="0" shrinkToFit="false"/>
      <protection locked="true" hidden="false"/>
    </xf>
    <xf numFmtId="164" fontId="4" fillId="6" borderId="2" xfId="0" applyFont="true" applyBorder="true" applyAlignment="false" applyProtection="false">
      <alignment horizontal="general" vertical="bottom" textRotation="0" wrapText="false" indent="0" shrinkToFit="false"/>
      <protection locked="true" hidden="false"/>
    </xf>
    <xf numFmtId="164" fontId="24" fillId="6" borderId="9" xfId="0" applyFont="true" applyBorder="true" applyAlignment="false" applyProtection="false">
      <alignment horizontal="general" vertical="bottom" textRotation="0" wrapText="false" indent="0" shrinkToFit="false"/>
      <protection locked="true" hidden="false"/>
    </xf>
    <xf numFmtId="164" fontId="4" fillId="6" borderId="8" xfId="0" applyFont="true" applyBorder="true" applyAlignment="false" applyProtection="false">
      <alignment horizontal="general" vertical="bottom" textRotation="0" wrapText="false" indent="0" shrinkToFit="false"/>
      <protection locked="true" hidden="false"/>
    </xf>
    <xf numFmtId="164" fontId="4" fillId="6" borderId="10" xfId="0" applyFont="true" applyBorder="true" applyAlignment="false" applyProtection="false">
      <alignment horizontal="general" vertical="bottom" textRotation="0" wrapText="false" indent="0" shrinkToFit="false"/>
      <protection locked="true" hidden="false"/>
    </xf>
    <xf numFmtId="164" fontId="4" fillId="6" borderId="3" xfId="0" applyFont="true" applyBorder="true" applyAlignment="false" applyProtection="false">
      <alignment horizontal="general" vertical="bottom" textRotation="0" wrapText="false" indent="0" shrinkToFit="false"/>
      <protection locked="true" hidden="false"/>
    </xf>
    <xf numFmtId="164" fontId="4" fillId="6" borderId="1" xfId="0" applyFont="true" applyBorder="true" applyAlignment="false" applyProtection="false">
      <alignment horizontal="general" vertical="bottom" textRotation="0" wrapText="false" indent="0" shrinkToFit="false"/>
      <protection locked="true" hidden="false"/>
    </xf>
    <xf numFmtId="164" fontId="4" fillId="6" borderId="9" xfId="0" applyFont="true" applyBorder="true" applyAlignment="false" applyProtection="false">
      <alignment horizontal="general" vertical="bottom" textRotation="0" wrapText="false" indent="0" shrinkToFit="false"/>
      <protection locked="true" hidden="false"/>
    </xf>
    <xf numFmtId="164" fontId="4" fillId="3" borderId="1" xfId="0" applyFont="true" applyBorder="true" applyAlignment="false" applyProtection="false">
      <alignment horizontal="general" vertical="bottom" textRotation="0" wrapText="false" indent="0" shrinkToFit="false"/>
      <protection locked="true" hidden="false"/>
    </xf>
    <xf numFmtId="164" fontId="4" fillId="8" borderId="8" xfId="0" applyFont="true" applyBorder="true" applyAlignment="false" applyProtection="false">
      <alignment horizontal="general" vertical="bottom" textRotation="0" wrapText="false" indent="0" shrinkToFit="false"/>
      <protection locked="true" hidden="false"/>
    </xf>
    <xf numFmtId="164" fontId="9" fillId="5" borderId="14" xfId="0" applyFont="true" applyBorder="true" applyAlignment="false" applyProtection="false">
      <alignment horizontal="general" vertical="bottom" textRotation="0" wrapText="false" indent="0" shrinkToFit="false"/>
      <protection locked="true" hidden="false"/>
    </xf>
    <xf numFmtId="164" fontId="24" fillId="6" borderId="13" xfId="0" applyFont="true" applyBorder="true" applyAlignment="false" applyProtection="true">
      <alignment horizontal="general" vertical="bottom" textRotation="0" wrapText="false" indent="0" shrinkToFit="false"/>
      <protection locked="false" hidden="false"/>
    </xf>
    <xf numFmtId="164" fontId="24" fillId="6" borderId="7" xfId="0" applyFont="true" applyBorder="true" applyAlignment="true" applyProtection="true">
      <alignment horizontal="general" vertical="bottom" textRotation="0" wrapText="false" indent="0" shrinkToFit="false"/>
      <protection locked="false" hidden="false"/>
    </xf>
    <xf numFmtId="164" fontId="24" fillId="6" borderId="7" xfId="0" applyFont="true" applyBorder="true" applyAlignment="true" applyProtection="false">
      <alignment horizontal="general" vertical="bottom" textRotation="0" wrapText="false" indent="0" shrinkToFit="false"/>
      <protection locked="true" hidden="false"/>
    </xf>
    <xf numFmtId="164" fontId="4" fillId="6" borderId="7" xfId="0" applyFont="true" applyBorder="true" applyAlignment="true" applyProtection="false">
      <alignment horizontal="general" vertical="bottom" textRotation="0" wrapText="false" indent="0" shrinkToFit="false"/>
      <protection locked="true" hidden="false"/>
    </xf>
    <xf numFmtId="164" fontId="43" fillId="5" borderId="14" xfId="0" applyFont="true" applyBorder="true" applyAlignment="true" applyProtection="false">
      <alignment horizontal="left" vertical="bottom" textRotation="0" wrapText="false" indent="0" shrinkToFit="false"/>
      <protection locked="true" hidden="false"/>
    </xf>
    <xf numFmtId="169" fontId="9" fillId="5" borderId="14" xfId="0" applyFont="true" applyBorder="true" applyAlignment="false" applyProtection="false">
      <alignment horizontal="general" vertical="bottom" textRotation="0" wrapText="false" indent="0" shrinkToFit="false"/>
      <protection locked="true" hidden="false"/>
    </xf>
    <xf numFmtId="164" fontId="9" fillId="5" borderId="14" xfId="0" applyFont="true" applyBorder="true" applyAlignment="true" applyProtection="false">
      <alignment horizontal="right" vertical="bottom" textRotation="0" wrapText="false" indent="0" shrinkToFit="false"/>
      <protection locked="true" hidden="false"/>
    </xf>
    <xf numFmtId="173" fontId="43" fillId="5" borderId="14" xfId="0" applyFont="true" applyBorder="true" applyAlignment="false" applyProtection="false">
      <alignment horizontal="general" vertical="bottom" textRotation="0" wrapText="false" indent="0" shrinkToFit="false"/>
      <protection locked="true" hidden="false"/>
    </xf>
    <xf numFmtId="173" fontId="9" fillId="5" borderId="14" xfId="0" applyFont="true" applyBorder="true" applyAlignment="true" applyProtection="false">
      <alignment horizontal="right" vertical="bottom" textRotation="0" wrapText="false" indent="0" shrinkToFit="false"/>
      <protection locked="true" hidden="false"/>
    </xf>
    <xf numFmtId="173" fontId="15" fillId="5" borderId="14" xfId="0" applyFont="true" applyBorder="true" applyAlignment="false" applyProtection="false">
      <alignment horizontal="general" vertical="bottom" textRotation="0" wrapText="false" indent="0" shrinkToFit="false"/>
      <protection locked="true" hidden="false"/>
    </xf>
    <xf numFmtId="164" fontId="44" fillId="5" borderId="15" xfId="0" applyFont="true" applyBorder="true" applyAlignment="false" applyProtection="false">
      <alignment horizontal="general" vertical="bottom" textRotation="0" wrapText="false" indent="0" shrinkToFit="false"/>
      <protection locked="true" hidden="false"/>
    </xf>
    <xf numFmtId="164" fontId="33" fillId="6" borderId="4" xfId="0" applyFont="true" applyBorder="true" applyAlignment="true" applyProtection="false">
      <alignment horizontal="left" vertical="bottom" textRotation="0" wrapText="false" indent="0" shrinkToFit="false"/>
      <protection locked="true" hidden="false"/>
    </xf>
    <xf numFmtId="169" fontId="4" fillId="6" borderId="5" xfId="0" applyFont="true" applyBorder="true" applyAlignment="false" applyProtection="false">
      <alignment horizontal="general" vertical="bottom" textRotation="0" wrapText="false" indent="0" shrinkToFit="false"/>
      <protection locked="true" hidden="false"/>
    </xf>
    <xf numFmtId="170" fontId="4" fillId="6" borderId="4" xfId="0" applyFont="true" applyBorder="true" applyAlignment="false" applyProtection="true">
      <alignment horizontal="general" vertical="bottom" textRotation="0" wrapText="false" indent="0" shrinkToFit="false"/>
      <protection locked="false" hidden="false"/>
    </xf>
    <xf numFmtId="164" fontId="4" fillId="6" borderId="4" xfId="0" applyFont="true" applyBorder="true" applyAlignment="true" applyProtection="true">
      <alignment horizontal="right" vertical="bottom" textRotation="0" wrapText="false" indent="0" shrinkToFit="false"/>
      <protection locked="false" hidden="false"/>
    </xf>
    <xf numFmtId="173" fontId="43" fillId="6" borderId="4" xfId="0" applyFont="true" applyBorder="true" applyAlignment="false" applyProtection="true">
      <alignment horizontal="general" vertical="bottom" textRotation="0" wrapText="false" indent="0" shrinkToFit="false"/>
      <protection locked="false" hidden="false"/>
    </xf>
    <xf numFmtId="173" fontId="9" fillId="6" borderId="4" xfId="0" applyFont="true" applyBorder="true" applyAlignment="true" applyProtection="true">
      <alignment horizontal="right" vertical="bottom" textRotation="0" wrapText="false" indent="0" shrinkToFit="false"/>
      <protection locked="false" hidden="false"/>
    </xf>
    <xf numFmtId="173" fontId="15" fillId="6" borderId="4" xfId="0" applyFont="true" applyBorder="true" applyAlignment="false" applyProtection="true">
      <alignment horizontal="general" vertical="bottom" textRotation="0" wrapText="false" indent="0" shrinkToFit="false"/>
      <protection locked="false" hidden="false"/>
    </xf>
    <xf numFmtId="164" fontId="9" fillId="6" borderId="4" xfId="0" applyFont="true" applyBorder="true" applyAlignment="false" applyProtection="true">
      <alignment horizontal="general" vertical="bottom" textRotation="0" wrapText="false" indent="0" shrinkToFit="false"/>
      <protection locked="false" hidden="false"/>
    </xf>
    <xf numFmtId="164" fontId="44" fillId="6" borderId="5" xfId="0" applyFont="true" applyBorder="true" applyAlignment="false" applyProtection="true">
      <alignment horizontal="general" vertical="bottom" textRotation="0" wrapText="false" indent="0" shrinkToFit="false"/>
      <protection locked="false" hidden="false"/>
    </xf>
    <xf numFmtId="164" fontId="25" fillId="6" borderId="1" xfId="0" applyFont="true" applyBorder="true" applyAlignment="false" applyProtection="false">
      <alignment horizontal="general" vertical="bottom" textRotation="0" wrapText="false" indent="0" shrinkToFit="false"/>
      <protection locked="true" hidden="false"/>
    </xf>
    <xf numFmtId="164" fontId="33" fillId="6" borderId="0" xfId="0" applyFont="true" applyBorder="true" applyAlignment="true" applyProtection="false">
      <alignment horizontal="left" vertical="bottom" textRotation="0" wrapText="false" indent="0" shrinkToFit="false"/>
      <protection locked="true" hidden="false"/>
    </xf>
    <xf numFmtId="169" fontId="4" fillId="6" borderId="2" xfId="0" applyFont="true" applyBorder="true" applyAlignment="false" applyProtection="false">
      <alignment horizontal="general" vertical="bottom" textRotation="0" wrapText="false" indent="0" shrinkToFit="false"/>
      <protection locked="true" hidden="false"/>
    </xf>
    <xf numFmtId="164" fontId="4" fillId="6" borderId="0" xfId="0" applyFont="true" applyBorder="true" applyAlignment="true" applyProtection="true">
      <alignment horizontal="right" vertical="bottom" textRotation="0" wrapText="false" indent="0" shrinkToFit="false"/>
      <protection locked="false" hidden="false"/>
    </xf>
    <xf numFmtId="173" fontId="43" fillId="6" borderId="0" xfId="0" applyFont="true" applyBorder="true" applyAlignment="false" applyProtection="true">
      <alignment horizontal="general" vertical="bottom" textRotation="0" wrapText="false" indent="0" shrinkToFit="false"/>
      <protection locked="false" hidden="false"/>
    </xf>
    <xf numFmtId="173" fontId="9" fillId="6" borderId="0" xfId="0" applyFont="true" applyBorder="true" applyAlignment="true" applyProtection="true">
      <alignment horizontal="right" vertical="bottom" textRotation="0" wrapText="false" indent="0" shrinkToFit="false"/>
      <protection locked="false" hidden="false"/>
    </xf>
    <xf numFmtId="173" fontId="15" fillId="6" borderId="0" xfId="0" applyFont="true" applyBorder="true" applyAlignment="false" applyProtection="true">
      <alignment horizontal="general" vertical="bottom" textRotation="0" wrapText="false" indent="0" shrinkToFit="false"/>
      <protection locked="false" hidden="false"/>
    </xf>
    <xf numFmtId="164" fontId="9" fillId="6" borderId="0" xfId="0" applyFont="true" applyBorder="true" applyAlignment="false" applyProtection="true">
      <alignment horizontal="general" vertical="bottom" textRotation="0" wrapText="false" indent="0" shrinkToFit="false"/>
      <protection locked="false" hidden="false"/>
    </xf>
    <xf numFmtId="164" fontId="44" fillId="6" borderId="2" xfId="0" applyFont="true" applyBorder="true" applyAlignment="false" applyProtection="true">
      <alignment horizontal="general" vertical="bottom" textRotation="0" wrapText="false" indent="0" shrinkToFit="false"/>
      <protection locked="false" hidden="false"/>
    </xf>
    <xf numFmtId="164" fontId="45" fillId="0" borderId="0"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true" applyAlignment="true" applyProtection="false">
      <alignment horizontal="left" vertical="bottom" textRotation="0" wrapText="false" indent="0" shrinkToFit="false"/>
      <protection locked="true" hidden="false"/>
    </xf>
    <xf numFmtId="169"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right" vertical="bottom" textRotation="0" wrapText="false" indent="0" shrinkToFit="false"/>
      <protection locked="true" hidden="false"/>
    </xf>
    <xf numFmtId="173" fontId="43" fillId="0" borderId="0" xfId="0" applyFont="true" applyBorder="true" applyAlignment="false" applyProtection="false">
      <alignment horizontal="general" vertical="bottom" textRotation="0" wrapText="false" indent="0" shrinkToFit="false"/>
      <protection locked="true" hidden="false"/>
    </xf>
    <xf numFmtId="173" fontId="9" fillId="0" borderId="0" xfId="0" applyFont="true" applyBorder="true" applyAlignment="true" applyProtection="false">
      <alignment horizontal="right" vertical="bottom" textRotation="0" wrapText="false" indent="0" shrinkToFit="false"/>
      <protection locked="true" hidden="false"/>
    </xf>
    <xf numFmtId="173" fontId="15" fillId="0" borderId="0" xfId="0" applyFont="true" applyBorder="true" applyAlignment="false" applyProtection="false">
      <alignment horizontal="general" vertical="bottom" textRotation="0" wrapText="false" indent="0" shrinkToFit="false"/>
      <protection locked="true" hidden="false"/>
    </xf>
    <xf numFmtId="164" fontId="44" fillId="0" borderId="0" xfId="0" applyFont="true" applyBorder="true" applyAlignment="false" applyProtection="false">
      <alignment horizontal="general" vertical="bottom" textRotation="0" wrapText="false" indent="0" shrinkToFit="false"/>
      <protection locked="true" hidden="false"/>
    </xf>
    <xf numFmtId="172" fontId="4" fillId="5" borderId="14" xfId="0" applyFont="true" applyBorder="true" applyAlignment="false" applyProtection="false">
      <alignment horizontal="general" vertical="bottom" textRotation="0" wrapText="false" indent="0" shrinkToFit="false"/>
      <protection locked="true" hidden="false"/>
    </xf>
    <xf numFmtId="172" fontId="4" fillId="5" borderId="15" xfId="0" applyFont="true" applyBorder="true" applyAlignment="false" applyProtection="false">
      <alignment horizontal="general" vertical="bottom" textRotation="0" wrapText="false" indent="0" shrinkToFit="false"/>
      <protection locked="true" hidden="false"/>
    </xf>
    <xf numFmtId="164" fontId="4" fillId="3" borderId="14" xfId="0" applyFont="true" applyBorder="true" applyAlignment="false" applyProtection="false">
      <alignment horizontal="general" vertical="bottom" textRotation="0" wrapText="false" indent="0" shrinkToFit="false"/>
      <protection locked="true" hidden="false"/>
    </xf>
    <xf numFmtId="164" fontId="4" fillId="8" borderId="14" xfId="0" applyFont="true" applyBorder="true" applyAlignment="false" applyProtection="false">
      <alignment horizontal="general" vertical="bottom" textRotation="0" wrapText="false" indent="0" shrinkToFit="false"/>
      <protection locked="true" hidden="false"/>
    </xf>
    <xf numFmtId="164" fontId="45" fillId="6" borderId="3" xfId="0" applyFont="true" applyBorder="true" applyAlignment="false" applyProtection="false">
      <alignment horizontal="general" vertical="bottom" textRotation="0" wrapText="false" indent="0" shrinkToFit="false"/>
      <protection locked="true" hidden="false"/>
    </xf>
    <xf numFmtId="172" fontId="4" fillId="6" borderId="4" xfId="0" applyFont="true" applyBorder="true" applyAlignment="false" applyProtection="false">
      <alignment horizontal="general" vertical="bottom" textRotation="0" wrapText="false" indent="0" shrinkToFit="false"/>
      <protection locked="true" hidden="false"/>
    </xf>
    <xf numFmtId="172" fontId="4" fillId="6" borderId="5" xfId="0" applyFont="true" applyBorder="true" applyAlignment="false" applyProtection="false">
      <alignment horizontal="general" vertical="bottom" textRotation="0" wrapText="false" indent="0" shrinkToFit="false"/>
      <protection locked="true" hidden="false"/>
    </xf>
    <xf numFmtId="172" fontId="4" fillId="6" borderId="0" xfId="0" applyFont="true" applyBorder="true" applyAlignment="false" applyProtection="false">
      <alignment horizontal="general" vertical="bottom" textRotation="0" wrapText="false" indent="0" shrinkToFit="false"/>
      <protection locked="true" hidden="false"/>
    </xf>
    <xf numFmtId="172" fontId="4" fillId="6" borderId="2" xfId="0" applyFont="true" applyBorder="true" applyAlignment="false" applyProtection="false">
      <alignment horizontal="general" vertical="bottom" textRotation="0" wrapText="false" indent="0" shrinkToFit="false"/>
      <protection locked="true" hidden="false"/>
    </xf>
    <xf numFmtId="170" fontId="4" fillId="6" borderId="0" xfId="0" applyFont="true" applyBorder="true" applyAlignment="false" applyProtection="false">
      <alignment horizontal="general" vertical="bottom" textRotation="0" wrapText="false" indent="0" shrinkToFit="false"/>
      <protection locked="true" hidden="false"/>
    </xf>
    <xf numFmtId="164" fontId="30" fillId="3" borderId="3" xfId="0" applyFont="true" applyBorder="true" applyAlignment="false" applyProtection="true">
      <alignment horizontal="general" vertical="bottom" textRotation="0" wrapText="false" indent="0" shrinkToFit="false"/>
      <protection locked="true" hidden="false"/>
    </xf>
    <xf numFmtId="164" fontId="46" fillId="0" borderId="0"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true" applyProtection="false">
      <alignment horizontal="left" vertical="bottom" textRotation="0" wrapText="false" indent="0" shrinkToFit="false"/>
      <protection locked="true" hidden="false"/>
    </xf>
    <xf numFmtId="164" fontId="5" fillId="2" borderId="4" xfId="0" applyFont="true" applyBorder="true" applyAlignment="true" applyProtection="false">
      <alignment horizontal="center" vertical="bottom" textRotation="0" wrapText="false" indent="0" shrinkToFit="false"/>
      <protection locked="true" hidden="false"/>
    </xf>
    <xf numFmtId="164" fontId="5" fillId="2" borderId="4" xfId="0" applyFont="true" applyBorder="true" applyAlignment="true" applyProtection="false">
      <alignment horizontal="right" vertical="bottom" textRotation="0" wrapText="false" indent="0" shrinkToFit="false"/>
      <protection locked="true" hidden="false"/>
    </xf>
    <xf numFmtId="164" fontId="7" fillId="2" borderId="3" xfId="0" applyFont="true" applyBorder="true" applyAlignment="true" applyProtection="false">
      <alignment horizontal="right" vertical="bottom" textRotation="0" wrapText="false" indent="0" shrinkToFit="false"/>
      <protection locked="true" hidden="false"/>
    </xf>
    <xf numFmtId="164" fontId="5" fillId="2" borderId="5" xfId="0" applyFont="true" applyBorder="true" applyAlignment="true" applyProtection="false">
      <alignment horizontal="center" vertical="bottom" textRotation="0" wrapText="false" indent="0" shrinkToFit="false"/>
      <protection locked="true" hidden="false"/>
    </xf>
    <xf numFmtId="164" fontId="4" fillId="10" borderId="13" xfId="0" applyFont="true" applyBorder="true" applyAlignment="false" applyProtection="false">
      <alignment horizontal="general" vertical="bottom" textRotation="0" wrapText="false" indent="0" shrinkToFit="false"/>
      <protection locked="true" hidden="false"/>
    </xf>
    <xf numFmtId="164" fontId="47" fillId="10" borderId="14" xfId="0" applyFont="true" applyBorder="true" applyAlignment="false" applyProtection="false">
      <alignment horizontal="general" vertical="bottom" textRotation="0" wrapText="false" indent="0" shrinkToFit="false"/>
      <protection locked="true" hidden="false"/>
    </xf>
    <xf numFmtId="164" fontId="48" fillId="10" borderId="14" xfId="0" applyFont="true" applyBorder="true" applyAlignment="false" applyProtection="false">
      <alignment horizontal="general" vertical="bottom" textRotation="0" wrapText="false" indent="0" shrinkToFit="false"/>
      <protection locked="true" hidden="false"/>
    </xf>
    <xf numFmtId="164" fontId="0" fillId="10" borderId="14" xfId="0" applyFont="false" applyBorder="true" applyAlignment="false" applyProtection="false">
      <alignment horizontal="general" vertical="bottom" textRotation="0" wrapText="false" indent="0" shrinkToFit="false"/>
      <protection locked="true" hidden="false"/>
    </xf>
    <xf numFmtId="164" fontId="4" fillId="10" borderId="14" xfId="0" applyFont="true" applyBorder="true" applyAlignment="false" applyProtection="false">
      <alignment horizontal="general" vertical="bottom" textRotation="0" wrapText="false" indent="0" shrinkToFit="false"/>
      <protection locked="true" hidden="false"/>
    </xf>
    <xf numFmtId="164" fontId="4" fillId="10" borderId="15" xfId="0" applyFont="true" applyBorder="true" applyAlignment="false" applyProtection="false">
      <alignment horizontal="general" vertical="bottom" textRotation="0" wrapText="false" indent="0" shrinkToFit="false"/>
      <protection locked="true" hidden="false"/>
    </xf>
    <xf numFmtId="164" fontId="47" fillId="0" borderId="0" xfId="0" applyFont="true" applyBorder="true" applyAlignment="false" applyProtection="false">
      <alignment horizontal="general" vertical="bottom" textRotation="0" wrapText="false" indent="0" shrinkToFit="false"/>
      <protection locked="true" hidden="false"/>
    </xf>
    <xf numFmtId="164" fontId="48"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25" fillId="5" borderId="7" xfId="0" applyFont="true" applyBorder="true" applyAlignment="true" applyProtection="true">
      <alignment horizontal="center" vertical="top" textRotation="0" wrapText="false" indent="0" shrinkToFit="false"/>
      <protection locked="true" hidden="false"/>
    </xf>
    <xf numFmtId="164" fontId="25" fillId="5" borderId="6" xfId="0" applyFont="true" applyBorder="true" applyAlignment="true" applyProtection="true">
      <alignment horizontal="center" vertical="top" textRotation="0" wrapText="false" indent="0" shrinkToFit="false"/>
      <protection locked="true" hidden="false"/>
    </xf>
    <xf numFmtId="164" fontId="0" fillId="3" borderId="0" xfId="0" applyFont="false" applyBorder="true" applyAlignment="true" applyProtection="true">
      <alignment horizontal="center" vertical="top" textRotation="0" wrapText="false" indent="0" shrinkToFit="false"/>
      <protection locked="true" hidden="false"/>
    </xf>
    <xf numFmtId="164" fontId="4" fillId="6" borderId="7" xfId="0" applyFont="true" applyBorder="true" applyAlignment="true" applyProtection="false">
      <alignment horizontal="center" vertical="bottom" textRotation="0" wrapText="false" indent="0" shrinkToFit="false"/>
      <protection locked="true" hidden="false"/>
    </xf>
    <xf numFmtId="164" fontId="25" fillId="5" borderId="7" xfId="0" applyFont="true" applyBorder="true" applyAlignment="true" applyProtection="false">
      <alignment horizontal="center" vertical="bottom" textRotation="0" wrapText="false" indent="0" shrinkToFit="false"/>
      <protection locked="true" hidden="false"/>
    </xf>
    <xf numFmtId="164" fontId="25" fillId="5" borderId="17" xfId="0" applyFont="true" applyBorder="true" applyAlignment="true" applyProtection="true">
      <alignment horizontal="center" vertical="top" textRotation="0" wrapText="false" indent="0" shrinkToFit="false"/>
      <protection locked="true" hidden="false"/>
    </xf>
    <xf numFmtId="164" fontId="25" fillId="3" borderId="0" xfId="0" applyFont="true" applyBorder="true" applyAlignment="true" applyProtection="true">
      <alignment horizontal="center" vertical="top" textRotation="0" wrapText="false" indent="0" shrinkToFit="false"/>
      <protection locked="true" hidden="false"/>
    </xf>
    <xf numFmtId="172" fontId="25" fillId="6" borderId="7" xfId="0" applyFont="true" applyBorder="true" applyAlignment="true" applyProtection="true">
      <alignment horizontal="center" vertical="top" textRotation="0" wrapText="false" indent="0" shrinkToFit="false"/>
      <protection locked="true" hidden="false"/>
    </xf>
    <xf numFmtId="172" fontId="25" fillId="5" borderId="7" xfId="0" applyFont="true" applyBorder="true" applyAlignment="true" applyProtection="true">
      <alignment horizontal="center" vertical="top" textRotation="0" wrapText="false" indent="0" shrinkToFit="false"/>
      <protection locked="true" hidden="false"/>
    </xf>
    <xf numFmtId="178" fontId="4" fillId="3" borderId="6" xfId="0" applyFont="true" applyBorder="true" applyAlignment="true" applyProtection="true">
      <alignment horizontal="center" vertical="center" textRotation="0" wrapText="false" indent="0" shrinkToFit="false"/>
      <protection locked="true" hidden="false"/>
    </xf>
    <xf numFmtId="176" fontId="4" fillId="4" borderId="17" xfId="22" applyFont="true" applyBorder="true" applyAlignment="true" applyProtection="true">
      <alignment horizontal="center" vertical="top" textRotation="0" wrapText="false" indent="0" shrinkToFit="false"/>
      <protection locked="false" hidden="false"/>
    </xf>
    <xf numFmtId="164" fontId="4" fillId="3" borderId="6" xfId="0" applyFont="true" applyBorder="true" applyAlignment="true" applyProtection="true">
      <alignment horizontal="center" vertical="center" textRotation="0" wrapText="false" indent="0" shrinkToFit="false"/>
      <protection locked="true" hidden="false"/>
    </xf>
    <xf numFmtId="176" fontId="4" fillId="4" borderId="7" xfId="22" applyFont="true" applyBorder="true" applyAlignment="true" applyProtection="true">
      <alignment horizontal="center" vertical="top" textRotation="0" wrapText="false" indent="0" shrinkToFit="false"/>
      <protection locked="false" hidden="false"/>
    </xf>
    <xf numFmtId="164" fontId="25" fillId="5" borderId="7" xfId="0" applyFont="true" applyBorder="true" applyAlignment="true" applyProtection="true">
      <alignment horizontal="center" vertical="bottom" textRotation="0" wrapText="false" indent="0" shrinkToFit="false"/>
      <protection locked="true" hidden="false"/>
    </xf>
    <xf numFmtId="176" fontId="25" fillId="5" borderId="7" xfId="22" applyFont="true" applyBorder="true" applyAlignment="true" applyProtection="true">
      <alignment horizontal="center" vertical="top" textRotation="0" wrapText="false" indent="0" shrinkToFit="false"/>
      <protection locked="true" hidden="false"/>
    </xf>
    <xf numFmtId="164" fontId="25" fillId="3" borderId="6" xfId="0" applyFont="true" applyBorder="true" applyAlignment="true" applyProtection="true">
      <alignment horizontal="center" vertical="bottom" textRotation="0" wrapText="false" indent="0" shrinkToFit="false"/>
      <protection locked="true" hidden="false"/>
    </xf>
    <xf numFmtId="164" fontId="25" fillId="3" borderId="4" xfId="0" applyFont="true" applyBorder="true" applyAlignment="true" applyProtection="true">
      <alignment horizontal="center" vertical="top" textRotation="0" wrapText="false" indent="0" shrinkToFit="false"/>
      <protection locked="true" hidden="false"/>
    </xf>
    <xf numFmtId="164" fontId="0" fillId="3" borderId="4" xfId="0" applyFont="false" applyBorder="true" applyAlignment="true" applyProtection="true">
      <alignment horizontal="center" vertical="top" textRotation="0" wrapText="false" indent="0" shrinkToFit="false"/>
      <protection locked="true" hidden="false"/>
    </xf>
    <xf numFmtId="164" fontId="25" fillId="5" borderId="6" xfId="0" applyFont="true" applyBorder="true" applyAlignment="true" applyProtection="true">
      <alignment horizontal="center" vertical="bottom" textRotation="0" wrapText="false" indent="0" shrinkToFit="false"/>
      <protection locked="true" hidden="false"/>
    </xf>
    <xf numFmtId="164" fontId="0" fillId="5" borderId="5" xfId="0" applyFont="false" applyBorder="true" applyAlignment="true" applyProtection="true">
      <alignment horizontal="general" vertical="bottom" textRotation="0" wrapText="false" indent="0" shrinkToFit="false"/>
      <protection locked="true" hidden="false"/>
    </xf>
    <xf numFmtId="164" fontId="25" fillId="5" borderId="10" xfId="0" applyFont="true" applyBorder="true" applyAlignment="true" applyProtection="true">
      <alignment horizontal="center" vertical="top" textRotation="0" wrapText="false" indent="0" shrinkToFit="false"/>
      <protection locked="true" hidden="false"/>
    </xf>
    <xf numFmtId="164" fontId="4" fillId="3" borderId="7" xfId="0" applyFont="true" applyBorder="true" applyAlignment="true" applyProtection="true">
      <alignment horizontal="center" vertical="top" textRotation="0" wrapText="false" indent="0" shrinkToFit="false"/>
      <protection locked="true" hidden="false"/>
    </xf>
    <xf numFmtId="176" fontId="25" fillId="5" borderId="17" xfId="22" applyFont="true" applyBorder="true" applyAlignment="true" applyProtection="true">
      <alignment horizontal="center" vertical="top" textRotation="0" wrapText="false" indent="0" shrinkToFit="false"/>
      <protection locked="true" hidden="false"/>
    </xf>
    <xf numFmtId="164" fontId="4" fillId="3" borderId="6" xfId="0" applyFont="true" applyBorder="true" applyAlignment="true" applyProtection="true">
      <alignment horizontal="center" vertical="top" textRotation="0" wrapText="false" indent="0" shrinkToFit="false"/>
      <protection locked="true" hidden="false"/>
    </xf>
    <xf numFmtId="164" fontId="4" fillId="5" borderId="7" xfId="0" applyFont="true" applyBorder="true" applyAlignment="true" applyProtection="true">
      <alignment horizontal="left" vertical="top" textRotation="0" wrapText="false" indent="0" shrinkToFit="false"/>
      <protection locked="true" hidden="false"/>
    </xf>
    <xf numFmtId="164" fontId="4" fillId="3" borderId="2" xfId="0" applyFont="true" applyBorder="true" applyAlignment="false" applyProtection="false">
      <alignment horizontal="general" vertical="bottom" textRotation="0" wrapText="false" indent="0" shrinkToFit="false"/>
      <protection locked="true" hidden="false"/>
    </xf>
    <xf numFmtId="176" fontId="25" fillId="6" borderId="7" xfId="22" applyFont="true" applyBorder="true" applyAlignment="true" applyProtection="true">
      <alignment horizontal="center" vertical="top" textRotation="0" wrapText="false" indent="0" shrinkToFit="false"/>
      <protection locked="true" hidden="false"/>
    </xf>
    <xf numFmtId="176" fontId="4" fillId="3" borderId="4" xfId="22" applyFont="true" applyBorder="true" applyAlignment="true" applyProtection="true">
      <alignment horizontal="center" vertical="top" textRotation="0" wrapText="false" indent="0" shrinkToFit="false"/>
      <protection locked="true" hidden="false"/>
    </xf>
    <xf numFmtId="176" fontId="25" fillId="3" borderId="4" xfId="22" applyFont="true" applyBorder="true" applyAlignment="true" applyProtection="true">
      <alignment horizontal="center" vertical="top"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25" fillId="5" borderId="7" xfId="0" applyFont="true" applyBorder="true" applyAlignment="true" applyProtection="true">
      <alignment horizontal="center" vertical="center" textRotation="0" wrapText="false" indent="0" shrinkToFit="false"/>
      <protection locked="true" hidden="false"/>
    </xf>
    <xf numFmtId="164" fontId="49" fillId="10" borderId="13" xfId="0" applyFont="true" applyBorder="true" applyAlignment="false" applyProtection="false">
      <alignment horizontal="general" vertical="bottom" textRotation="0" wrapText="false" indent="0" shrinkToFit="false"/>
      <protection locked="true" hidden="false"/>
    </xf>
    <xf numFmtId="164" fontId="4" fillId="10" borderId="0" xfId="0" applyFont="true" applyBorder="false" applyAlignment="false" applyProtection="false">
      <alignment horizontal="general" vertical="bottom" textRotation="0" wrapText="false" indent="0" shrinkToFit="false"/>
      <protection locked="true" hidden="false"/>
    </xf>
    <xf numFmtId="177" fontId="4" fillId="4" borderId="7" xfId="0" applyFont="true" applyBorder="true" applyAlignment="true" applyProtection="true">
      <alignment horizontal="center" vertical="bottom" textRotation="0" wrapText="false" indent="0" shrinkToFit="false"/>
      <protection locked="false" hidden="false"/>
    </xf>
    <xf numFmtId="164" fontId="25" fillId="5" borderId="9" xfId="0" applyFont="true" applyBorder="true" applyAlignment="true" applyProtection="true">
      <alignment horizontal="center" vertical="top" textRotation="0" wrapText="false" indent="0" shrinkToFit="false"/>
      <protection locked="true" hidden="false"/>
    </xf>
    <xf numFmtId="164" fontId="25" fillId="5" borderId="8" xfId="0" applyFont="true" applyBorder="true" applyAlignment="true" applyProtection="true">
      <alignment horizontal="center" vertical="top" textRotation="0" wrapText="false" indent="0" shrinkToFit="false"/>
      <protection locked="true" hidden="false"/>
    </xf>
    <xf numFmtId="176" fontId="4" fillId="6" borderId="7" xfId="22" applyFont="true" applyBorder="true" applyAlignment="true" applyProtection="true">
      <alignment horizontal="center" vertical="top" textRotation="0" wrapText="false" indent="0" shrinkToFit="false"/>
      <protection locked="false" hidden="false"/>
    </xf>
    <xf numFmtId="164" fontId="4" fillId="5" borderId="7" xfId="0" applyFont="true" applyBorder="true" applyAlignment="true" applyProtection="true">
      <alignment horizontal="general" vertical="bottom" textRotation="0" wrapText="false" indent="0" shrinkToFit="false"/>
      <protection locked="true" hidden="false"/>
    </xf>
    <xf numFmtId="176" fontId="25" fillId="5" borderId="6" xfId="22" applyFont="true" applyBorder="true" applyAlignment="true" applyProtection="true">
      <alignment horizontal="center" vertical="top"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3" borderId="0" xfId="0" applyFont="false" applyBorder="true" applyAlignment="false" applyProtection="false">
      <alignment horizontal="general" vertical="bottom" textRotation="0" wrapText="false" indent="0" shrinkToFit="false"/>
      <protection locked="true" hidden="false"/>
    </xf>
    <xf numFmtId="164" fontId="0" fillId="8" borderId="0" xfId="0" applyFont="false" applyBorder="true" applyAlignment="false" applyProtection="false">
      <alignment horizontal="general" vertical="bottom" textRotation="0" wrapText="false" indent="0" shrinkToFit="false"/>
      <protection locked="true" hidden="false"/>
    </xf>
    <xf numFmtId="164" fontId="0" fillId="3" borderId="4" xfId="0" applyFont="false" applyBorder="true" applyAlignment="false" applyProtection="false">
      <alignment horizontal="general" vertical="bottom" textRotation="0" wrapText="false" indent="0" shrinkToFit="false"/>
      <protection locked="true" hidden="false"/>
    </xf>
    <xf numFmtId="164" fontId="0" fillId="8" borderId="4" xfId="0" applyFont="false" applyBorder="true" applyAlignment="false" applyProtection="false">
      <alignment horizontal="general" vertical="bottom"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51" fillId="0" borderId="1" xfId="0" applyFont="true" applyBorder="true" applyAlignment="false" applyProtection="false">
      <alignment horizontal="general" vertical="bottom" textRotation="0" wrapText="false" indent="0" shrinkToFit="false"/>
      <protection locked="true" hidden="false"/>
    </xf>
    <xf numFmtId="164" fontId="46" fillId="0" borderId="0" xfId="0" applyFont="true" applyBorder="true" applyAlignment="false" applyProtection="false">
      <alignment horizontal="general" vertical="bottom" textRotation="0" wrapText="false" indent="0" shrinkToFit="false"/>
      <protection locked="true" hidden="false"/>
    </xf>
    <xf numFmtId="169" fontId="51" fillId="0" borderId="0" xfId="0" applyFont="true" applyBorder="true" applyAlignment="false" applyProtection="false">
      <alignment horizontal="general" vertical="bottom" textRotation="0" wrapText="false" indent="0" shrinkToFit="false"/>
      <protection locked="true" hidden="false"/>
    </xf>
    <xf numFmtId="164" fontId="51" fillId="0" borderId="0" xfId="0" applyFont="true" applyBorder="true" applyAlignment="false" applyProtection="false">
      <alignment horizontal="general" vertical="bottom" textRotation="0" wrapText="false" indent="0" shrinkToFit="false"/>
      <protection locked="true" hidden="false"/>
    </xf>
    <xf numFmtId="164" fontId="51" fillId="0" borderId="0" xfId="0" applyFont="true" applyBorder="true" applyAlignment="true" applyProtection="false">
      <alignment horizontal="right" vertical="bottom" textRotation="0" wrapText="false" indent="0" shrinkToFit="false"/>
      <protection locked="true" hidden="false"/>
    </xf>
    <xf numFmtId="173" fontId="52" fillId="0" borderId="0" xfId="0" applyFont="true" applyBorder="true" applyAlignment="false" applyProtection="false">
      <alignment horizontal="general" vertical="bottom" textRotation="0" wrapText="false" indent="0" shrinkToFit="false"/>
      <protection locked="true" hidden="false"/>
    </xf>
    <xf numFmtId="164" fontId="46" fillId="0" borderId="2" xfId="0" applyFont="true" applyBorder="true" applyAlignment="false" applyProtection="false">
      <alignment horizontal="general" vertical="bottom" textRotation="0" wrapText="false" indent="0" shrinkToFit="false"/>
      <protection locked="true" hidden="false"/>
    </xf>
    <xf numFmtId="164" fontId="53" fillId="0" borderId="0" xfId="0" applyFont="true" applyBorder="true" applyAlignment="false" applyProtection="false">
      <alignment horizontal="general" vertical="bottom" textRotation="0" wrapText="false" indent="0" shrinkToFit="false"/>
      <protection locked="true" hidden="false"/>
    </xf>
    <xf numFmtId="173" fontId="46" fillId="0" borderId="0" xfId="0" applyFont="true" applyBorder="true" applyAlignment="false" applyProtection="false">
      <alignment horizontal="general" vertical="bottom" textRotation="0" wrapText="false" indent="0" shrinkToFit="false"/>
      <protection locked="true" hidden="false"/>
    </xf>
    <xf numFmtId="175" fontId="51" fillId="0" borderId="0" xfId="0" applyFont="true" applyBorder="true" applyAlignment="true" applyProtection="false">
      <alignment horizontal="right" vertical="bottom" textRotation="0" wrapText="false" indent="0" shrinkToFit="false"/>
      <protection locked="true" hidden="false"/>
    </xf>
    <xf numFmtId="164" fontId="51" fillId="0" borderId="0" xfId="0" applyFont="true" applyBorder="true" applyAlignment="true" applyProtection="false">
      <alignment horizontal="left" vertical="bottom" textRotation="0" wrapText="false" indent="0" shrinkToFit="false"/>
      <protection locked="true" hidden="false"/>
    </xf>
    <xf numFmtId="164" fontId="51" fillId="0" borderId="2" xfId="0" applyFont="true" applyBorder="true" applyAlignment="true" applyProtection="false">
      <alignment horizontal="right"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54" fillId="0" borderId="8"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73" fontId="54" fillId="0" borderId="8" xfId="0" applyFont="true" applyBorder="true" applyAlignment="false" applyProtection="false">
      <alignment horizontal="general" vertical="bottom" textRotation="0" wrapText="false" indent="0" shrinkToFit="false"/>
      <protection locked="true" hidden="false"/>
    </xf>
    <xf numFmtId="164" fontId="54" fillId="0" borderId="10" xfId="0" applyFont="true" applyBorder="true" applyAlignment="false" applyProtection="false">
      <alignment horizontal="general" vertical="bottom" textRotation="0" wrapText="false" indent="0" shrinkToFit="false"/>
      <protection locked="true" hidden="false"/>
    </xf>
    <xf numFmtId="164" fontId="53" fillId="5" borderId="13" xfId="0" applyFont="true" applyBorder="true" applyAlignment="false" applyProtection="false">
      <alignment horizontal="general" vertical="bottom" textRotation="0" wrapText="false" indent="0" shrinkToFit="false"/>
      <protection locked="true" hidden="false"/>
    </xf>
    <xf numFmtId="164" fontId="55" fillId="5" borderId="14" xfId="0" applyFont="true" applyBorder="true" applyAlignment="false" applyProtection="false">
      <alignment horizontal="general" vertical="bottom" textRotation="0" wrapText="false" indent="0" shrinkToFit="false"/>
      <protection locked="true" hidden="false"/>
    </xf>
    <xf numFmtId="164" fontId="53" fillId="6" borderId="7" xfId="0" applyFont="true" applyBorder="true" applyAlignment="true" applyProtection="false">
      <alignment horizontal="center" vertical="bottom" textRotation="0" wrapText="false" indent="0" shrinkToFit="false"/>
      <protection locked="true" hidden="false"/>
    </xf>
    <xf numFmtId="169" fontId="25" fillId="5" borderId="7" xfId="0" applyFont="tru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53" fillId="0" borderId="7" xfId="0" applyFont="true" applyBorder="true" applyAlignment="false" applyProtection="false">
      <alignment horizontal="general" vertical="bottom" textRotation="0" wrapText="false" indent="0" shrinkToFit="false"/>
      <protection locked="true" hidden="false"/>
    </xf>
    <xf numFmtId="164" fontId="53" fillId="0" borderId="7" xfId="0" applyFont="true" applyBorder="true" applyAlignment="true" applyProtection="false">
      <alignment horizontal="right" vertical="bottom" textRotation="0" wrapText="false" indent="0" shrinkToFit="false"/>
      <protection locked="true" hidden="false"/>
    </xf>
    <xf numFmtId="164" fontId="56" fillId="0" borderId="7" xfId="0" applyFont="true" applyBorder="true" applyAlignment="false" applyProtection="false">
      <alignment horizontal="general" vertical="bottom" textRotation="0" wrapText="false" indent="0" shrinkToFit="false"/>
      <protection locked="true" hidden="false"/>
    </xf>
    <xf numFmtId="164" fontId="51" fillId="0" borderId="3" xfId="0" applyFont="true" applyBorder="true" applyAlignment="false" applyProtection="false">
      <alignment horizontal="general" vertical="bottom" textRotation="0" wrapText="false" indent="0" shrinkToFit="false"/>
      <protection locked="true" hidden="false"/>
    </xf>
    <xf numFmtId="176" fontId="0" fillId="6" borderId="11" xfId="0" applyFont="false" applyBorder="true" applyAlignment="false" applyProtection="true">
      <alignment horizontal="general" vertical="bottom" textRotation="0" wrapText="false" indent="0" shrinkToFit="false"/>
      <protection locked="true" hidden="false"/>
    </xf>
    <xf numFmtId="176" fontId="0" fillId="5" borderId="11" xfId="0" applyFont="false" applyBorder="true" applyAlignment="false" applyProtection="true">
      <alignment horizontal="general" vertical="bottom" textRotation="0" wrapText="false" indent="0" shrinkToFit="false"/>
      <protection locked="true" hidden="false"/>
    </xf>
    <xf numFmtId="164" fontId="53" fillId="0" borderId="13" xfId="0" applyFont="true" applyBorder="true" applyAlignment="false" applyProtection="false">
      <alignment horizontal="general" vertical="bottom" textRotation="0" wrapText="false" indent="0" shrinkToFit="false"/>
      <protection locked="true" hidden="false"/>
    </xf>
    <xf numFmtId="164" fontId="53" fillId="0" borderId="14"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6" fontId="51" fillId="0" borderId="15" xfId="0" applyFont="true" applyBorder="true" applyAlignment="false" applyProtection="false">
      <alignment horizontal="general" vertical="bottom" textRotation="0" wrapText="false" indent="0" shrinkToFit="false"/>
      <protection locked="true" hidden="false"/>
    </xf>
    <xf numFmtId="176" fontId="51" fillId="0" borderId="7" xfId="0" applyFont="true" applyBorder="true" applyAlignment="false" applyProtection="false">
      <alignment horizontal="general" vertical="bottom" textRotation="0" wrapText="false" indent="0" shrinkToFit="false"/>
      <protection locked="true" hidden="false"/>
    </xf>
    <xf numFmtId="164" fontId="0" fillId="5" borderId="14" xfId="0" applyFont="false" applyBorder="true" applyAlignment="false" applyProtection="false">
      <alignment horizontal="general" vertical="bottom" textRotation="0" wrapText="false" indent="0" shrinkToFit="false"/>
      <protection locked="true" hidden="false"/>
    </xf>
    <xf numFmtId="164" fontId="0" fillId="5" borderId="15" xfId="0" applyFont="false" applyBorder="true" applyAlignment="false" applyProtection="false">
      <alignment horizontal="general" vertical="bottom" textRotation="0" wrapText="false" indent="0" shrinkToFit="false"/>
      <protection locked="true" hidden="false"/>
    </xf>
    <xf numFmtId="164" fontId="0" fillId="6" borderId="3" xfId="0" applyFont="false" applyBorder="true" applyAlignment="false" applyProtection="true">
      <alignment horizontal="general" vertical="bottom" textRotation="0" wrapText="false" indent="0" shrinkToFit="false"/>
      <protection locked="false" hidden="false"/>
    </xf>
    <xf numFmtId="164" fontId="0" fillId="6" borderId="4" xfId="0" applyFont="false" applyBorder="true" applyAlignment="false" applyProtection="true">
      <alignment horizontal="general" vertical="bottom" textRotation="0" wrapText="false" indent="0" shrinkToFit="false"/>
      <protection locked="false" hidden="false"/>
    </xf>
    <xf numFmtId="164" fontId="0" fillId="6" borderId="5" xfId="0" applyFont="false" applyBorder="true" applyAlignment="false" applyProtection="true">
      <alignment horizontal="general" vertical="bottom" textRotation="0" wrapText="false" indent="0" shrinkToFit="false"/>
      <protection locked="false" hidden="false"/>
    </xf>
    <xf numFmtId="164" fontId="0" fillId="6" borderId="1" xfId="0" applyFont="false" applyBorder="true" applyAlignment="false" applyProtection="true">
      <alignment horizontal="general" vertical="bottom" textRotation="0" wrapText="false" indent="0" shrinkToFit="false"/>
      <protection locked="false" hidden="false"/>
    </xf>
    <xf numFmtId="164" fontId="0" fillId="6" borderId="0" xfId="0" applyFont="false" applyBorder="true" applyAlignment="false" applyProtection="true">
      <alignment horizontal="general" vertical="bottom" textRotation="0" wrapText="false" indent="0" shrinkToFit="false"/>
      <protection locked="false" hidden="false"/>
    </xf>
    <xf numFmtId="164" fontId="0" fillId="6" borderId="2" xfId="0" applyFont="false" applyBorder="true" applyAlignment="false" applyProtection="true">
      <alignment horizontal="general" vertical="bottom" textRotation="0" wrapText="false" indent="0" shrinkToFit="false"/>
      <protection locked="false" hidden="false"/>
    </xf>
    <xf numFmtId="164" fontId="0" fillId="6" borderId="9" xfId="0" applyFont="false" applyBorder="true" applyAlignment="false" applyProtection="true">
      <alignment horizontal="general" vertical="bottom" textRotation="0" wrapText="false" indent="0" shrinkToFit="false"/>
      <protection locked="false" hidden="false"/>
    </xf>
    <xf numFmtId="164" fontId="0" fillId="6" borderId="8" xfId="0" applyFont="false" applyBorder="true" applyAlignment="false" applyProtection="true">
      <alignment horizontal="general" vertical="bottom" textRotation="0" wrapText="false" indent="0" shrinkToFit="false"/>
      <protection locked="false" hidden="false"/>
    </xf>
    <xf numFmtId="164" fontId="0" fillId="6" borderId="10" xfId="0" applyFont="false" applyBorder="true" applyAlignment="false" applyProtection="true">
      <alignment horizontal="general" vertical="bottom" textRotation="0" wrapText="false" indent="0" shrinkToFit="false"/>
      <protection locked="false" hidden="false"/>
    </xf>
    <xf numFmtId="164" fontId="24" fillId="5" borderId="14" xfId="0" applyFont="true" applyBorder="true" applyAlignment="false" applyProtection="false">
      <alignment horizontal="general" vertical="bottom" textRotation="0" wrapText="false" indent="0" shrinkToFit="false"/>
      <protection locked="true" hidden="false"/>
    </xf>
    <xf numFmtId="164" fontId="25" fillId="6" borderId="7" xfId="0" applyFont="true" applyBorder="true" applyAlignment="true" applyProtection="false">
      <alignment horizontal="center" vertical="bottom" textRotation="0" wrapText="false" indent="0" shrinkToFit="false"/>
      <protection locked="true" hidden="false"/>
    </xf>
    <xf numFmtId="164" fontId="9" fillId="3" borderId="0" xfId="0" applyFont="true" applyBorder="true" applyAlignment="false" applyProtection="false">
      <alignment horizontal="general" vertical="bottom" textRotation="0" wrapText="false" indent="0" shrinkToFit="false"/>
      <protection locked="true" hidden="false"/>
    </xf>
    <xf numFmtId="164" fontId="53" fillId="0" borderId="17" xfId="0" applyFont="true" applyBorder="true" applyAlignment="false" applyProtection="false">
      <alignment horizontal="general" vertical="bottom" textRotation="0" wrapText="false" indent="0" shrinkToFit="false"/>
      <protection locked="true" hidden="false"/>
    </xf>
    <xf numFmtId="172" fontId="53" fillId="0" borderId="17" xfId="0" applyFont="true" applyBorder="true" applyAlignment="false" applyProtection="false">
      <alignment horizontal="general" vertical="bottom" textRotation="0" wrapText="false" indent="0" shrinkToFit="false"/>
      <protection locked="true" hidden="false"/>
    </xf>
    <xf numFmtId="164" fontId="60" fillId="3" borderId="0" xfId="0" applyFont="true" applyBorder="true" applyAlignment="false" applyProtection="false">
      <alignment horizontal="general" vertical="bottom" textRotation="0" wrapText="false" indent="0" shrinkToFit="false"/>
      <protection locked="true" hidden="false"/>
    </xf>
    <xf numFmtId="176" fontId="0" fillId="6" borderId="2" xfId="0" applyFont="false" applyBorder="true" applyAlignment="false" applyProtection="true">
      <alignment horizontal="general" vertical="bottom" textRotation="0" wrapText="false" indent="0" shrinkToFit="false"/>
      <protection locked="true" hidden="false"/>
    </xf>
    <xf numFmtId="176" fontId="0" fillId="5" borderId="2" xfId="0" applyFont="false" applyBorder="true" applyAlignment="false" applyProtection="true">
      <alignment horizontal="general" vertical="bottom" textRotation="0" wrapText="false" indent="0" shrinkToFit="false"/>
      <protection locked="true" hidden="false"/>
    </xf>
    <xf numFmtId="176" fontId="33" fillId="3" borderId="0" xfId="0" applyFont="true" applyBorder="true" applyAlignment="false" applyProtection="false">
      <alignment horizontal="general" vertical="bottom" textRotation="0" wrapText="false" indent="0" shrinkToFit="false"/>
      <protection locked="true" hidden="false"/>
    </xf>
    <xf numFmtId="164" fontId="51" fillId="0" borderId="9" xfId="0" applyFont="true" applyBorder="true" applyAlignment="false" applyProtection="false">
      <alignment horizontal="general" vertical="bottom" textRotation="0" wrapText="false" indent="0" shrinkToFit="false"/>
      <protection locked="true" hidden="false"/>
    </xf>
    <xf numFmtId="176" fontId="53" fillId="0" borderId="7" xfId="0" applyFont="true" applyBorder="true" applyAlignment="false" applyProtection="false">
      <alignment horizontal="general" vertical="bottom" textRotation="0" wrapText="false" indent="0" shrinkToFit="false"/>
      <protection locked="true" hidden="false"/>
    </xf>
    <xf numFmtId="176" fontId="53" fillId="0" borderId="15" xfId="0" applyFont="true" applyBorder="true" applyAlignment="false" applyProtection="false">
      <alignment horizontal="general" vertical="bottom" textRotation="0" wrapText="false" indent="0" shrinkToFit="false"/>
      <protection locked="true" hidden="false"/>
    </xf>
    <xf numFmtId="172" fontId="4" fillId="3" borderId="0" xfId="0" applyFont="true" applyBorder="true" applyAlignment="false" applyProtection="false">
      <alignment horizontal="general" vertical="bottom" textRotation="0" wrapText="false" indent="0" shrinkToFit="false"/>
      <protection locked="true" hidden="false"/>
    </xf>
    <xf numFmtId="164" fontId="4" fillId="5" borderId="8" xfId="0" applyFont="true" applyBorder="true" applyAlignment="false" applyProtection="false">
      <alignment horizontal="general" vertical="bottom" textRotation="0" wrapText="false" indent="0" shrinkToFit="false"/>
      <protection locked="true" hidden="false"/>
    </xf>
    <xf numFmtId="164" fontId="7" fillId="2" borderId="14" xfId="0" applyFont="true" applyBorder="true" applyAlignment="true" applyProtection="false">
      <alignment horizontal="right" vertical="bottom" textRotation="0" wrapText="false" indent="0" shrinkToFit="false"/>
      <protection locked="true" hidden="false"/>
    </xf>
    <xf numFmtId="164" fontId="25" fillId="6" borderId="7" xfId="0" applyFont="true" applyBorder="true" applyAlignment="true" applyProtection="true">
      <alignment horizontal="center" vertical="bottom" textRotation="0" wrapText="false" indent="0" shrinkToFit="false"/>
      <protection locked="true" hidden="false"/>
    </xf>
    <xf numFmtId="164" fontId="9" fillId="5" borderId="0" xfId="0" applyFont="true" applyBorder="false" applyAlignment="false" applyProtection="false">
      <alignment horizontal="general" vertical="bottom" textRotation="0" wrapText="false" indent="0" shrinkToFit="false"/>
      <protection locked="true" hidden="false"/>
    </xf>
    <xf numFmtId="164" fontId="25" fillId="0" borderId="6" xfId="0" applyFont="true" applyBorder="true" applyAlignment="false" applyProtection="true">
      <alignment horizontal="general" vertical="bottom" textRotation="0" wrapText="false" indent="0" shrinkToFit="false"/>
      <protection locked="true" hidden="false"/>
    </xf>
    <xf numFmtId="164" fontId="25" fillId="0" borderId="11" xfId="0" applyFont="true" applyBorder="true" applyAlignment="false" applyProtection="true">
      <alignment horizontal="general"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76" fontId="4" fillId="6" borderId="6" xfId="0" applyFont="true" applyBorder="true" applyAlignment="false" applyProtection="true">
      <alignment horizontal="general" vertical="bottom" textRotation="0" wrapText="false" indent="0" shrinkToFit="false"/>
      <protection locked="true" hidden="false"/>
    </xf>
    <xf numFmtId="176" fontId="4" fillId="5" borderId="6" xfId="0" applyFont="true" applyBorder="true" applyAlignment="false" applyProtection="true">
      <alignment horizontal="general" vertical="bottom" textRotation="0" wrapText="false" indent="0" shrinkToFit="false"/>
      <protection locked="true" hidden="false"/>
    </xf>
    <xf numFmtId="164" fontId="25" fillId="0" borderId="13" xfId="0" applyFont="true" applyBorder="true" applyAlignment="false" applyProtection="false">
      <alignment horizontal="general" vertical="bottom" textRotation="0" wrapText="false" indent="0" shrinkToFit="false"/>
      <protection locked="true" hidden="false"/>
    </xf>
    <xf numFmtId="176" fontId="25" fillId="0" borderId="7" xfId="0" applyFont="true" applyBorder="true" applyAlignment="false" applyProtection="true">
      <alignment horizontal="general" vertical="bottom" textRotation="0" wrapText="false" indent="0" shrinkToFit="false"/>
      <protection locked="true" hidden="false"/>
    </xf>
    <xf numFmtId="172" fontId="25" fillId="0" borderId="0" xfId="0" applyFont="true" applyBorder="true" applyAlignment="false" applyProtection="false">
      <alignment horizontal="general" vertical="bottom" textRotation="0" wrapText="false" indent="0" shrinkToFit="false"/>
      <protection locked="true" hidden="false"/>
    </xf>
    <xf numFmtId="172" fontId="4" fillId="0" borderId="0" xfId="0" applyFont="true" applyBorder="true" applyAlignment="false" applyProtection="false">
      <alignment horizontal="general"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5" borderId="10"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2" borderId="14" xfId="0" applyFont="true" applyBorder="true" applyAlignment="true" applyProtection="false">
      <alignment horizontal="right" vertical="bottom" textRotation="0" wrapText="false" indent="0" shrinkToFit="false"/>
      <protection locked="true" hidden="false"/>
    </xf>
    <xf numFmtId="164" fontId="0" fillId="3" borderId="14" xfId="0" applyFont="fals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25" fillId="0" borderId="7" xfId="0" applyFont="true" applyBorder="true" applyAlignment="true" applyProtection="false">
      <alignment horizontal="center" vertical="bottom" textRotation="0" wrapText="false" indent="0" shrinkToFit="false"/>
      <protection locked="true" hidden="false"/>
    </xf>
    <xf numFmtId="164" fontId="4" fillId="0" borderId="6" xfId="0" applyFont="true" applyBorder="true" applyAlignment="true" applyProtection="false">
      <alignment horizontal="right" vertical="bottom" textRotation="0" wrapText="false" indent="0" shrinkToFit="false"/>
      <protection locked="true" hidden="false"/>
    </xf>
    <xf numFmtId="164" fontId="4" fillId="0" borderId="7" xfId="0" applyFont="true" applyBorder="true" applyAlignment="true" applyProtection="false">
      <alignment horizontal="right" vertical="bottom" textRotation="0" wrapText="false" indent="0" shrinkToFit="false"/>
      <protection locked="true" hidden="false"/>
    </xf>
    <xf numFmtId="164" fontId="4" fillId="0" borderId="1" xfId="0" applyFont="true" applyBorder="true" applyAlignment="true" applyProtection="false">
      <alignment horizontal="left" vertical="bottom" textRotation="0" wrapText="false" indent="0" shrinkToFit="false"/>
      <protection locked="true" hidden="false"/>
    </xf>
    <xf numFmtId="176" fontId="4" fillId="6" borderId="6" xfId="15" applyFont="true" applyBorder="true" applyAlignment="true" applyProtection="true">
      <alignment horizontal="right" vertical="bottom" textRotation="0" wrapText="false" indent="0" shrinkToFit="false"/>
      <protection locked="true" hidden="false"/>
    </xf>
    <xf numFmtId="176" fontId="4" fillId="6" borderId="2" xfId="15" applyFont="true" applyBorder="true" applyAlignment="true" applyProtection="true">
      <alignment horizontal="right" vertical="bottom" textRotation="0" wrapText="false" indent="0" shrinkToFit="false"/>
      <protection locked="true" hidden="false"/>
    </xf>
    <xf numFmtId="176" fontId="4" fillId="6" borderId="11" xfId="15" applyFont="true" applyBorder="true" applyAlignment="true" applyProtection="true">
      <alignment horizontal="right" vertical="bottom" textRotation="0" wrapText="false" indent="0" shrinkToFit="false"/>
      <protection locked="true" hidden="false"/>
    </xf>
    <xf numFmtId="176" fontId="4" fillId="6" borderId="17" xfId="15" applyFont="true" applyBorder="true" applyAlignment="true" applyProtection="true">
      <alignment horizontal="right" vertical="bottom" textRotation="0" wrapText="false" indent="0" shrinkToFit="false"/>
      <protection locked="true" hidden="false"/>
    </xf>
    <xf numFmtId="176" fontId="4" fillId="6" borderId="10" xfId="15" applyFont="true" applyBorder="true" applyAlignment="true" applyProtection="true">
      <alignment horizontal="right" vertical="bottom" textRotation="0" wrapText="false" indent="0" shrinkToFit="false"/>
      <protection locked="true" hidden="false"/>
    </xf>
    <xf numFmtId="176" fontId="4" fillId="0" borderId="17" xfId="15" applyFont="true" applyBorder="true" applyAlignment="true" applyProtection="true">
      <alignment horizontal="right" vertical="bottom" textRotation="0" wrapText="false" indent="0" shrinkToFit="false"/>
      <protection locked="true" hidden="false"/>
    </xf>
    <xf numFmtId="176" fontId="4" fillId="0" borderId="7" xfId="15" applyFont="true" applyBorder="true" applyAlignment="true" applyProtection="true">
      <alignment horizontal="right" vertical="bottom" textRotation="0" wrapText="false" indent="0" shrinkToFit="false"/>
      <protection locked="true" hidden="false"/>
    </xf>
    <xf numFmtId="164" fontId="25" fillId="0" borderId="9" xfId="0" applyFont="true" applyBorder="true" applyAlignment="true" applyProtection="false">
      <alignment horizontal="center" vertical="bottom" textRotation="0" wrapText="false" indent="0" shrinkToFit="false"/>
      <protection locked="true" hidden="false"/>
    </xf>
    <xf numFmtId="179" fontId="4" fillId="0" borderId="8" xfId="15" applyFont="true" applyBorder="true" applyAlignment="true" applyProtection="true">
      <alignment horizontal="right" vertical="bottom" textRotation="0" wrapText="false" indent="0" shrinkToFit="false"/>
      <protection locked="true" hidden="false"/>
    </xf>
    <xf numFmtId="179" fontId="4" fillId="0" borderId="10" xfId="15" applyFont="true" applyBorder="true" applyAlignment="true" applyProtection="true">
      <alignment horizontal="right" vertical="bottom" textRotation="0" wrapText="false" indent="0" shrinkToFit="false"/>
      <protection locked="true" hidden="false"/>
    </xf>
    <xf numFmtId="164" fontId="25" fillId="5" borderId="13" xfId="0" applyFont="true" applyBorder="true" applyAlignment="true" applyProtection="false">
      <alignment horizontal="left" vertical="bottom" textRotation="0" wrapText="false" indent="0" shrinkToFit="false"/>
      <protection locked="true" hidden="false"/>
    </xf>
    <xf numFmtId="164" fontId="4" fillId="5" borderId="4"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25" fillId="0" borderId="3" xfId="0" applyFont="true" applyBorder="true" applyAlignment="true" applyProtection="false">
      <alignment horizontal="center" vertical="bottom" textRotation="0" wrapText="false" indent="0" shrinkToFit="false"/>
      <protection locked="true" hidden="false"/>
    </xf>
    <xf numFmtId="164" fontId="4" fillId="5" borderId="7" xfId="0" applyFont="true" applyBorder="true" applyAlignment="true" applyProtection="false">
      <alignment horizontal="right" vertical="bottom" textRotation="0" wrapText="false" indent="0" shrinkToFit="false"/>
      <protection locked="true" hidden="false"/>
    </xf>
    <xf numFmtId="164" fontId="0" fillId="0" borderId="5" xfId="0" applyFont="false" applyBorder="true" applyAlignment="true" applyProtection="false">
      <alignment horizontal="right"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76" fontId="4" fillId="6" borderId="7" xfId="0" applyFont="true" applyBorder="true" applyAlignment="false" applyProtection="true">
      <alignment horizontal="general"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53" fillId="0" borderId="9" xfId="0" applyFont="true" applyBorder="true" applyAlignment="true" applyProtection="false">
      <alignment horizontal="center"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53" fillId="0" borderId="0" xfId="0" applyFont="true" applyBorder="true" applyAlignment="true" applyProtection="false">
      <alignment horizontal="center"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6" borderId="7" xfId="0" applyFont="true" applyBorder="true" applyAlignment="true" applyProtection="true">
      <alignment horizontal="general" vertical="top" textRotation="0" wrapText="false" indent="0" shrinkToFit="false"/>
      <protection locked="false" hidden="false"/>
    </xf>
    <xf numFmtId="164" fontId="0" fillId="0" borderId="13" xfId="0" applyFont="false" applyBorder="true" applyAlignment="true" applyProtection="false">
      <alignment horizontal="general" vertical="top" textRotation="0" wrapText="false" indent="0" shrinkToFit="false"/>
      <protection locked="true" hidden="false"/>
    </xf>
    <xf numFmtId="164" fontId="0" fillId="0" borderId="8" xfId="0" applyFont="false" applyBorder="true" applyAlignment="true" applyProtection="false">
      <alignment horizontal="general" vertical="top" textRotation="0" wrapText="false" indent="0" shrinkToFit="false"/>
      <protection locked="true" hidden="false"/>
    </xf>
    <xf numFmtId="164" fontId="0" fillId="0" borderId="10" xfId="0" applyFont="false" applyBorder="true" applyAlignment="true" applyProtection="false">
      <alignment horizontal="general" vertical="top" textRotation="0" wrapText="false" indent="0" shrinkToFit="false"/>
      <protection locked="true" hidden="false"/>
    </xf>
    <xf numFmtId="164" fontId="25" fillId="5" borderId="3" xfId="0" applyFont="true" applyBorder="true" applyAlignment="false" applyProtection="false">
      <alignment horizontal="general" vertical="bottom" textRotation="0" wrapText="false" indent="0" shrinkToFit="false"/>
      <protection locked="true" hidden="false"/>
    </xf>
    <xf numFmtId="164" fontId="24" fillId="5" borderId="4" xfId="0" applyFont="true" applyBorder="true" applyAlignment="false" applyProtection="false">
      <alignment horizontal="general" vertical="bottom" textRotation="0" wrapText="false" indent="0" shrinkToFit="false"/>
      <protection locked="true" hidden="false"/>
    </xf>
    <xf numFmtId="164" fontId="9" fillId="5" borderId="4" xfId="0" applyFont="true" applyBorder="true" applyAlignment="false" applyProtection="false">
      <alignment horizontal="general" vertical="bottom" textRotation="0" wrapText="false" indent="0" shrinkToFit="false"/>
      <protection locked="true" hidden="false"/>
    </xf>
    <xf numFmtId="164" fontId="9" fillId="5" borderId="5" xfId="0" applyFont="true" applyBorder="true" applyAlignment="false" applyProtection="false">
      <alignment horizontal="general" vertical="bottom" textRotation="0" wrapText="false" indent="0" shrinkToFit="false"/>
      <protection locked="true" hidden="false"/>
    </xf>
    <xf numFmtId="164" fontId="4" fillId="5" borderId="13" xfId="0" applyFont="true" applyBorder="true" applyAlignment="true" applyProtection="false">
      <alignment horizontal="left" vertical="bottom" textRotation="0" wrapText="false" indent="0" shrinkToFit="false"/>
      <protection locked="true" hidden="false"/>
    </xf>
    <xf numFmtId="172" fontId="25" fillId="5" borderId="7" xfId="0" applyFont="true" applyBorder="true" applyAlignment="true" applyProtection="true">
      <alignment horizontal="center" vertical="bottom" textRotation="0" wrapText="false" indent="0" shrinkToFit="false"/>
      <protection locked="true" hidden="false"/>
    </xf>
    <xf numFmtId="164" fontId="25" fillId="0" borderId="17" xfId="0" applyFont="true" applyBorder="true" applyAlignment="true" applyProtection="false">
      <alignment horizontal="center" vertical="bottom" textRotation="0" wrapText="false" indent="0" shrinkToFit="false"/>
      <protection locked="true" hidden="false"/>
    </xf>
    <xf numFmtId="177" fontId="4" fillId="4" borderId="11" xfId="0" applyFont="true" applyBorder="true" applyAlignment="true" applyProtection="true">
      <alignment horizontal="center" vertical="bottom" textRotation="0" wrapText="false" indent="0" shrinkToFit="false"/>
      <protection locked="false" hidden="false"/>
    </xf>
    <xf numFmtId="164" fontId="25" fillId="0" borderId="9" xfId="0" applyFont="true" applyBorder="true" applyAlignment="false" applyProtection="false">
      <alignment horizontal="general" vertical="bottom" textRotation="0" wrapText="false" indent="0" shrinkToFit="false"/>
      <protection locked="true" hidden="false"/>
    </xf>
    <xf numFmtId="177" fontId="4" fillId="0" borderId="7" xfId="0" applyFont="true" applyBorder="true" applyAlignment="true" applyProtection="false">
      <alignment horizontal="center" vertical="bottom" textRotation="0" wrapText="false" indent="0" shrinkToFit="false"/>
      <protection locked="true" hidden="false"/>
    </xf>
    <xf numFmtId="164" fontId="25" fillId="0" borderId="1" xfId="0" applyFont="true" applyBorder="true" applyAlignment="false" applyProtection="false">
      <alignment horizontal="general" vertical="bottom" textRotation="0" wrapText="false" indent="0" shrinkToFit="false"/>
      <protection locked="true" hidden="false"/>
    </xf>
    <xf numFmtId="171" fontId="4" fillId="0" borderId="0" xfId="0" applyFont="true" applyBorder="true" applyAlignment="false" applyProtection="false">
      <alignment horizontal="general" vertical="bottom" textRotation="0" wrapText="false" indent="0" shrinkToFit="false"/>
      <protection locked="true" hidden="false"/>
    </xf>
    <xf numFmtId="172" fontId="4" fillId="0" borderId="0" xfId="0" applyFont="true" applyBorder="true" applyAlignment="false" applyProtection="false">
      <alignment horizontal="general" vertical="bottom" textRotation="0" wrapText="false" indent="0" shrinkToFit="false"/>
      <protection locked="true" hidden="false"/>
    </xf>
    <xf numFmtId="172" fontId="4" fillId="0" borderId="2" xfId="0" applyFont="true" applyBorder="true" applyAlignment="false" applyProtection="false">
      <alignment horizontal="general" vertical="bottom" textRotation="0" wrapText="false" indent="0" shrinkToFit="false"/>
      <protection locked="true" hidden="false"/>
    </xf>
    <xf numFmtId="164" fontId="25" fillId="6" borderId="3" xfId="0" applyFont="true" applyBorder="true" applyAlignment="false" applyProtection="false">
      <alignment horizontal="general" vertical="bottom" textRotation="0" wrapText="false" indent="0" shrinkToFit="false"/>
      <protection locked="true" hidden="false"/>
    </xf>
    <xf numFmtId="164" fontId="25" fillId="6" borderId="13" xfId="0" applyFont="true" applyBorder="true" applyAlignment="false" applyProtection="false">
      <alignment horizontal="general" vertical="bottom" textRotation="0" wrapText="false" indent="0" shrinkToFit="false"/>
      <protection locked="true" hidden="false"/>
    </xf>
    <xf numFmtId="164" fontId="4" fillId="6" borderId="14" xfId="0" applyFont="true" applyBorder="true" applyAlignment="false" applyProtection="false">
      <alignment horizontal="general" vertical="bottom" textRotation="0" wrapText="false" indent="0" shrinkToFit="false"/>
      <protection locked="true" hidden="false"/>
    </xf>
    <xf numFmtId="164" fontId="4" fillId="6" borderId="15" xfId="0" applyFont="true" applyBorder="true" applyAlignment="false" applyProtection="false">
      <alignment horizontal="general" vertical="bottom" textRotation="0" wrapText="false" indent="0" shrinkToFit="false"/>
      <protection locked="true" hidden="false"/>
    </xf>
    <xf numFmtId="164" fontId="25" fillId="0" borderId="13" xfId="0" applyFont="true" applyBorder="true" applyAlignment="false" applyProtection="false">
      <alignment horizontal="general" vertical="bottom" textRotation="0" wrapText="false" indent="0" shrinkToFit="false"/>
      <protection locked="true" hidden="false"/>
    </xf>
    <xf numFmtId="164" fontId="25" fillId="0" borderId="14" xfId="0" applyFont="true" applyBorder="true" applyAlignment="false" applyProtection="false">
      <alignment horizontal="general" vertical="bottom" textRotation="0" wrapText="false" indent="0" shrinkToFit="false"/>
      <protection locked="true" hidden="false"/>
    </xf>
    <xf numFmtId="164" fontId="25" fillId="0" borderId="14" xfId="0" applyFont="true" applyBorder="true" applyAlignment="true" applyProtection="false">
      <alignment horizontal="center" vertical="bottom" textRotation="0" wrapText="false" indent="0" shrinkToFit="false"/>
      <protection locked="true" hidden="false"/>
    </xf>
    <xf numFmtId="164" fontId="25" fillId="0" borderId="14" xfId="0" applyFont="true" applyBorder="true" applyAlignment="true" applyProtection="false">
      <alignment horizontal="center" vertical="bottom" textRotation="0" wrapText="false" indent="0" shrinkToFit="false"/>
      <protection locked="true" hidden="false"/>
    </xf>
    <xf numFmtId="164" fontId="25" fillId="0" borderId="7" xfId="0" applyFont="true" applyBorder="true" applyAlignment="true" applyProtection="true">
      <alignment horizontal="center" vertical="bottom" textRotation="0" wrapText="false" indent="0" shrinkToFit="false"/>
      <protection locked="false" hidden="false"/>
    </xf>
    <xf numFmtId="164" fontId="4" fillId="0" borderId="0" xfId="0" applyFont="true" applyBorder="true" applyAlignment="true" applyProtection="false">
      <alignment horizontal="general" vertical="bottom" textRotation="0" wrapText="false" indent="0" shrinkToFit="false"/>
      <protection locked="true" hidden="false"/>
    </xf>
    <xf numFmtId="164" fontId="25" fillId="6" borderId="7" xfId="0" applyFont="true" applyBorder="true" applyAlignment="true" applyProtection="true">
      <alignment horizontal="center" vertical="bottom" textRotation="0" wrapText="false" indent="0" shrinkToFit="false"/>
      <protection locked="fals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5" fillId="6" borderId="18" xfId="0" applyFont="true" applyBorder="true" applyAlignment="true" applyProtection="false">
      <alignment horizontal="center" vertical="bottom" textRotation="0" wrapText="false" indent="0" shrinkToFit="false"/>
      <protection locked="true" hidden="false"/>
    </xf>
    <xf numFmtId="164" fontId="45" fillId="3" borderId="0" xfId="0" applyFont="true" applyBorder="false" applyAlignment="false" applyProtection="false">
      <alignment horizontal="general" vertical="bottom" textRotation="0" wrapText="false" indent="0" shrinkToFit="false"/>
      <protection locked="true" hidden="false"/>
    </xf>
    <xf numFmtId="164" fontId="45" fillId="6"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xf numFmtId="164" fontId="30" fillId="11" borderId="0" xfId="0" applyFont="true" applyBorder="fals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true">
      <alignment horizontal="general" vertical="bottom" textRotation="0" wrapText="false" indent="0" shrinkToFit="false"/>
      <protection locked="false" hidden="false"/>
    </xf>
    <xf numFmtId="164" fontId="70" fillId="10" borderId="13" xfId="0" applyFont="true" applyBorder="true" applyAlignment="false" applyProtection="false">
      <alignment horizontal="general" vertical="bottom" textRotation="0" wrapText="false" indent="0" shrinkToFit="false"/>
      <protection locked="true" hidden="false"/>
    </xf>
    <xf numFmtId="164" fontId="30" fillId="10" borderId="14" xfId="0" applyFont="true" applyBorder="true" applyAlignment="false" applyProtection="false">
      <alignment horizontal="general" vertical="bottom" textRotation="0" wrapText="false" indent="0" shrinkToFit="false"/>
      <protection locked="true" hidden="false"/>
    </xf>
    <xf numFmtId="164" fontId="30" fillId="10" borderId="15" xfId="0" applyFont="true" applyBorder="true" applyAlignment="false" applyProtection="false">
      <alignment horizontal="general"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4"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4" fontId="33" fillId="0" borderId="2"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true" applyAlignment="false" applyProtection="false">
      <alignment horizontal="general" vertical="bottom" textRotation="0" wrapText="false" indent="0" shrinkToFit="false"/>
      <protection locked="true" hidden="false"/>
    </xf>
    <xf numFmtId="164" fontId="33" fillId="0" borderId="0" xfId="0" applyFont="true" applyBorder="true" applyAlignment="true" applyProtection="false">
      <alignment horizontal="right" vertical="bottom" textRotation="0" wrapText="false" indent="0" shrinkToFit="false"/>
      <protection locked="true" hidden="false"/>
    </xf>
    <xf numFmtId="164" fontId="4" fillId="0" borderId="0" xfId="0" applyFont="true" applyBorder="true" applyAlignment="true" applyProtection="false">
      <alignment horizontal="right" vertical="bottom" textRotation="0" wrapText="true" indent="0" shrinkToFit="false"/>
      <protection locked="true" hidden="false"/>
    </xf>
    <xf numFmtId="164" fontId="4" fillId="0" borderId="0" xfId="0" applyFont="true" applyBorder="true" applyAlignment="true" applyProtection="false">
      <alignment horizontal="left" vertical="bottom" textRotation="0" wrapText="true" indent="0" shrinkToFit="false"/>
      <protection locked="true" hidden="false"/>
    </xf>
    <xf numFmtId="164" fontId="33" fillId="0" borderId="0" xfId="0" applyFont="true" applyBorder="true" applyAlignment="true" applyProtection="false">
      <alignment horizontal="left"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right" vertical="bottom" textRotation="0" wrapText="false" indent="0" shrinkToFit="false"/>
      <protection locked="true" hidden="false"/>
    </xf>
    <xf numFmtId="164" fontId="4" fillId="0" borderId="9" xfId="0" applyFont="true" applyBorder="true" applyAlignment="false" applyProtection="false">
      <alignment horizontal="general" vertical="bottom" textRotation="0" wrapText="false" indent="0" shrinkToFit="false"/>
      <protection locked="true" hidden="false"/>
    </xf>
    <xf numFmtId="164" fontId="34" fillId="0" borderId="8"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34" fillId="0" borderId="10" xfId="0" applyFont="true" applyBorder="true" applyAlignment="false" applyProtection="false">
      <alignment horizontal="general" vertical="bottom" textRotation="0" wrapText="false" indent="0" shrinkToFit="false"/>
      <protection locked="true" hidden="false"/>
    </xf>
    <xf numFmtId="164" fontId="25" fillId="5" borderId="13" xfId="0" applyFont="true" applyBorder="true" applyAlignment="false" applyProtection="false">
      <alignment horizontal="general" vertical="bottom" textRotation="0" wrapText="false" indent="0" shrinkToFit="false"/>
      <protection locked="true" hidden="false"/>
    </xf>
    <xf numFmtId="164" fontId="4" fillId="5" borderId="14" xfId="0" applyFont="true" applyBorder="true" applyAlignment="false" applyProtection="false">
      <alignment horizontal="general" vertical="bottom" textRotation="0" wrapText="false" indent="0" shrinkToFit="false"/>
      <protection locked="true" hidden="false"/>
    </xf>
    <xf numFmtId="164" fontId="4" fillId="5" borderId="4" xfId="0" applyFont="true" applyBorder="true" applyAlignment="false" applyProtection="false">
      <alignment horizontal="general" vertical="bottom" textRotation="0" wrapText="false" indent="0" shrinkToFit="false"/>
      <protection locked="true" hidden="false"/>
    </xf>
    <xf numFmtId="164" fontId="4" fillId="5" borderId="15"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3" xfId="0" applyFont="true" applyBorder="true" applyAlignment="true" applyProtection="false">
      <alignment horizontal="center" vertical="bottom" textRotation="0" wrapText="false" indent="0" shrinkToFit="false"/>
      <protection locked="true" hidden="false"/>
    </xf>
    <xf numFmtId="164" fontId="4" fillId="0" borderId="7" xfId="0" applyFont="true" applyBorder="true" applyAlignment="true" applyProtection="false">
      <alignment horizontal="center" vertical="bottom" textRotation="0" wrapText="false" indent="0" shrinkToFit="false"/>
      <protection locked="true" hidden="false"/>
    </xf>
    <xf numFmtId="164" fontId="0" fillId="0" borderId="7" xfId="0" applyFont="true" applyBorder="true" applyAlignment="true" applyProtection="false">
      <alignment horizontal="center" vertical="bottom" textRotation="0" wrapText="false" indent="0" shrinkToFit="false"/>
      <protection locked="true" hidden="false"/>
    </xf>
    <xf numFmtId="164" fontId="4" fillId="0" borderId="5" xfId="0" applyFont="true" applyBorder="true" applyAlignment="true" applyProtection="false">
      <alignment horizontal="center" vertical="bottom" textRotation="0" wrapText="false" indent="0" shrinkToFit="false"/>
      <protection locked="true" hidden="false"/>
    </xf>
    <xf numFmtId="164" fontId="4" fillId="0" borderId="15" xfId="0" applyFont="true" applyBorder="true" applyAlignment="true" applyProtection="false">
      <alignment horizontal="center" vertical="bottom" textRotation="0" wrapText="false" indent="0" shrinkToFit="false"/>
      <protection locked="true" hidden="false"/>
    </xf>
    <xf numFmtId="164" fontId="4" fillId="6" borderId="6" xfId="0" applyFont="true" applyBorder="true" applyAlignment="true" applyProtection="true">
      <alignment horizontal="general" vertical="bottom" textRotation="0" wrapText="false" indent="0" shrinkToFit="false"/>
      <protection locked="false" hidden="false"/>
    </xf>
    <xf numFmtId="164" fontId="4" fillId="6" borderId="11" xfId="0" applyFont="true" applyBorder="true" applyAlignment="true" applyProtection="true">
      <alignment horizontal="center" vertical="bottom" textRotation="0" wrapText="false" indent="0" shrinkToFit="false"/>
      <protection locked="false" hidden="false"/>
    </xf>
    <xf numFmtId="164" fontId="4" fillId="6" borderId="1" xfId="0" applyFont="true" applyBorder="true" applyAlignment="true" applyProtection="true">
      <alignment horizontal="center" vertical="bottom" textRotation="0" wrapText="false" indent="0" shrinkToFit="false"/>
      <protection locked="false" hidden="false"/>
    </xf>
    <xf numFmtId="164" fontId="4" fillId="6" borderId="6" xfId="0" applyFont="true" applyBorder="true" applyAlignment="true" applyProtection="true">
      <alignment horizontal="center" vertical="bottom" textRotation="0" wrapText="false" indent="0" shrinkToFit="false"/>
      <protection locked="false" hidden="false"/>
    </xf>
    <xf numFmtId="164" fontId="4" fillId="6" borderId="5" xfId="0" applyFont="true" applyBorder="true" applyAlignment="true" applyProtection="true">
      <alignment horizontal="general" vertical="bottom" textRotation="0" wrapText="false" indent="0" shrinkToFit="false"/>
      <protection locked="false" hidden="false"/>
    </xf>
    <xf numFmtId="164" fontId="4" fillId="6" borderId="11" xfId="0" applyFont="true" applyBorder="true" applyAlignment="true" applyProtection="true">
      <alignment horizontal="general" vertical="bottom" textRotation="0" wrapText="false" indent="0" shrinkToFit="false"/>
      <protection locked="false" hidden="false"/>
    </xf>
    <xf numFmtId="164" fontId="4" fillId="6" borderId="2" xfId="0" applyFont="true" applyBorder="true" applyAlignment="true" applyProtection="true">
      <alignment horizontal="general" vertical="bottom" textRotation="0" wrapText="false" indent="0" shrinkToFit="false"/>
      <protection locked="false" hidden="false"/>
    </xf>
    <xf numFmtId="164" fontId="4" fillId="6" borderId="17" xfId="0" applyFont="true" applyBorder="true" applyAlignment="true" applyProtection="true">
      <alignment horizontal="left" vertical="bottom" textRotation="0" wrapText="false" indent="0" shrinkToFit="false"/>
      <protection locked="false" hidden="false"/>
    </xf>
    <xf numFmtId="164" fontId="4" fillId="6" borderId="17" xfId="0" applyFont="true" applyBorder="true" applyAlignment="true" applyProtection="true">
      <alignment horizontal="general" vertical="bottom" textRotation="0" wrapText="false" indent="0" shrinkToFit="false"/>
      <protection locked="false" hidden="false"/>
    </xf>
    <xf numFmtId="164" fontId="4" fillId="6" borderId="17" xfId="0" applyFont="true" applyBorder="true" applyAlignment="true" applyProtection="true">
      <alignment horizontal="center" vertical="bottom" textRotation="0" wrapText="false" indent="0" shrinkToFit="false"/>
      <protection locked="false" hidden="false"/>
    </xf>
    <xf numFmtId="164" fontId="4" fillId="6" borderId="9" xfId="0" applyFont="true" applyBorder="true" applyAlignment="true" applyProtection="true">
      <alignment horizontal="center" vertical="bottom" textRotation="0" wrapText="false" indent="0" shrinkToFit="false"/>
      <protection locked="false" hidden="false"/>
    </xf>
    <xf numFmtId="164" fontId="4" fillId="6" borderId="10" xfId="0" applyFont="true" applyBorder="true" applyAlignment="true" applyProtection="true">
      <alignment horizontal="general" vertical="bottom" textRotation="0" wrapText="false" indent="0" shrinkToFit="false"/>
      <protection locked="false" hidden="false"/>
    </xf>
    <xf numFmtId="164" fontId="25" fillId="5" borderId="14" xfId="0" applyFont="true" applyBorder="true" applyAlignment="false" applyProtection="false">
      <alignment horizontal="general" vertical="bottom" textRotation="0" wrapText="false" indent="0" shrinkToFit="false"/>
      <protection locked="true" hidden="false"/>
    </xf>
    <xf numFmtId="164" fontId="25" fillId="5" borderId="15" xfId="0" applyFont="true" applyBorder="true" applyAlignment="false" applyProtection="false">
      <alignment horizontal="general" vertical="bottom" textRotation="0" wrapText="false" indent="0" shrinkToFit="false"/>
      <protection locked="true" hidden="false"/>
    </xf>
    <xf numFmtId="164" fontId="4" fillId="6" borderId="3" xfId="0" applyFont="true" applyBorder="true" applyAlignment="false" applyProtection="true">
      <alignment horizontal="general" vertical="bottom" textRotation="0" wrapText="false" indent="0" shrinkToFit="false"/>
      <protection locked="false" hidden="false"/>
    </xf>
    <xf numFmtId="164" fontId="4" fillId="6" borderId="4" xfId="0" applyFont="true" applyBorder="true" applyAlignment="false" applyProtection="true">
      <alignment horizontal="general" vertical="bottom" textRotation="0" wrapText="false" indent="0" shrinkToFit="false"/>
      <protection locked="false" hidden="false"/>
    </xf>
    <xf numFmtId="164" fontId="4" fillId="6" borderId="5" xfId="0" applyFont="true" applyBorder="true" applyAlignment="false" applyProtection="true">
      <alignment horizontal="general" vertical="bottom" textRotation="0" wrapText="false" indent="0" shrinkToFit="false"/>
      <protection locked="false" hidden="false"/>
    </xf>
    <xf numFmtId="164" fontId="4" fillId="6" borderId="1" xfId="0" applyFont="true" applyBorder="true" applyAlignment="false" applyProtection="true">
      <alignment horizontal="general" vertical="bottom" textRotation="0" wrapText="false" indent="0" shrinkToFit="false"/>
      <protection locked="false" hidden="false"/>
    </xf>
    <xf numFmtId="164" fontId="4" fillId="6" borderId="0" xfId="0" applyFont="true" applyBorder="true" applyAlignment="false" applyProtection="true">
      <alignment horizontal="general" vertical="bottom" textRotation="0" wrapText="false" indent="0" shrinkToFit="false"/>
      <protection locked="false" hidden="false"/>
    </xf>
    <xf numFmtId="164" fontId="4" fillId="6" borderId="2" xfId="0" applyFont="true" applyBorder="true" applyAlignment="false" applyProtection="true">
      <alignment horizontal="general" vertical="bottom" textRotation="0" wrapText="false" indent="0" shrinkToFit="false"/>
      <protection locked="false" hidden="false"/>
    </xf>
    <xf numFmtId="164" fontId="4" fillId="6" borderId="9" xfId="0" applyFont="true" applyBorder="true" applyAlignment="false" applyProtection="true">
      <alignment horizontal="general" vertical="bottom" textRotation="0" wrapText="false" indent="0" shrinkToFit="false"/>
      <protection locked="false" hidden="false"/>
    </xf>
    <xf numFmtId="164" fontId="4" fillId="6" borderId="8" xfId="0" applyFont="true" applyBorder="true" applyAlignment="false" applyProtection="true">
      <alignment horizontal="general" vertical="bottom" textRotation="0" wrapText="false" indent="0" shrinkToFit="false"/>
      <protection locked="false" hidden="false"/>
    </xf>
    <xf numFmtId="164" fontId="4" fillId="6" borderId="10" xfId="0" applyFont="true" applyBorder="true" applyAlignment="false" applyProtection="true">
      <alignment horizontal="general" vertical="bottom" textRotation="0" wrapText="false" indent="0" shrinkToFit="false"/>
      <protection locked="false" hidden="false"/>
    </xf>
    <xf numFmtId="164" fontId="4" fillId="0" borderId="14" xfId="0" applyFont="true" applyBorder="true" applyAlignment="false" applyProtection="true">
      <alignment horizontal="general" vertical="bottom" textRotation="0" wrapText="false" indent="0" shrinkToFit="false"/>
      <protection locked="true" hidden="false"/>
    </xf>
    <xf numFmtId="164" fontId="4" fillId="0" borderId="6" xfId="0" applyFont="true" applyBorder="true" applyAlignment="true" applyProtection="false">
      <alignment horizontal="center" vertical="bottom" textRotation="0" wrapText="false" indent="0" shrinkToFit="false"/>
      <protection locked="tru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64" fontId="4" fillId="6" borderId="0" xfId="0" applyFont="true" applyBorder="false" applyAlignment="true" applyProtection="false">
      <alignment horizontal="center" vertical="bottom" textRotation="0" wrapText="false" indent="0" shrinkToFit="false"/>
      <protection locked="true" hidden="false"/>
    </xf>
    <xf numFmtId="164" fontId="4" fillId="6" borderId="0" xfId="0" applyFont="true" applyBorder="false" applyAlignment="true" applyProtection="false">
      <alignment horizontal="center" vertical="bottom" textRotation="0" wrapText="false" indent="0" shrinkToFit="false"/>
      <protection locked="true" hidden="false"/>
    </xf>
    <xf numFmtId="164" fontId="25" fillId="6" borderId="3" xfId="0" applyFont="true" applyBorder="true" applyAlignment="false" applyProtection="false">
      <alignment horizontal="general" vertical="bottom" textRotation="0" wrapText="false" indent="0" shrinkToFit="false"/>
      <protection locked="true" hidden="false"/>
    </xf>
    <xf numFmtId="164" fontId="25" fillId="6" borderId="4" xfId="0" applyFont="true" applyBorder="true" applyAlignment="false" applyProtection="false">
      <alignment horizontal="general" vertical="bottom" textRotation="0" wrapText="false" indent="0" shrinkToFit="false"/>
      <protection locked="true" hidden="false"/>
    </xf>
    <xf numFmtId="164" fontId="25" fillId="6" borderId="5" xfId="0" applyFont="true" applyBorder="true" applyAlignment="false" applyProtection="false">
      <alignment horizontal="general" vertical="bottom" textRotation="0" wrapText="false" indent="0" shrinkToFit="false"/>
      <protection locked="true" hidden="false"/>
    </xf>
    <xf numFmtId="164" fontId="25" fillId="6" borderId="1" xfId="0" applyFont="true" applyBorder="true" applyAlignment="false" applyProtection="false">
      <alignment horizontal="general" vertical="bottom" textRotation="0" wrapText="false" indent="0" shrinkToFit="false"/>
      <protection locked="true" hidden="false"/>
    </xf>
    <xf numFmtId="164" fontId="25" fillId="6" borderId="0" xfId="0" applyFont="true" applyBorder="true" applyAlignment="false" applyProtection="false">
      <alignment horizontal="general" vertical="bottom" textRotation="0" wrapText="false" indent="0" shrinkToFit="false"/>
      <protection locked="true" hidden="false"/>
    </xf>
    <xf numFmtId="164" fontId="25" fillId="6" borderId="2" xfId="0" applyFont="true" applyBorder="true" applyAlignment="false" applyProtection="false">
      <alignment horizontal="general" vertical="bottom" textRotation="0" wrapText="false" indent="0" shrinkToFit="false"/>
      <protection locked="true" hidden="false"/>
    </xf>
    <xf numFmtId="164" fontId="4" fillId="6" borderId="11" xfId="0" applyFont="true" applyBorder="true" applyAlignment="false" applyProtection="true">
      <alignment horizontal="general" vertical="bottom" textRotation="0" wrapText="false" indent="0" shrinkToFit="false"/>
      <protection locked="false" hidden="false"/>
    </xf>
    <xf numFmtId="164" fontId="4" fillId="0" borderId="9" xfId="0" applyFont="true" applyBorder="true" applyAlignment="false" applyProtection="true">
      <alignment horizontal="general" vertical="bottom" textRotation="0" wrapText="false" indent="0" shrinkToFit="false"/>
      <protection locked="false" hidden="false"/>
    </xf>
    <xf numFmtId="164" fontId="4" fillId="0" borderId="10" xfId="0" applyFont="true" applyBorder="true" applyAlignment="false" applyProtection="true">
      <alignment horizontal="general" vertical="bottom" textRotation="0" wrapText="false" indent="0" shrinkToFit="false"/>
      <protection locked="fals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right" vertical="bottom" textRotation="0" wrapText="false" indent="0" shrinkToFit="false"/>
      <protection locked="true" hidden="false"/>
    </xf>
    <xf numFmtId="164" fontId="4" fillId="5" borderId="7" xfId="0" applyFont="true" applyBorder="true" applyAlignment="false" applyProtection="true">
      <alignment horizontal="general" vertical="bottom" textRotation="0" wrapText="false" indent="0" shrinkToFit="false"/>
      <protection locked="false" hidden="false"/>
    </xf>
    <xf numFmtId="164" fontId="25" fillId="0" borderId="1" xfId="0" applyFont="true" applyBorder="true" applyAlignment="false" applyProtection="false">
      <alignment horizontal="general" vertical="bottom" textRotation="0" wrapText="false" indent="0" shrinkToFit="false"/>
      <protection locked="true" hidden="false"/>
    </xf>
    <xf numFmtId="164" fontId="25" fillId="0" borderId="9" xfId="0" applyFont="true" applyBorder="true" applyAlignment="false" applyProtection="false">
      <alignment horizontal="general" vertical="bottom" textRotation="0" wrapText="false" indent="0" shrinkToFit="false"/>
      <protection locked="true" hidden="false"/>
    </xf>
    <xf numFmtId="164" fontId="4" fillId="0" borderId="10" xfId="0" applyFont="true" applyBorder="true" applyAlignment="true" applyProtection="false">
      <alignment horizontal="right"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fals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right" vertical="bottom" textRotation="0" wrapText="false" indent="0" shrinkToFit="false"/>
      <protection locked="true" hidden="false"/>
    </xf>
    <xf numFmtId="164" fontId="4" fillId="0" borderId="5" xfId="0" applyFont="true" applyBorder="true" applyAlignment="true" applyProtection="false">
      <alignment horizontal="right" vertical="bottom" textRotation="0" wrapText="false" indent="0" shrinkToFit="false"/>
      <protection locked="true" hidden="false"/>
    </xf>
    <xf numFmtId="176" fontId="4" fillId="0" borderId="0" xfId="0" applyFont="true" applyBorder="true" applyAlignment="false" applyProtection="true">
      <alignment horizontal="general" vertical="bottom" textRotation="0" wrapText="false" indent="0" shrinkToFit="false"/>
      <protection locked="false" hidden="false"/>
    </xf>
    <xf numFmtId="170" fontId="4" fillId="0" borderId="2" xfId="0" applyFont="true" applyBorder="true" applyAlignment="true" applyProtection="false">
      <alignment horizontal="center" vertical="bottom" textRotation="0" wrapText="false" indent="0" shrinkToFit="false"/>
      <protection locked="true" hidden="false"/>
    </xf>
    <xf numFmtId="176" fontId="4" fillId="0" borderId="8" xfId="0" applyFont="true" applyBorder="true" applyAlignment="false" applyProtection="true">
      <alignment horizontal="general" vertical="bottom" textRotation="0" wrapText="false" indent="0" shrinkToFit="false"/>
      <protection locked="false" hidden="false"/>
    </xf>
    <xf numFmtId="170" fontId="4" fillId="0" borderId="15"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false">
      <alignment horizontal="right"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38" fillId="3" borderId="4" xfId="0" applyFont="true" applyBorder="true" applyAlignment="false" applyProtection="false">
      <alignment horizontal="general" vertical="bottom" textRotation="0" wrapText="false" indent="0" shrinkToFit="false"/>
      <protection locked="true" hidden="false"/>
    </xf>
    <xf numFmtId="164" fontId="38" fillId="8" borderId="4" xfId="0" applyFont="true" applyBorder="true" applyAlignment="false" applyProtection="false">
      <alignment horizontal="general" vertical="bottom" textRotation="0" wrapText="false" indent="0" shrinkToFit="false"/>
      <protection locked="true" hidden="false"/>
    </xf>
    <xf numFmtId="164" fontId="38" fillId="0" borderId="4" xfId="0" applyFont="true" applyBorder="true" applyAlignment="false" applyProtection="false">
      <alignment horizontal="general" vertical="bottom" textRotation="0" wrapText="false" indent="0" shrinkToFit="false"/>
      <protection locked="true" hidden="false"/>
    </xf>
    <xf numFmtId="164" fontId="33" fillId="0" borderId="19" xfId="0" applyFont="true" applyBorder="true" applyAlignment="false" applyProtection="false">
      <alignment horizontal="general" vertical="bottom" textRotation="0" wrapText="false" indent="0" shrinkToFit="false"/>
      <protection locked="true" hidden="false"/>
    </xf>
    <xf numFmtId="164" fontId="38" fillId="3" borderId="0" xfId="0" applyFont="true" applyBorder="true" applyAlignment="false" applyProtection="false">
      <alignment horizontal="general" vertical="bottom" textRotation="0" wrapText="false" indent="0" shrinkToFit="false"/>
      <protection locked="true" hidden="false"/>
    </xf>
    <xf numFmtId="164" fontId="38" fillId="8" borderId="0" xfId="0" applyFont="true" applyBorder="true" applyAlignment="false" applyProtection="false">
      <alignment horizontal="general" vertical="bottom" textRotation="0" wrapText="false" indent="0" shrinkToFit="false"/>
      <protection locked="true" hidden="false"/>
    </xf>
    <xf numFmtId="164" fontId="4" fillId="0" borderId="19" xfId="0" applyFont="true" applyBorder="true" applyAlignment="true" applyProtection="false">
      <alignment horizontal="right" vertical="bottom" textRotation="0" wrapText="false" indent="0" shrinkToFit="false"/>
      <protection locked="true" hidden="false"/>
    </xf>
    <xf numFmtId="164" fontId="34" fillId="0" borderId="20" xfId="0" applyFont="true" applyBorder="true" applyAlignment="false" applyProtection="false">
      <alignment horizontal="general" vertical="bottom" textRotation="0" wrapText="false" indent="0" shrinkToFit="false"/>
      <protection locked="true" hidden="false"/>
    </xf>
    <xf numFmtId="164" fontId="25" fillId="5" borderId="21"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true" applyProtection="false">
      <alignment horizontal="right" vertical="bottom" textRotation="0" wrapText="false" indent="0" shrinkToFit="false"/>
      <protection locked="true" hidden="false"/>
    </xf>
    <xf numFmtId="176" fontId="4" fillId="6" borderId="0" xfId="0" applyFont="true" applyBorder="true" applyAlignment="false" applyProtection="true">
      <alignment horizontal="general" vertical="bottom" textRotation="0" wrapText="false" indent="0" shrinkToFit="false"/>
      <protection locked="false" hidden="false"/>
    </xf>
    <xf numFmtId="164" fontId="4" fillId="0" borderId="0" xfId="0" applyFont="true" applyBorder="true" applyAlignment="true" applyProtection="false">
      <alignment horizontal="right"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6" borderId="22" xfId="0" applyFont="true" applyBorder="true" applyAlignment="false" applyProtection="true">
      <alignment horizontal="general" vertical="bottom" textRotation="0" wrapText="false" indent="0" shrinkToFit="false"/>
      <protection locked="false" hidden="false"/>
    </xf>
    <xf numFmtId="164" fontId="4" fillId="6" borderId="19" xfId="0" applyFont="true" applyBorder="true" applyAlignment="false" applyProtection="true">
      <alignment horizontal="general" vertical="bottom" textRotation="0" wrapText="false" indent="0" shrinkToFit="false"/>
      <protection locked="false" hidden="false"/>
    </xf>
    <xf numFmtId="164" fontId="4" fillId="6" borderId="20" xfId="0" applyFont="true" applyBorder="true" applyAlignment="false" applyProtection="true">
      <alignment horizontal="general" vertical="bottom" textRotation="0" wrapText="false" indent="0" shrinkToFit="false"/>
      <protection locked="false" hidden="false"/>
    </xf>
    <xf numFmtId="164" fontId="4" fillId="5" borderId="21" xfId="0" applyFont="true" applyBorder="true" applyAlignment="false" applyProtection="false">
      <alignment horizontal="general" vertical="bottom" textRotation="0" wrapText="false" indent="0" shrinkToFit="false"/>
      <protection locked="true" hidden="false"/>
    </xf>
    <xf numFmtId="164" fontId="25" fillId="0" borderId="14" xfId="0" applyFont="true" applyBorder="true" applyAlignment="false" applyProtection="false">
      <alignment horizontal="general" vertical="bottom" textRotation="0" wrapText="false" indent="0" shrinkToFit="false"/>
      <protection locked="true" hidden="false"/>
    </xf>
    <xf numFmtId="164" fontId="25" fillId="5" borderId="4" xfId="0" applyFont="true" applyBorder="true" applyAlignment="false" applyProtection="false">
      <alignment horizontal="general" vertical="bottom" textRotation="0" wrapText="false" indent="0" shrinkToFit="false"/>
      <protection locked="true" hidden="false"/>
    </xf>
    <xf numFmtId="164" fontId="25" fillId="5" borderId="22" xfId="0" applyFont="true" applyBorder="true" applyAlignment="false" applyProtection="false">
      <alignment horizontal="general" vertical="bottom" textRotation="0" wrapText="false" indent="0" shrinkToFit="false"/>
      <protection locked="true" hidden="false"/>
    </xf>
    <xf numFmtId="164" fontId="4" fillId="4" borderId="7" xfId="0" applyFont="true" applyBorder="true" applyAlignment="false" applyProtection="true">
      <alignment horizontal="general" vertical="bottom" textRotation="0" wrapText="false" indent="0" shrinkToFit="false"/>
      <protection locked="false" hidden="false"/>
    </xf>
    <xf numFmtId="170" fontId="4" fillId="4" borderId="7" xfId="0" applyFont="true" applyBorder="true" applyAlignment="false" applyProtection="true">
      <alignment horizontal="general" vertical="bottom" textRotation="0" wrapText="false" indent="0" shrinkToFit="false"/>
      <protection locked="false" hidden="false"/>
    </xf>
    <xf numFmtId="177" fontId="4" fillId="5" borderId="7" xfId="19" applyFont="true" applyBorder="true" applyAlignment="true" applyProtection="true">
      <alignment horizontal="general" vertical="bottom" textRotation="0" wrapText="false" indent="0" shrinkToFit="false"/>
      <protection locked="false" hidden="false"/>
    </xf>
    <xf numFmtId="170" fontId="4" fillId="4" borderId="4" xfId="0" applyFont="true" applyBorder="true" applyAlignment="false" applyProtection="true">
      <alignment horizontal="general" vertical="bottom" textRotation="0" wrapText="false" indent="0" shrinkToFit="false"/>
      <protection locked="false" hidden="false"/>
    </xf>
    <xf numFmtId="170" fontId="4" fillId="4" borderId="8" xfId="0" applyFont="true" applyBorder="true" applyAlignment="false" applyProtection="true">
      <alignment horizontal="general" vertical="bottom" textRotation="0" wrapText="false" indent="0" shrinkToFit="false"/>
      <protection locked="false" hidden="false"/>
    </xf>
    <xf numFmtId="170" fontId="4" fillId="0" borderId="0"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true">
      <alignment horizontal="general" vertical="bottom" textRotation="0" wrapText="false" indent="0" shrinkToFit="false"/>
      <protection locked="true" hidden="false"/>
    </xf>
    <xf numFmtId="177" fontId="4" fillId="5" borderId="6" xfId="19" applyFont="true" applyBorder="true" applyAlignment="true" applyProtection="true">
      <alignment horizontal="general" vertical="bottom" textRotation="0" wrapText="false" indent="0" shrinkToFit="false"/>
      <protection locked="true" hidden="false"/>
    </xf>
    <xf numFmtId="164" fontId="4" fillId="0" borderId="5" xfId="0" applyFont="true" applyBorder="true" applyAlignment="false" applyProtection="true">
      <alignment horizontal="general" vertical="bottom" textRotation="0" wrapText="false" indent="0" shrinkToFit="false"/>
      <protection locked="true" hidden="false"/>
    </xf>
    <xf numFmtId="164" fontId="4" fillId="3" borderId="3" xfId="0" applyFont="true" applyBorder="true" applyAlignment="false" applyProtection="true">
      <alignment horizontal="general" vertical="bottom" textRotation="0" wrapText="false" indent="0" shrinkToFit="false"/>
      <protection locked="true" hidden="false"/>
    </xf>
    <xf numFmtId="164" fontId="5" fillId="2" borderId="4"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center" vertical="top" textRotation="0" wrapText="false" indent="0" shrinkToFit="false"/>
      <protection locked="true" hidden="false"/>
    </xf>
    <xf numFmtId="176" fontId="4" fillId="6" borderId="7" xfId="22" applyFont="true" applyBorder="true" applyAlignment="true" applyProtection="true">
      <alignment horizontal="center" vertical="top" textRotation="0" wrapText="false" indent="0" shrinkToFit="false"/>
      <protection locked="true" hidden="false"/>
    </xf>
    <xf numFmtId="176" fontId="4" fillId="6" borderId="13" xfId="22" applyFont="true" applyBorder="true" applyAlignment="true" applyProtection="true">
      <alignment horizontal="center" vertical="top" textRotation="0" wrapText="false" indent="0" shrinkToFit="false"/>
      <protection locked="true" hidden="false"/>
    </xf>
    <xf numFmtId="176" fontId="25" fillId="3" borderId="1" xfId="22" applyFont="true" applyBorder="true" applyAlignment="true" applyProtection="true">
      <alignment horizontal="center" vertical="top" textRotation="0" wrapText="false" indent="0" shrinkToFit="false"/>
      <protection locked="true" hidden="false"/>
    </xf>
    <xf numFmtId="164" fontId="4" fillId="3" borderId="7" xfId="0" applyFont="true" applyBorder="true" applyAlignment="true" applyProtection="true">
      <alignment horizontal="center" vertical="center" textRotation="0" wrapText="false" indent="0" shrinkToFit="false"/>
      <protection locked="true" hidden="false"/>
    </xf>
    <xf numFmtId="164" fontId="4" fillId="3" borderId="15" xfId="0" applyFont="true" applyBorder="true" applyAlignment="true" applyProtection="true">
      <alignment horizontal="center" vertical="top" textRotation="0" wrapText="false" indent="0" shrinkToFit="false"/>
      <protection locked="true" hidden="false"/>
    </xf>
    <xf numFmtId="164" fontId="4" fillId="0" borderId="7" xfId="0" applyFont="true" applyBorder="true" applyAlignment="true" applyProtection="true">
      <alignment horizontal="center" vertical="bottom" textRotation="0" wrapText="false" indent="0" shrinkToFit="false"/>
      <protection locked="true" hidden="false"/>
    </xf>
    <xf numFmtId="164" fontId="30" fillId="3" borderId="0" xfId="0" applyFont="true" applyBorder="true" applyAlignment="true" applyProtection="true">
      <alignment horizontal="left" vertical="top" textRotation="0" wrapText="false" indent="0" shrinkToFit="false"/>
      <protection locked="true" hidden="false"/>
    </xf>
    <xf numFmtId="176" fontId="4" fillId="6" borderId="6" xfId="22" applyFont="true" applyBorder="true" applyAlignment="true" applyProtection="true">
      <alignment horizontal="center" vertical="top" textRotation="0" wrapText="false" indent="0" shrinkToFit="false"/>
      <protection locked="true" hidden="false"/>
    </xf>
    <xf numFmtId="176" fontId="4" fillId="6" borderId="3" xfId="22" applyFont="true" applyBorder="true" applyAlignment="true" applyProtection="true">
      <alignment horizontal="center" vertical="top" textRotation="0" wrapText="false" indent="0" shrinkToFit="false"/>
      <protection locked="true" hidden="false"/>
    </xf>
    <xf numFmtId="164" fontId="4" fillId="5" borderId="13" xfId="0" applyFont="true" applyBorder="true" applyAlignment="true" applyProtection="true">
      <alignment horizontal="left" vertical="top" textRotation="0" wrapText="false" indent="0" shrinkToFit="false"/>
      <protection locked="true" hidden="false"/>
    </xf>
    <xf numFmtId="164" fontId="4" fillId="5" borderId="15" xfId="0" applyFont="true" applyBorder="true" applyAlignment="true" applyProtection="true">
      <alignment horizontal="left" vertical="top" textRotation="0" wrapText="false" indent="0" shrinkToFit="false"/>
      <protection locked="true" hidden="false"/>
    </xf>
    <xf numFmtId="176" fontId="25" fillId="5" borderId="13" xfId="22" applyFont="true" applyBorder="true" applyAlignment="true" applyProtection="true">
      <alignment horizontal="center" vertical="top" textRotation="0" wrapText="false" indent="0" shrinkToFit="false"/>
      <protection locked="true" hidden="false"/>
    </xf>
    <xf numFmtId="176" fontId="25" fillId="5" borderId="14" xfId="22" applyFont="true" applyBorder="true" applyAlignment="true" applyProtection="true">
      <alignment horizontal="center" vertical="top" textRotation="0" wrapText="false" indent="0" shrinkToFit="false"/>
      <protection locked="true" hidden="false"/>
    </xf>
    <xf numFmtId="176" fontId="25" fillId="5" borderId="15" xfId="22" applyFont="true" applyBorder="true" applyAlignment="true" applyProtection="true">
      <alignment horizontal="center" vertical="top" textRotation="0" wrapText="false" indent="0" shrinkToFit="false"/>
      <protection locked="true" hidden="false"/>
    </xf>
    <xf numFmtId="176" fontId="25" fillId="3" borderId="0" xfId="22" applyFont="true" applyBorder="true" applyAlignment="true" applyProtection="true">
      <alignment horizontal="center" vertical="top" textRotation="0" wrapText="false" indent="0" shrinkToFit="false"/>
      <protection locked="true" hidden="false"/>
    </xf>
    <xf numFmtId="164" fontId="25" fillId="5" borderId="13" xfId="0" applyFont="true" applyBorder="true" applyAlignment="true" applyProtection="true">
      <alignment horizontal="center" vertical="top" textRotation="0" wrapText="false" indent="0" shrinkToFit="false"/>
      <protection locked="true" hidden="false"/>
    </xf>
    <xf numFmtId="164" fontId="25" fillId="3" borderId="1" xfId="0" applyFont="true" applyBorder="true" applyAlignment="false" applyProtection="true">
      <alignment horizontal="general" vertical="bottom" textRotation="0" wrapText="false" indent="0" shrinkToFit="false"/>
      <protection locked="true" hidden="false"/>
    </xf>
    <xf numFmtId="164" fontId="25" fillId="3" borderId="0" xfId="0" applyFont="true" applyBorder="true" applyAlignment="true" applyProtection="true">
      <alignment horizontal="center" vertical="center" textRotation="0" wrapText="false" indent="0" shrinkToFit="false"/>
      <protection locked="true" hidden="false"/>
    </xf>
    <xf numFmtId="164" fontId="25" fillId="3" borderId="0" xfId="0" applyFont="true" applyBorder="true" applyAlignment="false" applyProtection="true">
      <alignment horizontal="general" vertical="bottom" textRotation="0" wrapText="false" indent="0" shrinkToFit="false"/>
      <protection locked="true" hidden="false"/>
    </xf>
    <xf numFmtId="164" fontId="4" fillId="3" borderId="3" xfId="0" applyFont="true" applyBorder="true" applyAlignment="false" applyProtection="false">
      <alignment horizontal="general" vertical="bottom" textRotation="0" wrapText="false" indent="0" shrinkToFit="false"/>
      <protection locked="true" hidden="false"/>
    </xf>
    <xf numFmtId="164" fontId="4" fillId="3" borderId="4" xfId="0" applyFont="true" applyBorder="true" applyAlignment="false" applyProtection="false">
      <alignment horizontal="general" vertical="bottom" textRotation="0" wrapText="false" indent="0" shrinkToFit="false"/>
      <protection locked="true" hidden="false"/>
    </xf>
    <xf numFmtId="164" fontId="4" fillId="3" borderId="5" xfId="0" applyFont="true" applyBorder="true" applyAlignment="false" applyProtection="false">
      <alignment horizontal="general" vertical="bottom" textRotation="0" wrapText="false" indent="0" shrinkToFit="false"/>
      <protection locked="true" hidden="false"/>
    </xf>
    <xf numFmtId="164" fontId="25" fillId="5" borderId="6" xfId="0" applyFont="true" applyBorder="true" applyAlignment="true" applyProtection="false">
      <alignment horizontal="center" vertical="top" textRotation="0" wrapText="false" indent="0" shrinkToFit="false"/>
      <protection locked="true" hidden="false"/>
    </xf>
    <xf numFmtId="164" fontId="25" fillId="3" borderId="0" xfId="0" applyFont="true" applyBorder="true" applyAlignment="true" applyProtection="false">
      <alignment horizontal="center" vertical="top" textRotation="0" wrapText="false" indent="0" shrinkToFit="false"/>
      <protection locked="true" hidden="false"/>
    </xf>
    <xf numFmtId="164" fontId="0" fillId="3" borderId="0" xfId="0" applyFont="false" applyBorder="true" applyAlignment="true" applyProtection="false">
      <alignment horizontal="center" vertical="top" textRotation="0" wrapText="false" indent="0" shrinkToFit="false"/>
      <protection locked="true" hidden="false"/>
    </xf>
    <xf numFmtId="164" fontId="25" fillId="5" borderId="3" xfId="0" applyFont="true" applyBorder="true" applyAlignment="true" applyProtection="false">
      <alignment horizontal="center" vertical="top" textRotation="0" wrapText="false" indent="0" shrinkToFit="false"/>
      <protection locked="true" hidden="false"/>
    </xf>
    <xf numFmtId="164" fontId="0" fillId="0" borderId="1" xfId="0" applyFont="false" applyBorder="true" applyAlignment="true" applyProtection="false">
      <alignment horizontal="general" vertical="bottom" textRotation="0" wrapText="false" indent="0" shrinkToFit="false"/>
      <protection locked="true" hidden="false"/>
    </xf>
    <xf numFmtId="164" fontId="25" fillId="5" borderId="17" xfId="0" applyFont="true" applyBorder="true" applyAlignment="true" applyProtection="false">
      <alignment horizontal="center" vertical="top" textRotation="0" wrapText="false" indent="0" shrinkToFit="false"/>
      <protection locked="true" hidden="false"/>
    </xf>
    <xf numFmtId="164" fontId="25" fillId="5" borderId="9" xfId="0" applyFont="true" applyBorder="true" applyAlignment="true" applyProtection="false">
      <alignment horizontal="center" vertical="top" textRotation="0" wrapText="false" indent="0" shrinkToFit="false"/>
      <protection locked="true" hidden="false"/>
    </xf>
    <xf numFmtId="164" fontId="25" fillId="5" borderId="10" xfId="0" applyFont="true" applyBorder="true" applyAlignment="true" applyProtection="false">
      <alignment horizontal="center" vertical="top" textRotation="0" wrapText="false" indent="0" shrinkToFit="false"/>
      <protection locked="true" hidden="false"/>
    </xf>
    <xf numFmtId="164" fontId="25" fillId="5" borderId="8" xfId="0" applyFont="true" applyBorder="true" applyAlignment="true" applyProtection="false">
      <alignment horizontal="center" vertical="top" textRotation="0" wrapText="false" indent="0" shrinkToFit="false"/>
      <protection locked="true" hidden="false"/>
    </xf>
    <xf numFmtId="164" fontId="25" fillId="3" borderId="1" xfId="0" applyFont="true" applyBorder="true" applyAlignment="true" applyProtection="false">
      <alignment horizontal="center" vertical="top" textRotation="0" wrapText="false" indent="0" shrinkToFit="false"/>
      <protection locked="true" hidden="false"/>
    </xf>
    <xf numFmtId="164" fontId="4" fillId="3" borderId="7" xfId="0" applyFont="true" applyBorder="true" applyAlignment="true" applyProtection="false">
      <alignment horizontal="center" vertical="top" textRotation="0" wrapText="false" indent="0" shrinkToFit="false"/>
      <protection locked="true" hidden="false"/>
    </xf>
    <xf numFmtId="164" fontId="4" fillId="3" borderId="0" xfId="0" applyFont="true" applyBorder="true" applyAlignment="true" applyProtection="false">
      <alignment horizontal="center" vertical="top" textRotation="0" wrapText="false" indent="0" shrinkToFit="false"/>
      <protection locked="true" hidden="false"/>
    </xf>
    <xf numFmtId="164" fontId="4" fillId="3" borderId="17" xfId="0" applyFont="true" applyBorder="true" applyAlignment="true" applyProtection="false">
      <alignment horizontal="center" vertical="top" textRotation="0" wrapText="false" indent="0" shrinkToFit="false"/>
      <protection locked="true" hidden="false"/>
    </xf>
    <xf numFmtId="180" fontId="4" fillId="6" borderId="7" xfId="24" applyFont="true" applyBorder="true" applyAlignment="true" applyProtection="true">
      <alignment horizontal="center" vertical="top" textRotation="0" wrapText="false" indent="0" shrinkToFit="false"/>
      <protection locked="false" hidden="false"/>
    </xf>
    <xf numFmtId="164" fontId="4" fillId="3" borderId="7" xfId="0" applyFont="true" applyBorder="true" applyAlignment="true" applyProtection="false">
      <alignment horizontal="center" vertical="center" textRotation="0" wrapText="false" indent="0" shrinkToFit="false"/>
      <protection locked="true" hidden="false"/>
    </xf>
    <xf numFmtId="164" fontId="4" fillId="3" borderId="0" xfId="0" applyFont="true" applyBorder="true" applyAlignment="true" applyProtection="false">
      <alignment horizontal="center" vertical="center" textRotation="0" wrapText="false" indent="0" shrinkToFit="false"/>
      <protection locked="true" hidden="false"/>
    </xf>
    <xf numFmtId="164" fontId="4" fillId="3" borderId="6" xfId="0" applyFont="true" applyBorder="true" applyAlignment="true" applyProtection="false">
      <alignment horizontal="center" vertical="top" textRotation="0" wrapText="false" indent="0" shrinkToFit="false"/>
      <protection locked="true" hidden="false"/>
    </xf>
    <xf numFmtId="164" fontId="4" fillId="5" borderId="7" xfId="0" applyFont="true" applyBorder="true" applyAlignment="true" applyProtection="false">
      <alignment horizontal="left" vertical="top" textRotation="0" wrapText="false" indent="0" shrinkToFit="false"/>
      <protection locked="true" hidden="false"/>
    </xf>
    <xf numFmtId="164" fontId="30" fillId="3" borderId="0" xfId="0" applyFont="true" applyBorder="true" applyAlignment="true" applyProtection="false">
      <alignment horizontal="left" vertical="top" textRotation="0" wrapText="false" indent="0" shrinkToFit="false"/>
      <protection locked="true" hidden="false"/>
    </xf>
    <xf numFmtId="176" fontId="25" fillId="5" borderId="13" xfId="22" applyFont="true" applyBorder="true" applyAlignment="true" applyProtection="true">
      <alignment horizontal="center" vertical="top" textRotation="0" wrapText="false" indent="0" shrinkToFit="false"/>
      <protection locked="false" hidden="false"/>
    </xf>
    <xf numFmtId="176" fontId="25" fillId="5" borderId="14" xfId="22" applyFont="true" applyBorder="true" applyAlignment="true" applyProtection="true">
      <alignment horizontal="center" vertical="top" textRotation="0" wrapText="false" indent="0" shrinkToFit="false"/>
      <protection locked="false" hidden="false"/>
    </xf>
    <xf numFmtId="176" fontId="25" fillId="5" borderId="15" xfId="22" applyFont="true" applyBorder="true" applyAlignment="true" applyProtection="true">
      <alignment horizontal="center" vertical="top" textRotation="0" wrapText="false" indent="0" shrinkToFit="false"/>
      <protection locked="false" hidden="false"/>
    </xf>
    <xf numFmtId="176" fontId="25" fillId="3" borderId="0" xfId="22" applyFont="true" applyBorder="true" applyAlignment="true" applyProtection="true">
      <alignment horizontal="center" vertical="top" textRotation="0" wrapText="false" indent="0" shrinkToFit="false"/>
      <protection locked="false" hidden="false"/>
    </xf>
    <xf numFmtId="164" fontId="25" fillId="5" borderId="7" xfId="0" applyFont="true" applyBorder="true" applyAlignment="true" applyProtection="false">
      <alignment horizontal="center" vertical="top" textRotation="0" wrapText="false" indent="0" shrinkToFit="false"/>
      <protection locked="true" hidden="false"/>
    </xf>
    <xf numFmtId="180" fontId="4" fillId="5" borderId="7" xfId="24" applyFont="true" applyBorder="true" applyAlignment="true" applyProtection="true">
      <alignment horizontal="center" vertical="top" textRotation="0" wrapText="false" indent="0" shrinkToFit="false"/>
      <protection locked="false" hidden="false"/>
    </xf>
    <xf numFmtId="164" fontId="4" fillId="3" borderId="6" xfId="0" applyFont="true" applyBorder="true" applyAlignment="true" applyProtection="false">
      <alignment horizontal="center" vertical="center" textRotation="0" wrapText="false" indent="0" shrinkToFit="false"/>
      <protection locked="true" hidden="false"/>
    </xf>
    <xf numFmtId="180" fontId="25" fillId="5" borderId="13" xfId="22" applyFont="true" applyBorder="true" applyAlignment="true" applyProtection="true">
      <alignment horizontal="center" vertical="top" textRotation="0" wrapText="false" indent="0" shrinkToFit="false"/>
      <protection locked="false" hidden="false"/>
    </xf>
    <xf numFmtId="181" fontId="4" fillId="6" borderId="7" xfId="24" applyFont="true" applyBorder="true" applyAlignment="true" applyProtection="true">
      <alignment horizontal="center" vertical="top" textRotation="0" wrapText="false" indent="0" shrinkToFit="false"/>
      <protection locked="false" hidden="false"/>
    </xf>
    <xf numFmtId="178" fontId="4" fillId="3" borderId="7" xfId="0" applyFont="true" applyBorder="true" applyAlignment="true" applyProtection="true">
      <alignment horizontal="center" vertical="center" textRotation="0" wrapText="false" indent="0" shrinkToFit="false"/>
      <protection locked="true" hidden="false"/>
    </xf>
    <xf numFmtId="181" fontId="4" fillId="6" borderId="7" xfId="24" applyFont="true" applyBorder="true" applyAlignment="true" applyProtection="true">
      <alignment horizontal="center" vertical="top" textRotation="0" wrapText="false" indent="0" shrinkToFit="false"/>
      <protection locked="true" hidden="false"/>
    </xf>
    <xf numFmtId="176" fontId="4" fillId="3" borderId="8" xfId="22" applyFont="true" applyBorder="true" applyAlignment="true" applyProtection="true">
      <alignment horizontal="center" vertical="top" textRotation="0" wrapText="false" indent="0" shrinkToFit="false"/>
      <protection locked="true" hidden="false"/>
    </xf>
    <xf numFmtId="164" fontId="4" fillId="3" borderId="7" xfId="0" applyFont="true" applyBorder="true" applyAlignment="true" applyProtection="true">
      <alignment horizontal="center" vertical="bottom" textRotation="0" wrapText="false" indent="0" shrinkToFit="false"/>
      <protection locked="true" hidden="false"/>
    </xf>
    <xf numFmtId="164" fontId="4" fillId="5" borderId="13" xfId="0" applyFont="true" applyBorder="true" applyAlignment="true" applyProtection="true">
      <alignment horizontal="general" vertical="bottom" textRotation="0" wrapText="false" indent="0" shrinkToFit="false"/>
      <protection locked="true" hidden="false"/>
    </xf>
    <xf numFmtId="164" fontId="4" fillId="5" borderId="14" xfId="0" applyFont="true" applyBorder="true" applyAlignment="true" applyProtection="true">
      <alignment horizontal="general" vertical="bottom" textRotation="0" wrapText="false" indent="0" shrinkToFit="false"/>
      <protection locked="true" hidden="false"/>
    </xf>
    <xf numFmtId="164" fontId="4" fillId="5" borderId="15" xfId="0" applyFont="true" applyBorder="true" applyAlignment="true" applyProtection="true">
      <alignment horizontal="general" vertical="bottom" textRotation="0" wrapText="false" indent="0" shrinkToFit="false"/>
      <protection locked="true" hidden="false"/>
    </xf>
    <xf numFmtId="164" fontId="4" fillId="3" borderId="7" xfId="0" applyFont="true" applyBorder="true" applyAlignment="true" applyProtection="true">
      <alignment horizontal="left" vertical="center" textRotation="0" wrapText="false" indent="0" shrinkToFit="false"/>
      <protection locked="true" hidden="false"/>
    </xf>
    <xf numFmtId="164" fontId="29" fillId="0" borderId="0" xfId="0" applyFont="true" applyBorder="true" applyAlignment="false" applyProtection="true">
      <alignment horizontal="general" vertical="bottom" textRotation="0" wrapText="false" indent="0" shrinkToFit="false"/>
      <protection locked="true" hidden="false"/>
    </xf>
    <xf numFmtId="164" fontId="29" fillId="0" borderId="0" xfId="0" applyFont="true" applyBorder="true" applyAlignment="true" applyProtection="true">
      <alignment horizontal="general" vertical="bottom" textRotation="0" wrapText="false" indent="0" shrinkToFit="false"/>
      <protection locked="true" hidden="false"/>
    </xf>
    <xf numFmtId="177" fontId="29" fillId="0" borderId="0" xfId="19" applyFont="true" applyBorder="true" applyAlignment="true" applyProtection="true">
      <alignment horizontal="general" vertical="bottom" textRotation="0" wrapText="false" indent="0" shrinkToFit="false"/>
      <protection locked="true" hidden="false"/>
    </xf>
    <xf numFmtId="172" fontId="29" fillId="0" borderId="0" xfId="0" applyFont="true" applyBorder="true" applyAlignment="false" applyProtection="true">
      <alignment horizontal="general" vertical="bottom" textRotation="0" wrapText="false" indent="0" shrinkToFit="false"/>
      <protection locked="true" hidden="false"/>
    </xf>
    <xf numFmtId="164" fontId="73" fillId="0" borderId="0" xfId="0" applyFont="true" applyBorder="true" applyAlignment="true" applyProtection="true">
      <alignment horizontal="center" vertical="bottom" textRotation="0" wrapText="false" indent="0" shrinkToFit="false"/>
      <protection locked="true" hidden="false"/>
    </xf>
    <xf numFmtId="164" fontId="73" fillId="0" borderId="0" xfId="0" applyFont="true" applyBorder="false" applyAlignment="false" applyProtection="false">
      <alignment horizontal="general" vertical="bottom" textRotation="0" wrapText="false" indent="0" shrinkToFit="false"/>
      <protection locked="true" hidden="false"/>
    </xf>
    <xf numFmtId="164" fontId="73" fillId="0" borderId="7"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29" fillId="0" borderId="23" xfId="0" applyFont="true" applyBorder="true" applyAlignment="false" applyProtection="true">
      <alignment horizontal="general" vertical="bottom" textRotation="0" wrapText="false" indent="0" shrinkToFit="false"/>
      <protection locked="true" hidden="false"/>
    </xf>
    <xf numFmtId="164" fontId="29" fillId="0" borderId="24" xfId="0" applyFont="true" applyBorder="true" applyAlignment="false" applyProtection="true">
      <alignment horizontal="general" vertical="bottom" textRotation="0" wrapText="false" indent="0" shrinkToFit="false"/>
      <protection locked="true" hidden="false"/>
    </xf>
    <xf numFmtId="164" fontId="29" fillId="0" borderId="25" xfId="0" applyFont="true" applyBorder="true" applyAlignment="false" applyProtection="true">
      <alignment horizontal="general" vertical="bottom" textRotation="0" wrapText="false" indent="0" shrinkToFit="false"/>
      <protection locked="true" hidden="false"/>
    </xf>
    <xf numFmtId="164" fontId="29" fillId="0" borderId="26" xfId="0" applyFont="true" applyBorder="true" applyAlignment="true" applyProtection="true">
      <alignment horizontal="center" vertical="top" textRotation="0" wrapText="false" indent="0" shrinkToFit="false"/>
      <protection locked="true" hidden="false"/>
    </xf>
    <xf numFmtId="164" fontId="73" fillId="0" borderId="0" xfId="0" applyFont="true" applyBorder="true" applyAlignment="true" applyProtection="true">
      <alignment horizontal="center" vertical="top" textRotation="0" wrapText="false" indent="0" shrinkToFit="false"/>
      <protection locked="true" hidden="false"/>
    </xf>
    <xf numFmtId="164" fontId="29" fillId="0" borderId="19" xfId="0" applyFont="true" applyBorder="true" applyAlignment="false" applyProtection="true">
      <alignment horizontal="general" vertical="bottom" textRotation="0" wrapText="false" indent="0" shrinkToFit="false"/>
      <protection locked="true" hidden="false"/>
    </xf>
    <xf numFmtId="164" fontId="29" fillId="0" borderId="3" xfId="0" applyFont="true" applyBorder="true" applyAlignment="true" applyProtection="true">
      <alignment horizontal="center" vertical="top" textRotation="0" wrapText="false" indent="0" shrinkToFit="false"/>
      <protection locked="true" hidden="false"/>
    </xf>
    <xf numFmtId="164" fontId="73" fillId="0" borderId="5" xfId="0" applyFont="true" applyBorder="true" applyAlignment="true" applyProtection="true">
      <alignment horizontal="center" vertical="top" textRotation="0" wrapText="false" indent="0" shrinkToFit="false"/>
      <protection locked="true" hidden="false"/>
    </xf>
    <xf numFmtId="164" fontId="29" fillId="0" borderId="7" xfId="0" applyFont="true" applyBorder="true" applyAlignment="true" applyProtection="true">
      <alignment horizontal="center" vertical="top" textRotation="0" wrapText="false" indent="0" shrinkToFit="false"/>
      <protection locked="true" hidden="false"/>
    </xf>
    <xf numFmtId="164" fontId="73" fillId="0" borderId="7" xfId="0" applyFont="true" applyBorder="true" applyAlignment="true" applyProtection="true">
      <alignment horizontal="center" vertical="top" textRotation="0" wrapText="false" indent="0" shrinkToFit="false"/>
      <protection locked="true" hidden="false"/>
    </xf>
    <xf numFmtId="164" fontId="29" fillId="0" borderId="7" xfId="0" applyFont="true" applyBorder="true" applyAlignment="true" applyProtection="true">
      <alignment horizontal="general" vertical="bottom" textRotation="0" wrapText="false" indent="0" shrinkToFit="false"/>
      <protection locked="true" hidden="false"/>
    </xf>
    <xf numFmtId="164" fontId="29" fillId="0" borderId="7" xfId="0" applyFont="true" applyBorder="true" applyAlignment="false" applyProtection="true">
      <alignment horizontal="general" vertical="bottom" textRotation="0" wrapText="false" indent="0" shrinkToFit="false"/>
      <protection locked="true" hidden="false"/>
    </xf>
    <xf numFmtId="164" fontId="73" fillId="0" borderId="13" xfId="0" applyFont="true" applyBorder="true" applyAlignment="true" applyProtection="true">
      <alignment horizontal="center" vertical="top" textRotation="0" wrapText="false" indent="0" shrinkToFit="false"/>
      <protection locked="true" hidden="false"/>
    </xf>
    <xf numFmtId="164" fontId="29" fillId="0" borderId="7" xfId="0" applyFont="true" applyBorder="true" applyAlignment="false" applyProtection="false">
      <alignment horizontal="general" vertical="bottom" textRotation="0" wrapText="false" indent="0" shrinkToFit="false"/>
      <protection locked="true" hidden="false"/>
    </xf>
    <xf numFmtId="164" fontId="73" fillId="0" borderId="7" xfId="0" applyFont="true" applyBorder="true" applyAlignment="false" applyProtection="false">
      <alignment horizontal="general" vertical="bottom" textRotation="0" wrapText="false" indent="0" shrinkToFit="false"/>
      <protection locked="true" hidden="false"/>
    </xf>
    <xf numFmtId="164" fontId="73" fillId="0" borderId="7" xfId="0" applyFont="true" applyBorder="true" applyAlignment="true" applyProtection="false">
      <alignment horizontal="right" vertical="bottom" textRotation="0" wrapText="false" indent="0" shrinkToFit="false"/>
      <protection locked="true" hidden="false"/>
    </xf>
    <xf numFmtId="164" fontId="73" fillId="0" borderId="26" xfId="0" applyFont="true" applyBorder="true" applyAlignment="true" applyProtection="true">
      <alignment horizontal="center" vertical="top" textRotation="0" wrapText="false" indent="0" shrinkToFit="false"/>
      <protection locked="true" hidden="false"/>
    </xf>
    <xf numFmtId="164" fontId="73" fillId="0" borderId="1" xfId="0" applyFont="true" applyBorder="true" applyAlignment="true" applyProtection="true">
      <alignment horizontal="center" vertical="top" textRotation="0" wrapText="false" indent="0" shrinkToFit="false"/>
      <protection locked="true" hidden="false"/>
    </xf>
    <xf numFmtId="164" fontId="73" fillId="0" borderId="2" xfId="0" applyFont="true" applyBorder="true" applyAlignment="true" applyProtection="true">
      <alignment horizontal="center" vertical="top" textRotation="0" wrapText="false" indent="0" shrinkToFit="false"/>
      <protection locked="true" hidden="false"/>
    </xf>
    <xf numFmtId="172" fontId="29" fillId="0" borderId="7" xfId="0" applyFont="true" applyBorder="true" applyAlignment="false" applyProtection="false">
      <alignment horizontal="general" vertical="bottom" textRotation="0" wrapText="false" indent="0" shrinkToFit="false"/>
      <protection locked="true" hidden="false"/>
    </xf>
    <xf numFmtId="179" fontId="29" fillId="0" borderId="7" xfId="15" applyFont="true" applyBorder="true" applyAlignment="true" applyProtection="true">
      <alignment horizontal="right" vertical="bottom" textRotation="0" wrapText="false" indent="0" shrinkToFit="false"/>
      <protection locked="true" hidden="false"/>
    </xf>
    <xf numFmtId="179" fontId="73" fillId="12" borderId="7" xfId="15" applyFont="true" applyBorder="true" applyAlignment="true" applyProtection="true">
      <alignment horizontal="right" vertical="bottom" textRotation="0" wrapText="false" indent="0" shrinkToFit="false"/>
      <protection locked="true" hidden="false"/>
    </xf>
    <xf numFmtId="181" fontId="29" fillId="0" borderId="0" xfId="24" applyFont="true" applyBorder="true" applyAlignment="true" applyProtection="true">
      <alignment horizontal="center" vertical="top" textRotation="0" wrapText="false" indent="0" shrinkToFit="false"/>
      <protection locked="true" hidden="false"/>
    </xf>
    <xf numFmtId="176" fontId="73" fillId="0" borderId="0" xfId="22" applyFont="true" applyBorder="true" applyAlignment="true" applyProtection="true">
      <alignment horizontal="center" vertical="top" textRotation="0" wrapText="false" indent="0" shrinkToFit="false"/>
      <protection locked="true" hidden="false"/>
    </xf>
    <xf numFmtId="176" fontId="29" fillId="0" borderId="19" xfId="0" applyFont="true" applyBorder="true" applyAlignment="false" applyProtection="true">
      <alignment horizontal="general" vertical="bottom" textRotation="0" wrapText="false" indent="0" shrinkToFit="false"/>
      <protection locked="true" hidden="false"/>
    </xf>
    <xf numFmtId="164" fontId="29" fillId="0" borderId="1" xfId="0" applyFont="true" applyBorder="true" applyAlignment="true" applyProtection="true">
      <alignment horizontal="center" vertical="top" textRotation="0" wrapText="false" indent="0" shrinkToFit="false"/>
      <protection locked="true" hidden="false"/>
    </xf>
    <xf numFmtId="172" fontId="29" fillId="0" borderId="0" xfId="24" applyFont="true" applyBorder="true" applyAlignment="true" applyProtection="true">
      <alignment horizontal="center" vertical="top" textRotation="0" wrapText="false" indent="0" shrinkToFit="false"/>
      <protection locked="true" hidden="false"/>
    </xf>
    <xf numFmtId="172" fontId="29" fillId="0" borderId="2" xfId="24" applyFont="true" applyBorder="true" applyAlignment="true" applyProtection="true">
      <alignment horizontal="center" vertical="top" textRotation="0" wrapText="false" indent="0" shrinkToFit="false"/>
      <protection locked="true" hidden="false"/>
    </xf>
    <xf numFmtId="181" fontId="73" fillId="0" borderId="0" xfId="22" applyFont="true" applyBorder="true" applyAlignment="true" applyProtection="true">
      <alignment horizontal="center" vertical="top" textRotation="0" wrapText="false" indent="0" shrinkToFit="false"/>
      <protection locked="true" hidden="false"/>
    </xf>
    <xf numFmtId="181" fontId="29" fillId="0" borderId="19" xfId="0" applyFont="true" applyBorder="true" applyAlignment="false" applyProtection="true">
      <alignment horizontal="general" vertical="bottom" textRotation="0" wrapText="false" indent="0" shrinkToFit="false"/>
      <protection locked="true" hidden="false"/>
    </xf>
    <xf numFmtId="180" fontId="29" fillId="0" borderId="7" xfId="24" applyFont="true" applyBorder="true" applyAlignment="true" applyProtection="true">
      <alignment horizontal="center" vertical="top" textRotation="0" wrapText="false" indent="0" shrinkToFit="false"/>
      <protection locked="true" hidden="false"/>
    </xf>
    <xf numFmtId="180" fontId="73" fillId="12" borderId="7" xfId="22" applyFont="true" applyBorder="true" applyAlignment="true" applyProtection="true">
      <alignment horizontal="center" vertical="top" textRotation="0" wrapText="false" indent="0" shrinkToFit="false"/>
      <protection locked="true" hidden="false"/>
    </xf>
    <xf numFmtId="180" fontId="29" fillId="12" borderId="7" xfId="0" applyFont="true" applyBorder="true" applyAlignment="false" applyProtection="true">
      <alignment horizontal="general" vertical="bottom" textRotation="0" wrapText="false" indent="0" shrinkToFit="false"/>
      <protection locked="true" hidden="false"/>
    </xf>
    <xf numFmtId="181" fontId="29" fillId="0" borderId="7" xfId="24" applyFont="true" applyBorder="true" applyAlignment="true" applyProtection="true">
      <alignment horizontal="center" vertical="top" textRotation="0" wrapText="false" indent="0" shrinkToFit="false"/>
      <protection locked="true" hidden="false"/>
    </xf>
    <xf numFmtId="176" fontId="73" fillId="12" borderId="7" xfId="22" applyFont="true" applyBorder="true" applyAlignment="true" applyProtection="true">
      <alignment horizontal="center" vertical="top" textRotation="0" wrapText="false" indent="0" shrinkToFit="false"/>
      <protection locked="true" hidden="false"/>
    </xf>
    <xf numFmtId="176" fontId="29" fillId="12" borderId="7" xfId="0" applyFont="true" applyBorder="true" applyAlignment="false" applyProtection="true">
      <alignment horizontal="general" vertical="bottom" textRotation="0" wrapText="false" indent="0" shrinkToFit="false"/>
      <protection locked="true" hidden="false"/>
    </xf>
    <xf numFmtId="164" fontId="29" fillId="12" borderId="7" xfId="0" applyFont="true" applyBorder="true" applyAlignment="false" applyProtection="false">
      <alignment horizontal="general" vertical="bottom" textRotation="0" wrapText="false" indent="0" shrinkToFit="false"/>
      <protection locked="true" hidden="false"/>
    </xf>
    <xf numFmtId="172" fontId="73" fillId="12" borderId="7" xfId="0" applyFont="true" applyBorder="true" applyAlignment="false" applyProtection="false">
      <alignment horizontal="general" vertical="bottom" textRotation="0" wrapText="false" indent="0" shrinkToFit="false"/>
      <protection locked="true" hidden="false"/>
    </xf>
    <xf numFmtId="164" fontId="29" fillId="0" borderId="26" xfId="0" applyFont="true" applyBorder="true" applyAlignment="true" applyProtection="true">
      <alignment horizontal="left" vertical="top" textRotation="0" wrapText="false" indent="0" shrinkToFit="false"/>
      <protection locked="true" hidden="false"/>
    </xf>
    <xf numFmtId="164" fontId="29" fillId="0" borderId="9" xfId="0" applyFont="true" applyBorder="true" applyAlignment="false" applyProtection="true">
      <alignment horizontal="general" vertical="bottom" textRotation="0" wrapText="false" indent="0" shrinkToFit="false"/>
      <protection locked="true" hidden="false"/>
    </xf>
    <xf numFmtId="164" fontId="29" fillId="0" borderId="8" xfId="0" applyFont="true" applyBorder="true" applyAlignment="false" applyProtection="true">
      <alignment horizontal="general" vertical="bottom" textRotation="0" wrapText="false" indent="0" shrinkToFit="false"/>
      <protection locked="true" hidden="false"/>
    </xf>
    <xf numFmtId="164" fontId="29" fillId="0" borderId="10" xfId="0" applyFont="true" applyBorder="true" applyAlignment="false" applyProtection="true">
      <alignment horizontal="general" vertical="bottom" textRotation="0" wrapText="false" indent="0" shrinkToFit="false"/>
      <protection locked="true" hidden="false"/>
    </xf>
    <xf numFmtId="164" fontId="29" fillId="0" borderId="7" xfId="0" applyFont="true" applyBorder="true" applyAlignment="true" applyProtection="true">
      <alignment horizontal="left" vertical="top" textRotation="0" wrapText="false" indent="0" shrinkToFit="false"/>
      <protection locked="true" hidden="false"/>
    </xf>
    <xf numFmtId="176" fontId="73" fillId="0" borderId="7" xfId="22" applyFont="true" applyBorder="true" applyAlignment="true" applyProtection="true">
      <alignment horizontal="center" vertical="top" textRotation="0" wrapText="false" indent="0" shrinkToFit="false"/>
      <protection locked="true" hidden="false"/>
    </xf>
    <xf numFmtId="164" fontId="73" fillId="0" borderId="17" xfId="0" applyFont="true" applyBorder="true" applyAlignment="false" applyProtection="false">
      <alignment horizontal="general" vertical="bottom" textRotation="0" wrapText="false" indent="0" shrinkToFit="false"/>
      <protection locked="true" hidden="false"/>
    </xf>
    <xf numFmtId="181" fontId="29" fillId="0" borderId="0" xfId="0" applyFont="true" applyBorder="true" applyAlignment="true" applyProtection="true">
      <alignment horizontal="general" vertical="bottom" textRotation="0" wrapText="false" indent="0" shrinkToFit="false"/>
      <protection locked="true" hidden="false"/>
    </xf>
    <xf numFmtId="181" fontId="73" fillId="0" borderId="0" xfId="0" applyFont="true" applyBorder="true" applyAlignment="true" applyProtection="true">
      <alignment horizontal="center" vertical="top" textRotation="0" wrapText="false" indent="0" shrinkToFit="false"/>
      <protection locked="true" hidden="false"/>
    </xf>
    <xf numFmtId="176" fontId="29" fillId="0" borderId="7" xfId="15" applyFont="true" applyBorder="true" applyAlignment="true" applyProtection="true">
      <alignment horizontal="right" vertical="bottom" textRotation="0" wrapText="false" indent="0" shrinkToFit="false"/>
      <protection locked="true" hidden="false"/>
    </xf>
    <xf numFmtId="180" fontId="29" fillId="0" borderId="0" xfId="24" applyFont="true" applyBorder="true" applyAlignment="true" applyProtection="true">
      <alignment horizontal="center" vertical="top" textRotation="0" wrapText="false" indent="0" shrinkToFit="false"/>
      <protection locked="true" hidden="false"/>
    </xf>
    <xf numFmtId="180" fontId="73" fillId="0" borderId="0" xfId="22" applyFont="true" applyBorder="true" applyAlignment="true" applyProtection="true">
      <alignment horizontal="center" vertical="top" textRotation="0" wrapText="false" indent="0" shrinkToFit="false"/>
      <protection locked="true" hidden="false"/>
    </xf>
    <xf numFmtId="180" fontId="29" fillId="0" borderId="19" xfId="0" applyFont="true" applyBorder="true" applyAlignment="false" applyProtection="true">
      <alignment horizontal="general" vertical="bottom" textRotation="0" wrapText="false" indent="0" shrinkToFit="false"/>
      <protection locked="true" hidden="false"/>
    </xf>
    <xf numFmtId="164" fontId="73" fillId="12" borderId="7"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true" applyAlignment="true" applyProtection="true">
      <alignment horizontal="center" vertical="top" textRotation="0" wrapText="false" indent="0" shrinkToFit="false"/>
      <protection locked="true" hidden="false"/>
    </xf>
    <xf numFmtId="176" fontId="29" fillId="0" borderId="7" xfId="0" applyFont="true" applyBorder="true" applyAlignment="false" applyProtection="true">
      <alignment horizontal="general" vertical="bottom" textRotation="0" wrapText="false" indent="0" shrinkToFit="false"/>
      <protection locked="true" hidden="false"/>
    </xf>
    <xf numFmtId="172" fontId="29" fillId="0" borderId="7" xfId="0" applyFont="true" applyBorder="true" applyAlignment="false" applyProtection="false">
      <alignment horizontal="general" vertical="bottom" textRotation="0" wrapText="false" indent="0" shrinkToFit="false"/>
      <protection locked="true" hidden="false"/>
    </xf>
    <xf numFmtId="172" fontId="29" fillId="12" borderId="7" xfId="0" applyFont="true" applyBorder="true" applyAlignment="false" applyProtection="false">
      <alignment horizontal="general" vertical="bottom" textRotation="0" wrapText="false" indent="0" shrinkToFit="false"/>
      <protection locked="true" hidden="false"/>
    </xf>
    <xf numFmtId="165" fontId="29" fillId="0" borderId="0" xfId="21" applyFont="true" applyBorder="true" applyAlignment="true" applyProtection="true">
      <alignment horizontal="center" vertical="top" textRotation="0" wrapText="false" indent="0" shrinkToFit="false"/>
      <protection locked="true" hidden="false"/>
    </xf>
    <xf numFmtId="165" fontId="73" fillId="0" borderId="0" xfId="21" applyFont="true" applyBorder="true" applyAlignment="true" applyProtection="true">
      <alignment horizontal="center" vertical="top" textRotation="0" wrapText="false" indent="0" shrinkToFit="false"/>
      <protection locked="true" hidden="false"/>
    </xf>
    <xf numFmtId="164" fontId="29" fillId="12" borderId="7" xfId="0" applyFont="true" applyBorder="true" applyAlignment="false" applyProtection="true">
      <alignment horizontal="general" vertical="bottom" textRotation="0" wrapText="false" indent="0" shrinkToFit="false"/>
      <protection locked="true" hidden="false"/>
    </xf>
    <xf numFmtId="172" fontId="29" fillId="12" borderId="7" xfId="0" applyFont="true" applyBorder="true" applyAlignment="false" applyProtection="true">
      <alignment horizontal="general" vertical="bottom" textRotation="0" wrapText="false" indent="0" shrinkToFit="false"/>
      <protection locked="true" hidden="false"/>
    </xf>
    <xf numFmtId="164" fontId="29" fillId="0" borderId="26" xfId="0" applyFont="true" applyBorder="true" applyAlignment="false" applyProtection="true">
      <alignment horizontal="general" vertical="bottom" textRotation="0" wrapText="false" indent="0" shrinkToFit="false"/>
      <protection locked="true" hidden="false"/>
    </xf>
    <xf numFmtId="176" fontId="29" fillId="0" borderId="0" xfId="22" applyFont="true" applyBorder="true" applyAlignment="true" applyProtection="true">
      <alignment horizontal="center" vertical="top" textRotation="0" wrapText="false" indent="0" shrinkToFit="false"/>
      <protection locked="true" hidden="false"/>
    </xf>
    <xf numFmtId="164" fontId="29" fillId="0" borderId="27" xfId="0" applyFont="true" applyBorder="true" applyAlignment="true" applyProtection="true">
      <alignment horizontal="center" vertical="top" textRotation="0" wrapText="false" indent="0" shrinkToFit="false"/>
      <protection locked="true" hidden="false"/>
    </xf>
    <xf numFmtId="181" fontId="29" fillId="0" borderId="28" xfId="24" applyFont="true" applyBorder="true" applyAlignment="true" applyProtection="true">
      <alignment horizontal="center" vertical="top" textRotation="0" wrapText="false" indent="0" shrinkToFit="false"/>
      <protection locked="true" hidden="false"/>
    </xf>
    <xf numFmtId="176" fontId="73" fillId="0" borderId="28" xfId="22" applyFont="true" applyBorder="true" applyAlignment="true" applyProtection="true">
      <alignment horizontal="center" vertical="top" textRotation="0" wrapText="false" indent="0" shrinkToFit="false"/>
      <protection locked="true" hidden="false"/>
    </xf>
    <xf numFmtId="176" fontId="29" fillId="0" borderId="29" xfId="0" applyFont="true" applyBorder="true" applyAlignment="false" applyProtection="true">
      <alignment horizontal="general" vertical="bottom" textRotation="0" wrapText="false" indent="0" shrinkToFit="false"/>
      <protection locked="true" hidden="false"/>
    </xf>
    <xf numFmtId="164" fontId="74" fillId="0" borderId="0" xfId="0" applyFont="true" applyBorder="true" applyAlignment="false" applyProtection="false">
      <alignment horizontal="general" vertical="bottom" textRotation="0" wrapText="false" indent="0" shrinkToFit="false"/>
      <protection locked="true" hidden="false"/>
    </xf>
    <xf numFmtId="173" fontId="75" fillId="0" borderId="0" xfId="0" applyFont="true" applyBorder="true" applyAlignment="false" applyProtection="false">
      <alignment horizontal="general" vertical="bottom" textRotation="0" wrapText="false" indent="0" shrinkToFit="false"/>
      <protection locked="true" hidden="false"/>
    </xf>
    <xf numFmtId="164" fontId="45" fillId="5" borderId="13" xfId="0" applyFont="true" applyBorder="true" applyAlignment="false" applyProtection="false">
      <alignment horizontal="general" vertical="bottom" textRotation="0" wrapText="false" indent="0" shrinkToFit="false"/>
      <protection locked="true" hidden="false"/>
    </xf>
    <xf numFmtId="164" fontId="76" fillId="5" borderId="14" xfId="0" applyFont="true" applyBorder="true" applyAlignment="false" applyProtection="false">
      <alignment horizontal="general" vertical="bottom" textRotation="0" wrapText="false" indent="0" shrinkToFit="false"/>
      <protection locked="true" hidden="false"/>
    </xf>
    <xf numFmtId="164" fontId="76" fillId="5" borderId="15" xfId="0" applyFont="true" applyBorder="true" applyAlignment="false" applyProtection="false">
      <alignment horizontal="general" vertical="bottom" textRotation="0" wrapText="false" indent="0" shrinkToFit="false"/>
      <protection locked="true" hidden="false"/>
    </xf>
    <xf numFmtId="164" fontId="4" fillId="6" borderId="7" xfId="0" applyFont="true" applyBorder="true" applyAlignment="true" applyProtection="true">
      <alignment horizontal="general" vertical="top" textRotation="0" wrapText="true" indent="0" shrinkToFit="false"/>
      <protection locked="false" hidden="false"/>
    </xf>
    <xf numFmtId="164" fontId="4" fillId="0" borderId="14"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top" textRotation="0" wrapText="false" indent="0" shrinkToFit="false"/>
      <protection locked="false" hidden="false"/>
    </xf>
    <xf numFmtId="164" fontId="4" fillId="6" borderId="0" xfId="0" applyFont="true" applyBorder="true" applyAlignment="true" applyProtection="true">
      <alignment horizontal="general" vertical="top" textRotation="0" wrapText="false" indent="0" shrinkToFit="false"/>
      <protection locked="false" hidden="false"/>
    </xf>
    <xf numFmtId="164" fontId="4" fillId="6" borderId="2" xfId="0" applyFont="true" applyBorder="true" applyAlignment="true" applyProtection="true">
      <alignment horizontal="general" vertical="top" textRotation="0" wrapText="false" indent="0" shrinkToFit="false"/>
      <protection locked="false" hidden="false"/>
    </xf>
    <xf numFmtId="169" fontId="4" fillId="0" borderId="0"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right" vertical="bottom" textRotation="0" wrapText="false" indent="0" shrinkToFit="false"/>
      <protection locked="true" hidden="false"/>
    </xf>
    <xf numFmtId="164" fontId="9" fillId="0" borderId="1" xfId="0" applyFont="true" applyBorder="true" applyAlignment="false" applyProtection="false">
      <alignment horizontal="general" vertical="bottom" textRotation="0" wrapText="false" indent="0" shrinkToFit="false"/>
      <protection locked="true" hidden="false"/>
    </xf>
    <xf numFmtId="164" fontId="44" fillId="0" borderId="0" xfId="0" applyFont="true" applyBorder="tru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73" fontId="43" fillId="0" borderId="0" xfId="0" applyFont="true" applyBorder="true" applyAlignment="true" applyProtection="false">
      <alignment horizontal="right" vertical="bottom" textRotation="0" wrapText="fals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43" fillId="0" borderId="2" xfId="0" applyFont="true" applyBorder="true" applyAlignment="false" applyProtection="false">
      <alignment horizontal="general" vertical="bottom" textRotation="0" wrapText="false" indent="0" shrinkToFit="false"/>
      <protection locked="true" hidden="false"/>
    </xf>
    <xf numFmtId="164" fontId="34" fillId="0" borderId="0" xfId="0" applyFont="true" applyBorder="true" applyAlignment="false" applyProtection="false">
      <alignment horizontal="general" vertical="bottom" textRotation="0" wrapText="false" indent="0" shrinkToFit="false"/>
      <protection locked="true" hidden="false"/>
    </xf>
    <xf numFmtId="164" fontId="60" fillId="0" borderId="0" xfId="0" applyFont="true" applyBorder="true" applyAlignment="true" applyProtection="false">
      <alignment horizontal="center" vertical="bottom" textRotation="0" wrapText="false" indent="0" shrinkToFit="false"/>
      <protection locked="true" hidden="false"/>
    </xf>
    <xf numFmtId="164" fontId="33" fillId="0" borderId="0" xfId="0" applyFont="true" applyBorder="true" applyAlignment="false" applyProtection="false">
      <alignment horizontal="general" vertical="bottom" textRotation="0" wrapText="false" indent="0" shrinkToFit="false"/>
      <protection locked="true" hidden="false"/>
    </xf>
    <xf numFmtId="164" fontId="25" fillId="0" borderId="7" xfId="0" applyFont="true" applyBorder="true" applyAlignment="true" applyProtection="true">
      <alignment horizontal="right" vertical="bottom" textRotation="0" wrapText="false" indent="0" shrinkToFit="false"/>
      <protection locked="false" hidden="false"/>
    </xf>
    <xf numFmtId="164" fontId="60" fillId="0" borderId="7" xfId="0" applyFont="true" applyBorder="true" applyAlignment="false" applyProtection="false">
      <alignment horizontal="general" vertical="bottom" textRotation="0" wrapText="false" indent="0" shrinkToFit="false"/>
      <protection locked="true" hidden="false"/>
    </xf>
    <xf numFmtId="164" fontId="60" fillId="0" borderId="0" xfId="0" applyFont="true" applyBorder="true" applyAlignment="false" applyProtection="false">
      <alignment horizontal="general" vertical="bottom" textRotation="0" wrapText="false" indent="0" shrinkToFit="false"/>
      <protection locked="true" hidden="false"/>
    </xf>
    <xf numFmtId="164" fontId="60" fillId="0" borderId="0" xfId="0" applyFont="true" applyBorder="true" applyAlignment="false" applyProtection="false">
      <alignment horizontal="general" vertical="bottom" textRotation="0" wrapText="false" indent="0" shrinkToFit="false"/>
      <protection locked="true" hidden="false"/>
    </xf>
    <xf numFmtId="173" fontId="4" fillId="5" borderId="14" xfId="0" applyFont="true" applyBorder="true" applyAlignment="false" applyProtection="false">
      <alignment horizontal="general" vertical="bottom" textRotation="0" wrapText="false" indent="0" shrinkToFit="false"/>
      <protection locked="true" hidden="false"/>
    </xf>
    <xf numFmtId="177" fontId="4" fillId="5" borderId="14" xfId="19" applyFont="true" applyBorder="true" applyAlignment="true" applyProtection="true">
      <alignment horizontal="general" vertical="bottom" textRotation="0" wrapText="false" indent="0" shrinkToFit="false"/>
      <protection locked="true" hidden="false"/>
    </xf>
    <xf numFmtId="164" fontId="28" fillId="0" borderId="0"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true" applyAlignment="false" applyProtection="false">
      <alignment horizontal="general" vertical="bottom" textRotation="0" wrapText="false" indent="0" shrinkToFit="false"/>
      <protection locked="true" hidden="false"/>
    </xf>
    <xf numFmtId="164" fontId="28" fillId="0" borderId="2" xfId="0" applyFont="true" applyBorder="true" applyAlignment="false" applyProtection="false">
      <alignment horizontal="general" vertical="bottom" textRotation="0" wrapText="false" indent="0" shrinkToFit="false"/>
      <protection locked="true" hidden="false"/>
    </xf>
    <xf numFmtId="176" fontId="4" fillId="0" borderId="2" xfId="0" applyFont="true" applyBorder="true" applyAlignment="false" applyProtection="true">
      <alignment horizontal="general" vertical="bottom" textRotation="0" wrapText="false" indent="0" shrinkToFit="false"/>
      <protection locked="true" hidden="false"/>
    </xf>
    <xf numFmtId="176" fontId="4" fillId="0" borderId="0" xfId="0" applyFont="true" applyBorder="true" applyAlignment="false" applyProtection="true">
      <alignment horizontal="general" vertical="bottom" textRotation="0" wrapText="false" indent="0" shrinkToFit="false"/>
      <protection locked="true" hidden="false"/>
    </xf>
    <xf numFmtId="176" fontId="77" fillId="0" borderId="0" xfId="0" applyFont="true" applyBorder="true" applyAlignment="false" applyProtection="true">
      <alignment horizontal="general" vertical="bottom" textRotation="0" wrapText="false" indent="0" shrinkToFit="false"/>
      <protection locked="true" hidden="false"/>
    </xf>
    <xf numFmtId="176" fontId="4" fillId="0" borderId="0" xfId="0" applyFont="true" applyBorder="false" applyAlignment="false" applyProtection="true">
      <alignment horizontal="general" vertical="bottom" textRotation="0" wrapText="false" indent="0" shrinkToFit="false"/>
      <protection locked="true" hidden="false"/>
    </xf>
    <xf numFmtId="172" fontId="4" fillId="0" borderId="0" xfId="0" applyFont="true" applyBorder="false" applyAlignment="false" applyProtection="false">
      <alignment horizontal="general" vertical="bottom" textRotation="0" wrapText="false" indent="0" shrinkToFit="false"/>
      <protection locked="true" hidden="false"/>
    </xf>
    <xf numFmtId="176" fontId="4" fillId="0" borderId="10" xfId="0" applyFont="true" applyBorder="true" applyAlignment="false" applyProtection="true">
      <alignment horizontal="general" vertical="bottom" textRotation="0" wrapText="false" indent="0" shrinkToFit="false"/>
      <protection locked="true" hidden="false"/>
    </xf>
    <xf numFmtId="176" fontId="4" fillId="0" borderId="8" xfId="0" applyFont="true" applyBorder="true" applyAlignment="false" applyProtection="true">
      <alignment horizontal="general" vertical="bottom" textRotation="0" wrapText="false" indent="0" shrinkToFit="false"/>
      <protection locked="true" hidden="false"/>
    </xf>
    <xf numFmtId="176" fontId="4" fillId="0" borderId="2" xfId="0" applyFont="true" applyBorder="true" applyAlignment="false" applyProtection="false">
      <alignment horizontal="general" vertical="bottom" textRotation="0" wrapText="false" indent="0" shrinkToFit="false"/>
      <protection locked="true" hidden="false"/>
    </xf>
    <xf numFmtId="176" fontId="4" fillId="0" borderId="0" xfId="0" applyFont="true" applyBorder="true" applyAlignment="false" applyProtection="false">
      <alignment horizontal="general" vertical="bottom" textRotation="0" wrapText="false" indent="0" shrinkToFit="false"/>
      <protection locked="true" hidden="false"/>
    </xf>
    <xf numFmtId="176" fontId="4" fillId="0" borderId="5" xfId="0" applyFont="true" applyBorder="true" applyAlignment="false" applyProtection="false">
      <alignment horizontal="general" vertical="bottom" textRotation="0" wrapText="false" indent="0" shrinkToFit="false"/>
      <protection locked="true" hidden="false"/>
    </xf>
    <xf numFmtId="177" fontId="33" fillId="4" borderId="2" xfId="0" applyFont="true" applyBorder="true" applyAlignment="false" applyProtection="true">
      <alignment horizontal="general" vertical="bottom" textRotation="0" wrapText="false" indent="0" shrinkToFit="false"/>
      <protection locked="false" hidden="false"/>
    </xf>
    <xf numFmtId="171" fontId="33" fillId="0" borderId="0" xfId="0" applyFont="true" applyBorder="true" applyAlignment="false" applyProtection="true">
      <alignment horizontal="general" vertical="bottom" textRotation="0" wrapText="false" indent="0" shrinkToFit="false"/>
      <protection locked="true" hidden="false"/>
    </xf>
    <xf numFmtId="177" fontId="33" fillId="4" borderId="0" xfId="0" applyFont="true" applyBorder="true" applyAlignment="false" applyProtection="true">
      <alignment horizontal="general" vertical="bottom" textRotation="0" wrapText="false" indent="0" shrinkToFit="false"/>
      <protection locked="false" hidden="false"/>
    </xf>
    <xf numFmtId="177" fontId="4" fillId="0" borderId="5" xfId="0" applyFont="true" applyBorder="true" applyAlignment="false" applyProtection="false">
      <alignment horizontal="general" vertical="bottom" textRotation="0" wrapText="false" indent="0" shrinkToFit="false"/>
      <protection locked="true" hidden="false"/>
    </xf>
    <xf numFmtId="171" fontId="4" fillId="0" borderId="1" xfId="0" applyFont="true" applyBorder="true" applyAlignment="false" applyProtection="false">
      <alignment horizontal="general" vertical="bottom" textRotation="0" wrapText="false" indent="0" shrinkToFit="false"/>
      <protection locked="true" hidden="false"/>
    </xf>
    <xf numFmtId="177" fontId="4" fillId="0" borderId="4" xfId="0" applyFont="true" applyBorder="true" applyAlignment="false" applyProtection="false">
      <alignment horizontal="general" vertical="bottom" textRotation="0" wrapText="false" indent="0" shrinkToFit="false"/>
      <protection locked="true" hidden="false"/>
    </xf>
    <xf numFmtId="171" fontId="4" fillId="0" borderId="0" xfId="0" applyFont="true" applyBorder="true" applyAlignment="false" applyProtection="true">
      <alignment horizontal="general" vertical="bottom" textRotation="0" wrapText="false" indent="0" shrinkToFit="false"/>
      <protection locked="true" hidden="false"/>
    </xf>
    <xf numFmtId="182" fontId="4" fillId="0" borderId="10" xfId="0" applyFont="true" applyBorder="true" applyAlignment="false" applyProtection="false">
      <alignment horizontal="general" vertical="bottom" textRotation="0" wrapText="false" indent="0" shrinkToFit="false"/>
      <protection locked="true" hidden="false"/>
    </xf>
    <xf numFmtId="182" fontId="4" fillId="0" borderId="8" xfId="0" applyFont="true" applyBorder="true" applyAlignment="false" applyProtection="false">
      <alignment horizontal="general" vertical="bottom" textRotation="0" wrapText="false" indent="0" shrinkToFit="false"/>
      <protection locked="true" hidden="false"/>
    </xf>
    <xf numFmtId="164" fontId="45" fillId="0" borderId="13" xfId="0" applyFont="true" applyBorder="true" applyAlignment="false" applyProtection="false">
      <alignment horizontal="general" vertical="bottom" textRotation="0" wrapText="false" indent="0" shrinkToFit="false"/>
      <protection locked="true" hidden="false"/>
    </xf>
    <xf numFmtId="171" fontId="34" fillId="0" borderId="0" xfId="0" applyFont="true" applyBorder="true" applyAlignment="false" applyProtection="true">
      <alignment horizontal="general" vertical="bottom" textRotation="0" wrapText="false" indent="0" shrinkToFit="false"/>
      <protection locked="false" hidden="false"/>
    </xf>
    <xf numFmtId="171" fontId="33" fillId="0" borderId="0" xfId="0" applyFont="true" applyBorder="true" applyAlignment="false" applyProtection="true">
      <alignment horizontal="general" vertical="bottom" textRotation="0" wrapText="false" indent="0" shrinkToFit="false"/>
      <protection locked="false" hidden="false"/>
    </xf>
    <xf numFmtId="177" fontId="33" fillId="4" borderId="8" xfId="0" applyFont="true" applyBorder="true" applyAlignment="false" applyProtection="true">
      <alignment horizontal="general" vertical="bottom" textRotation="0" wrapText="false" indent="0" shrinkToFit="false"/>
      <protection locked="false" hidden="false"/>
    </xf>
    <xf numFmtId="177" fontId="33" fillId="4" borderId="10" xfId="0" applyFont="true" applyBorder="true" applyAlignment="false" applyProtection="true">
      <alignment horizontal="general" vertical="bottom" textRotation="0" wrapText="false" indent="0" shrinkToFit="false"/>
      <protection locked="false" hidden="false"/>
    </xf>
    <xf numFmtId="177" fontId="4" fillId="0" borderId="2" xfId="0" applyFont="true" applyBorder="true" applyAlignment="false" applyProtection="false">
      <alignment horizontal="general" vertical="bottom" textRotation="0" wrapText="false" indent="0" shrinkToFit="false"/>
      <protection locked="true" hidden="false"/>
    </xf>
    <xf numFmtId="177" fontId="4" fillId="0" borderId="0" xfId="0" applyFont="true" applyBorder="true" applyAlignment="false" applyProtection="false">
      <alignment horizontal="general" vertical="bottom" textRotation="0" wrapText="false" indent="0" shrinkToFit="false"/>
      <protection locked="true" hidden="false"/>
    </xf>
    <xf numFmtId="182" fontId="4" fillId="5" borderId="14" xfId="0" applyFont="true" applyBorder="true" applyAlignment="false" applyProtection="false">
      <alignment horizontal="general" vertical="bottom" textRotation="0" wrapText="false" indent="0" shrinkToFit="false"/>
      <protection locked="true" hidden="false"/>
    </xf>
    <xf numFmtId="182" fontId="4" fillId="5" borderId="15" xfId="0" applyFont="true" applyBorder="true" applyAlignment="false" applyProtection="false">
      <alignment horizontal="general" vertical="bottom" textRotation="0" wrapText="false" indent="0" shrinkToFit="false"/>
      <protection locked="true" hidden="false"/>
    </xf>
    <xf numFmtId="182" fontId="4" fillId="0" borderId="5" xfId="0" applyFont="true" applyBorder="true" applyAlignment="false" applyProtection="false">
      <alignment horizontal="general" vertical="bottom" textRotation="0" wrapText="false" indent="0" shrinkToFit="false"/>
      <protection locked="true" hidden="false"/>
    </xf>
    <xf numFmtId="182" fontId="4" fillId="0" borderId="0" xfId="0" applyFont="true" applyBorder="true" applyAlignment="false" applyProtection="false">
      <alignment horizontal="general" vertical="bottom" textRotation="0" wrapText="false" indent="0" shrinkToFit="false"/>
      <protection locked="true" hidden="false"/>
    </xf>
    <xf numFmtId="182" fontId="4" fillId="0" borderId="2" xfId="0" applyFont="true" applyBorder="true" applyAlignment="false" applyProtection="false">
      <alignment horizontal="general" vertical="bottom" textRotation="0" wrapText="false" indent="0" shrinkToFit="false"/>
      <protection locked="true" hidden="false"/>
    </xf>
    <xf numFmtId="176" fontId="33" fillId="0" borderId="2" xfId="0" applyFont="true" applyBorder="true" applyAlignment="false" applyProtection="false">
      <alignment horizontal="general" vertical="bottom" textRotation="0" wrapText="false" indent="0" shrinkToFit="false"/>
      <protection locked="true" hidden="false"/>
    </xf>
    <xf numFmtId="176" fontId="33" fillId="0" borderId="0" xfId="0" applyFont="true" applyBorder="true" applyAlignment="false" applyProtection="false">
      <alignment horizontal="general" vertical="bottom" textRotation="0" wrapText="false" indent="0" shrinkToFit="false"/>
      <protection locked="true" hidden="false"/>
    </xf>
    <xf numFmtId="176" fontId="33" fillId="0" borderId="10" xfId="0" applyFont="true" applyBorder="true" applyAlignment="false" applyProtection="false">
      <alignment horizontal="general" vertical="bottom" textRotation="0" wrapText="false" indent="0" shrinkToFit="false"/>
      <protection locked="true" hidden="false"/>
    </xf>
    <xf numFmtId="176" fontId="33" fillId="0" borderId="8" xfId="0" applyFont="true" applyBorder="true" applyAlignment="false" applyProtection="false">
      <alignment horizontal="general" vertical="bottom" textRotation="0" wrapText="false" indent="0" shrinkToFit="false"/>
      <protection locked="true" hidden="false"/>
    </xf>
    <xf numFmtId="176" fontId="25" fillId="0" borderId="2" xfId="0" applyFont="true" applyBorder="true" applyAlignment="false" applyProtection="false">
      <alignment horizontal="general" vertical="bottom" textRotation="0" wrapText="false" indent="0" shrinkToFit="false"/>
      <protection locked="true" hidden="false"/>
    </xf>
    <xf numFmtId="176" fontId="25" fillId="0" borderId="0" xfId="0" applyFont="true" applyBorder="true" applyAlignment="false" applyProtection="false">
      <alignment horizontal="general" vertical="bottom" textRotation="0" wrapText="false" indent="0" shrinkToFit="false"/>
      <protection locked="true" hidden="false"/>
    </xf>
    <xf numFmtId="176" fontId="33" fillId="0" borderId="1" xfId="0" applyFont="true" applyBorder="true" applyAlignment="false" applyProtection="false">
      <alignment horizontal="general" vertical="bottom" textRotation="0" wrapText="false" indent="0" shrinkToFit="false"/>
      <protection locked="true" hidden="false"/>
    </xf>
    <xf numFmtId="170" fontId="4" fillId="4" borderId="0" xfId="0" applyFont="true" applyBorder="true" applyAlignment="false" applyProtection="true">
      <alignment horizontal="general" vertical="bottom" textRotation="0" wrapText="false" indent="0" shrinkToFit="false"/>
      <protection locked="false" hidden="false"/>
    </xf>
    <xf numFmtId="170" fontId="4" fillId="4" borderId="1" xfId="0" applyFont="true" applyBorder="true" applyAlignment="false" applyProtection="true">
      <alignment horizontal="general" vertical="bottom" textRotation="0" wrapText="false" indent="0" shrinkToFit="false"/>
      <protection locked="false" hidden="false"/>
    </xf>
    <xf numFmtId="172" fontId="4" fillId="0" borderId="2" xfId="0" applyFont="true" applyBorder="true" applyAlignment="false" applyProtection="true">
      <alignment horizontal="general" vertical="bottom" textRotation="0" wrapText="false" indent="0" shrinkToFit="false"/>
      <protection locked="true" hidden="false"/>
    </xf>
    <xf numFmtId="170" fontId="4" fillId="4" borderId="9" xfId="0" applyFont="true" applyBorder="true" applyAlignment="false" applyProtection="true">
      <alignment horizontal="general" vertical="bottom" textRotation="0" wrapText="false" indent="0" shrinkToFit="false"/>
      <protection locked="false" hidden="false"/>
    </xf>
    <xf numFmtId="170" fontId="4" fillId="0" borderId="0" xfId="0" applyFont="true" applyBorder="true" applyAlignment="false" applyProtection="false">
      <alignment horizontal="general" vertical="bottom" textRotation="0" wrapText="false" indent="0" shrinkToFit="false"/>
      <protection locked="true" hidden="false"/>
    </xf>
    <xf numFmtId="176" fontId="25" fillId="0" borderId="0" xfId="0" applyFont="true" applyBorder="true" applyAlignment="false" applyProtection="false">
      <alignment horizontal="general" vertical="bottom" textRotation="0" wrapText="false" indent="0" shrinkToFit="false"/>
      <protection locked="true" hidden="false"/>
    </xf>
    <xf numFmtId="170" fontId="4" fillId="0" borderId="1" xfId="0" applyFont="true" applyBorder="true" applyAlignment="false" applyProtection="false">
      <alignment horizontal="general" vertical="bottom" textRotation="0" wrapText="false" indent="0" shrinkToFit="false"/>
      <protection locked="true" hidden="false"/>
    </xf>
    <xf numFmtId="172" fontId="25" fillId="0" borderId="2" xfId="0" applyFont="true" applyBorder="true" applyAlignment="false" applyProtection="false">
      <alignment horizontal="general" vertical="bottom" textRotation="0" wrapText="false" indent="0" shrinkToFit="false"/>
      <protection locked="true" hidden="false"/>
    </xf>
    <xf numFmtId="170" fontId="78" fillId="0" borderId="0" xfId="0" applyFont="true" applyBorder="true" applyAlignment="false" applyProtection="false">
      <alignment horizontal="general" vertical="bottom" textRotation="0" wrapText="false" indent="0" shrinkToFit="false"/>
      <protection locked="true" hidden="false"/>
    </xf>
    <xf numFmtId="172" fontId="4" fillId="0" borderId="2" xfId="0" applyFont="true" applyBorder="true" applyAlignment="false" applyProtection="false">
      <alignment horizontal="general" vertical="bottom" textRotation="0" wrapText="false" indent="0" shrinkToFit="false"/>
      <protection locked="true" hidden="false"/>
    </xf>
    <xf numFmtId="172" fontId="25" fillId="0" borderId="2" xfId="0" applyFont="true" applyBorder="true" applyAlignment="false" applyProtection="false">
      <alignment horizontal="general" vertical="bottom" textRotation="0" wrapText="false" indent="0" shrinkToFit="false"/>
      <protection locked="true" hidden="false"/>
    </xf>
    <xf numFmtId="172" fontId="25" fillId="0" borderId="0" xfId="0" applyFont="true" applyBorder="true" applyAlignment="false" applyProtection="false">
      <alignment horizontal="general" vertical="bottom" textRotation="0" wrapText="false" indent="0" shrinkToFit="false"/>
      <protection locked="true" hidden="false"/>
    </xf>
    <xf numFmtId="164" fontId="73" fillId="0" borderId="1" xfId="0" applyFont="true" applyBorder="true" applyAlignment="false" applyProtection="false">
      <alignment horizontal="general" vertical="bottom" textRotation="0" wrapText="false" indent="0" shrinkToFit="false"/>
      <protection locked="true" hidden="false"/>
    </xf>
    <xf numFmtId="172" fontId="29" fillId="0" borderId="10" xfId="0" applyFont="true" applyBorder="true" applyAlignment="false" applyProtection="false">
      <alignment horizontal="general" vertical="bottom" textRotation="0" wrapText="false" indent="0" shrinkToFit="false"/>
      <protection locked="true" hidden="false"/>
    </xf>
    <xf numFmtId="172" fontId="29" fillId="0" borderId="8" xfId="0" applyFont="true" applyBorder="true" applyAlignment="false" applyProtection="false">
      <alignment horizontal="general" vertical="bottom" textRotation="0" wrapText="false" indent="0" shrinkToFit="false"/>
      <protection locked="true" hidden="false"/>
    </xf>
    <xf numFmtId="164" fontId="29" fillId="3" borderId="0" xfId="0" applyFont="true" applyBorder="false" applyAlignment="false" applyProtection="false">
      <alignment horizontal="general" vertical="bottom" textRotation="0" wrapText="false" indent="0" shrinkToFit="false"/>
      <protection locked="true" hidden="false"/>
    </xf>
    <xf numFmtId="172" fontId="4" fillId="0" borderId="5" xfId="0" applyFont="true" applyBorder="true" applyAlignment="false" applyProtection="false">
      <alignment horizontal="general" vertical="bottom" textRotation="0" wrapText="false" indent="0" shrinkToFit="false"/>
      <protection locked="true" hidden="false"/>
    </xf>
    <xf numFmtId="170" fontId="4" fillId="4" borderId="0" xfId="19" applyFont="true" applyBorder="true" applyAlignment="true" applyProtection="true">
      <alignment horizontal="general" vertical="bottom" textRotation="0" wrapText="false" indent="0" shrinkToFit="false"/>
      <protection locked="false" hidden="false"/>
    </xf>
    <xf numFmtId="176" fontId="4" fillId="0" borderId="2" xfId="0" applyFont="true" applyBorder="true" applyAlignment="false" applyProtection="false">
      <alignment horizontal="general" vertical="bottom" textRotation="0" wrapText="false" indent="0" shrinkToFit="false"/>
      <protection locked="true" hidden="false"/>
    </xf>
    <xf numFmtId="176" fontId="4" fillId="0" borderId="0" xfId="0" applyFont="true" applyBorder="true" applyAlignment="false" applyProtection="false">
      <alignment horizontal="general" vertical="bottom" textRotation="0" wrapText="false" indent="0" shrinkToFit="false"/>
      <protection locked="true" hidden="false"/>
    </xf>
    <xf numFmtId="176" fontId="4" fillId="0" borderId="10" xfId="0" applyFont="true" applyBorder="true" applyAlignment="false" applyProtection="false">
      <alignment horizontal="general" vertical="bottom" textRotation="0" wrapText="false" indent="0" shrinkToFit="false"/>
      <protection locked="true" hidden="false"/>
    </xf>
    <xf numFmtId="176" fontId="4" fillId="0" borderId="8" xfId="0" applyFont="true" applyBorder="true" applyAlignment="false" applyProtection="false">
      <alignment horizontal="general" vertical="bottom" textRotation="0" wrapText="false" indent="0" shrinkToFit="false"/>
      <protection locked="true" hidden="false"/>
    </xf>
    <xf numFmtId="171" fontId="4" fillId="0" borderId="8" xfId="0" applyFont="true" applyBorder="true" applyAlignment="false" applyProtection="false">
      <alignment horizontal="general" vertical="bottom" textRotation="0" wrapText="false" indent="0" shrinkToFit="false"/>
      <protection locked="true" hidden="false"/>
    </xf>
    <xf numFmtId="176" fontId="4" fillId="5" borderId="0" xfId="15" applyFont="true" applyBorder="true" applyAlignment="true" applyProtection="true">
      <alignment horizontal="right" vertical="bottom" textRotation="0" wrapText="false" indent="0" shrinkToFit="false"/>
      <protection locked="true" hidden="false"/>
    </xf>
    <xf numFmtId="164" fontId="4" fillId="0" borderId="1" xfId="0" applyFont="true" applyBorder="true" applyAlignment="true" applyProtection="false">
      <alignment horizontal="right" vertical="bottom" textRotation="0" wrapText="false" indent="0" shrinkToFit="false"/>
      <protection locked="true" hidden="false"/>
    </xf>
    <xf numFmtId="176" fontId="4" fillId="5" borderId="2" xfId="15" applyFont="true" applyBorder="true" applyAlignment="true" applyProtection="true">
      <alignment horizontal="right" vertical="bottom" textRotation="0" wrapText="false" indent="0" shrinkToFit="false"/>
      <protection locked="true" hidden="false"/>
    </xf>
    <xf numFmtId="172" fontId="13" fillId="0" borderId="0" xfId="0" applyFont="true" applyBorder="true" applyAlignment="false" applyProtection="false">
      <alignment horizontal="general" vertical="bottom" textRotation="0" wrapText="false" indent="0" shrinkToFit="false"/>
      <protection locked="true" hidden="false"/>
    </xf>
    <xf numFmtId="176" fontId="4" fillId="5" borderId="2" xfId="0" applyFont="true" applyBorder="true" applyAlignment="false" applyProtection="false">
      <alignment horizontal="general" vertical="bottom" textRotation="0" wrapText="false" indent="0" shrinkToFit="false"/>
      <protection locked="true" hidden="false"/>
    </xf>
    <xf numFmtId="176" fontId="4" fillId="5" borderId="0" xfId="0" applyFont="true" applyBorder="false" applyAlignment="false" applyProtection="false">
      <alignment horizontal="general" vertical="bottom" textRotation="0" wrapText="false" indent="0" shrinkToFit="false"/>
      <protection locked="true" hidden="false"/>
    </xf>
    <xf numFmtId="176" fontId="4" fillId="5" borderId="10" xfId="15" applyFont="true" applyBorder="true" applyAlignment="true" applyProtection="true">
      <alignment horizontal="right" vertical="bottom" textRotation="0" wrapText="false" indent="0" shrinkToFit="false"/>
      <protection locked="true" hidden="false"/>
    </xf>
    <xf numFmtId="176" fontId="4" fillId="5" borderId="8" xfId="15" applyFont="true" applyBorder="true" applyAlignment="true" applyProtection="true">
      <alignment horizontal="right" vertical="bottom" textRotation="0" wrapText="false" indent="0" shrinkToFit="false"/>
      <protection locked="true" hidden="false"/>
    </xf>
    <xf numFmtId="176" fontId="4" fillId="5" borderId="2" xfId="0" applyFont="true" applyBorder="true" applyAlignment="true" applyProtection="false">
      <alignment horizontal="right" vertical="bottom" textRotation="0" wrapText="false" indent="0" shrinkToFit="false"/>
      <protection locked="true" hidden="false"/>
    </xf>
    <xf numFmtId="176" fontId="4" fillId="5" borderId="0" xfId="0" applyFont="true" applyBorder="true" applyAlignment="true" applyProtection="false">
      <alignment horizontal="right" vertical="bottom" textRotation="0" wrapText="false" indent="0" shrinkToFit="false"/>
      <protection locked="true" hidden="false"/>
    </xf>
    <xf numFmtId="164" fontId="34" fillId="0" borderId="2" xfId="0" applyFont="true" applyBorder="true" applyAlignment="false" applyProtection="false">
      <alignment horizontal="general" vertical="bottom" textRotation="0" wrapText="false" indent="0" shrinkToFit="false"/>
      <protection locked="true" hidden="false"/>
    </xf>
    <xf numFmtId="164" fontId="25" fillId="0" borderId="7" xfId="0" applyFont="true" applyBorder="true" applyAlignment="true" applyProtection="false">
      <alignment horizontal="right" vertical="bottom" textRotation="0" wrapText="false" indent="0" shrinkToFit="false"/>
      <protection locked="true" hidden="false"/>
    </xf>
    <xf numFmtId="164" fontId="25" fillId="0" borderId="8" xfId="0" applyFont="true" applyBorder="true" applyAlignment="false" applyProtection="false">
      <alignment horizontal="general" vertical="bottom" textRotation="0" wrapText="false" indent="0" shrinkToFit="false"/>
      <protection locked="true" hidden="false"/>
    </xf>
    <xf numFmtId="164" fontId="60" fillId="0" borderId="8" xfId="0" applyFont="true" applyBorder="true" applyAlignment="false" applyProtection="false">
      <alignment horizontal="general" vertical="bottom" textRotation="0" wrapText="false" indent="0" shrinkToFit="false"/>
      <protection locked="true" hidden="false"/>
    </xf>
    <xf numFmtId="164" fontId="60" fillId="0" borderId="8" xfId="0" applyFont="true" applyBorder="true" applyAlignment="false" applyProtection="false">
      <alignment horizontal="general" vertical="bottom" textRotation="0" wrapText="false" indent="0" shrinkToFit="false"/>
      <protection locked="true" hidden="false"/>
    </xf>
    <xf numFmtId="164" fontId="45" fillId="0" borderId="9" xfId="0" applyFont="true" applyBorder="true" applyAlignment="true" applyProtection="false">
      <alignment horizontal="general" vertical="bottom" textRotation="0" wrapText="false" indent="0" shrinkToFit="false"/>
      <protection locked="true" hidden="false"/>
    </xf>
    <xf numFmtId="164" fontId="4" fillId="0" borderId="8" xfId="0" applyFont="true" applyBorder="true" applyAlignment="true" applyProtection="false">
      <alignment horizontal="general" vertical="bottom" textRotation="0" wrapText="false" indent="0" shrinkToFit="false"/>
      <protection locked="true" hidden="false"/>
    </xf>
    <xf numFmtId="164" fontId="4" fillId="0" borderId="10" xfId="0" applyFont="true" applyBorder="true" applyAlignment="true" applyProtection="false">
      <alignment horizontal="general" vertical="bottom" textRotation="0" wrapText="false" indent="0" shrinkToFit="false"/>
      <protection locked="true" hidden="false"/>
    </xf>
    <xf numFmtId="164" fontId="79" fillId="5" borderId="13" xfId="0" applyFont="true" applyBorder="true" applyAlignment="false" applyProtection="false">
      <alignment horizontal="general" vertical="bottom" textRotation="0" wrapText="false" indent="0" shrinkToFit="false"/>
      <protection locked="true" hidden="false"/>
    </xf>
    <xf numFmtId="164" fontId="4" fillId="13"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left" vertical="bottom" textRotation="0" wrapText="false" indent="0" shrinkToFit="false"/>
      <protection locked="true" hidden="false"/>
    </xf>
    <xf numFmtId="177" fontId="4" fillId="0" borderId="0" xfId="0" applyFont="true" applyBorder="true" applyAlignment="false" applyProtection="false">
      <alignment horizontal="general" vertical="bottom" textRotation="0" wrapText="false" indent="0" shrinkToFit="false"/>
      <protection locked="true" hidden="false"/>
    </xf>
    <xf numFmtId="176" fontId="4" fillId="4" borderId="2" xfId="0" applyFont="true" applyBorder="true" applyAlignment="false" applyProtection="true">
      <alignment horizontal="general" vertical="bottom" textRotation="0" wrapText="false" indent="0" shrinkToFit="false"/>
      <protection locked="false" hidden="false"/>
    </xf>
    <xf numFmtId="177" fontId="4" fillId="4" borderId="0" xfId="0" applyFont="true" applyBorder="true" applyAlignment="false" applyProtection="true">
      <alignment horizontal="general" vertical="bottom" textRotation="0" wrapText="false" indent="0" shrinkToFit="false"/>
      <protection locked="false" hidden="false"/>
    </xf>
    <xf numFmtId="176" fontId="4" fillId="0" borderId="2" xfId="0" applyFont="true" applyBorder="true" applyAlignment="false" applyProtection="true">
      <alignment horizontal="general" vertical="bottom" textRotation="0" wrapText="false" indent="0" shrinkToFit="false"/>
      <protection locked="false" hidden="false"/>
    </xf>
    <xf numFmtId="177" fontId="33" fillId="0" borderId="0" xfId="0" applyFont="true" applyBorder="true" applyAlignment="false" applyProtection="true">
      <alignment horizontal="general" vertical="bottom" textRotation="0" wrapText="false" indent="0" shrinkToFit="false"/>
      <protection locked="false" hidden="false"/>
    </xf>
    <xf numFmtId="177" fontId="4" fillId="0" borderId="0" xfId="0" applyFont="true" applyBorder="true" applyAlignment="false" applyProtection="true">
      <alignment horizontal="general" vertical="bottom" textRotation="0" wrapText="false" indent="0" shrinkToFit="false"/>
      <protection locked="false" hidden="false"/>
    </xf>
    <xf numFmtId="177" fontId="33" fillId="4" borderId="2" xfId="19" applyFont="true" applyBorder="true" applyAlignment="true" applyProtection="true">
      <alignment horizontal="general" vertical="bottom" textRotation="0" wrapText="false" indent="0" shrinkToFit="false"/>
      <protection locked="false" hidden="false"/>
    </xf>
    <xf numFmtId="176" fontId="33" fillId="0" borderId="0" xfId="0" applyFont="true" applyBorder="true" applyAlignment="false" applyProtection="false">
      <alignment horizontal="general" vertical="bottom" textRotation="0" wrapText="false" indent="0" shrinkToFit="false"/>
      <protection locked="true" hidden="false"/>
    </xf>
    <xf numFmtId="171" fontId="33" fillId="0" borderId="2" xfId="19" applyFont="true" applyBorder="true" applyAlignment="true" applyProtection="true">
      <alignment horizontal="general" vertical="bottom" textRotation="0" wrapText="false" indent="0" shrinkToFit="false"/>
      <protection locked="true" hidden="false"/>
    </xf>
    <xf numFmtId="176" fontId="33" fillId="0" borderId="2" xfId="19" applyFont="true" applyBorder="true" applyAlignment="true" applyProtection="true">
      <alignment horizontal="general" vertical="bottom" textRotation="0" wrapText="false" indent="0" shrinkToFit="false"/>
      <protection locked="true" hidden="false"/>
    </xf>
    <xf numFmtId="176" fontId="33" fillId="0" borderId="0" xfId="19" applyFont="true" applyBorder="true" applyAlignment="true" applyProtection="true">
      <alignment horizontal="general" vertical="bottom" textRotation="0" wrapText="false" indent="0" shrinkToFit="false"/>
      <protection locked="true" hidden="false"/>
    </xf>
    <xf numFmtId="171" fontId="4" fillId="0" borderId="0" xfId="0" applyFont="true" applyBorder="true" applyAlignment="false" applyProtection="false">
      <alignment horizontal="general" vertical="bottom" textRotation="0" wrapText="false" indent="0" shrinkToFit="false"/>
      <protection locked="true" hidden="false"/>
    </xf>
    <xf numFmtId="176" fontId="4" fillId="0" borderId="2" xfId="0" applyFont="true" applyBorder="true" applyAlignment="true" applyProtection="false">
      <alignment horizontal="right" vertical="bottom" textRotation="0" wrapText="false" indent="0" shrinkToFit="false"/>
      <protection locked="true" hidden="false"/>
    </xf>
    <xf numFmtId="176" fontId="4" fillId="0" borderId="0" xfId="0" applyFont="true" applyBorder="true" applyAlignment="true" applyProtection="false">
      <alignment horizontal="right" vertical="bottom" textRotation="0" wrapText="false" indent="0" shrinkToFit="false"/>
      <protection locked="true" hidden="false"/>
    </xf>
    <xf numFmtId="164" fontId="4" fillId="5" borderId="14" xfId="0" applyFont="true" applyBorder="true" applyAlignment="true" applyProtection="false">
      <alignment horizontal="general" vertical="bottom" textRotation="0" wrapText="false" indent="0" shrinkToFit="false"/>
      <protection locked="true" hidden="false"/>
    </xf>
    <xf numFmtId="164" fontId="4" fillId="5" borderId="15" xfId="0" applyFont="true" applyBorder="true" applyAlignment="true" applyProtection="false">
      <alignment horizontal="general" vertical="bottom" textRotation="0" wrapText="false" indent="0" shrinkToFit="false"/>
      <protection locked="true" hidden="false"/>
    </xf>
    <xf numFmtId="176" fontId="4" fillId="0" borderId="10" xfId="0" applyFont="true" applyBorder="true" applyAlignment="false" applyProtection="false">
      <alignment horizontal="general" vertical="bottom" textRotation="0" wrapText="false" indent="0" shrinkToFit="false"/>
      <protection locked="true" hidden="false"/>
    </xf>
    <xf numFmtId="176" fontId="4" fillId="0" borderId="8" xfId="0" applyFont="true" applyBorder="true" applyAlignment="false" applyProtection="false">
      <alignment horizontal="general" vertical="bottom" textRotation="0" wrapText="false" indent="0" shrinkToFit="false"/>
      <protection locked="true" hidden="false"/>
    </xf>
    <xf numFmtId="171" fontId="25" fillId="0" borderId="0" xfId="0" applyFont="true" applyBorder="true" applyAlignment="false" applyProtection="false">
      <alignment horizontal="general" vertical="bottom" textRotation="0" wrapText="false" indent="0" shrinkToFit="false"/>
      <protection locked="true" hidden="false"/>
    </xf>
    <xf numFmtId="176" fontId="25" fillId="0" borderId="2" xfId="0" applyFont="true" applyBorder="true" applyAlignment="true" applyProtection="false">
      <alignment horizontal="right" vertical="bottom" textRotation="0" wrapText="false" indent="0" shrinkToFit="false"/>
      <protection locked="true" hidden="false"/>
    </xf>
    <xf numFmtId="176" fontId="25" fillId="0" borderId="0" xfId="0" applyFont="true" applyBorder="true" applyAlignment="true" applyProtection="false">
      <alignment horizontal="right" vertical="bottom" textRotation="0" wrapText="false" indent="0" shrinkToFit="false"/>
      <protection locked="true" hidden="false"/>
    </xf>
    <xf numFmtId="176" fontId="60" fillId="0" borderId="0" xfId="0" applyFont="true" applyBorder="true" applyAlignment="false" applyProtection="false">
      <alignment horizontal="general" vertical="bottom" textRotation="0" wrapText="false" indent="0" shrinkToFit="false"/>
      <protection locked="true" hidden="false"/>
    </xf>
    <xf numFmtId="176" fontId="60" fillId="0" borderId="0" xfId="0" applyFont="true" applyBorder="true" applyAlignment="false" applyProtection="false">
      <alignment horizontal="general" vertical="bottom" textRotation="0" wrapText="false" indent="0" shrinkToFit="false"/>
      <protection locked="true" hidden="false"/>
    </xf>
    <xf numFmtId="171" fontId="25" fillId="0" borderId="8" xfId="0" applyFont="true" applyBorder="true" applyAlignment="false" applyProtection="false">
      <alignment horizontal="general" vertical="bottom" textRotation="0" wrapText="false" indent="0" shrinkToFit="false"/>
      <protection locked="true" hidden="false"/>
    </xf>
    <xf numFmtId="176" fontId="25" fillId="0" borderId="10" xfId="0" applyFont="true" applyBorder="true" applyAlignment="true" applyProtection="false">
      <alignment horizontal="right" vertical="bottom" textRotation="0" wrapText="false" indent="0" shrinkToFit="false"/>
      <protection locked="true" hidden="false"/>
    </xf>
    <xf numFmtId="176" fontId="25" fillId="0" borderId="8" xfId="0" applyFont="true" applyBorder="true" applyAlignment="false" applyProtection="false">
      <alignment horizontal="general" vertical="bottom" textRotation="0" wrapText="false" indent="0" shrinkToFit="false"/>
      <protection locked="true" hidden="false"/>
    </xf>
    <xf numFmtId="176" fontId="25" fillId="0" borderId="8" xfId="0" applyFont="true" applyBorder="true" applyAlignment="true" applyProtection="false">
      <alignment horizontal="right" vertical="bottom" textRotation="0" wrapText="false" indent="0" shrinkToFit="false"/>
      <protection locked="true" hidden="false"/>
    </xf>
    <xf numFmtId="176" fontId="60" fillId="0" borderId="8" xfId="0" applyFont="true" applyBorder="true" applyAlignment="false" applyProtection="false">
      <alignment horizontal="general" vertical="bottom" textRotation="0" wrapText="false" indent="0" shrinkToFit="false"/>
      <protection locked="true" hidden="false"/>
    </xf>
    <xf numFmtId="176" fontId="60" fillId="0" borderId="8" xfId="0" applyFont="true" applyBorder="true" applyAlignment="false" applyProtection="false">
      <alignment horizontal="general" vertical="bottom" textRotation="0" wrapText="false" indent="0" shrinkToFit="false"/>
      <protection locked="true" hidden="false"/>
    </xf>
    <xf numFmtId="171" fontId="45" fillId="0" borderId="0" xfId="0" applyFont="true" applyBorder="true" applyAlignment="false" applyProtection="false">
      <alignment horizontal="general" vertical="bottom" textRotation="0" wrapText="false" indent="0" shrinkToFit="false"/>
      <protection locked="true" hidden="false"/>
    </xf>
    <xf numFmtId="176" fontId="45" fillId="0" borderId="0" xfId="0" applyFont="true" applyBorder="true" applyAlignment="true" applyProtection="false">
      <alignment horizontal="right" vertical="bottom" textRotation="0" wrapText="false" indent="0" shrinkToFit="false"/>
      <protection locked="true" hidden="false"/>
    </xf>
    <xf numFmtId="176" fontId="45" fillId="0" borderId="0" xfId="0" applyFont="true" applyBorder="true" applyAlignment="false" applyProtection="false">
      <alignment horizontal="general" vertical="bottom" textRotation="0" wrapText="false" indent="0" shrinkToFit="false"/>
      <protection locked="true" hidden="false"/>
    </xf>
    <xf numFmtId="176" fontId="80" fillId="0" borderId="0" xfId="0" applyFont="true" applyBorder="true" applyAlignment="false" applyProtection="false">
      <alignment horizontal="general" vertical="bottom" textRotation="0" wrapText="false" indent="0" shrinkToFit="false"/>
      <protection locked="true" hidden="false"/>
    </xf>
    <xf numFmtId="176" fontId="80" fillId="0" borderId="0" xfId="0" applyFont="true" applyBorder="true" applyAlignment="false" applyProtection="false">
      <alignment horizontal="general"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71" fontId="25" fillId="0" borderId="14" xfId="0" applyFont="true" applyBorder="true" applyAlignment="false" applyProtection="false">
      <alignment horizontal="general" vertical="bottom" textRotation="0" wrapText="false" indent="0" shrinkToFit="false"/>
      <protection locked="true" hidden="false"/>
    </xf>
    <xf numFmtId="176" fontId="25" fillId="0" borderId="14" xfId="0" applyFont="true" applyBorder="true" applyAlignment="true" applyProtection="false">
      <alignment horizontal="right" vertical="bottom" textRotation="0" wrapText="false" indent="0" shrinkToFit="false"/>
      <protection locked="true" hidden="false"/>
    </xf>
    <xf numFmtId="176" fontId="25" fillId="0" borderId="14" xfId="0" applyFont="true" applyBorder="true" applyAlignment="false" applyProtection="false">
      <alignment horizontal="general" vertical="bottom" textRotation="0" wrapText="false" indent="0" shrinkToFit="false"/>
      <protection locked="true" hidden="false"/>
    </xf>
    <xf numFmtId="176" fontId="60" fillId="0" borderId="14" xfId="0" applyFont="true" applyBorder="true" applyAlignment="false" applyProtection="false">
      <alignment horizontal="general" vertical="bottom" textRotation="0" wrapText="false" indent="0" shrinkToFit="false"/>
      <protection locked="true" hidden="false"/>
    </xf>
    <xf numFmtId="176" fontId="60" fillId="0" borderId="14" xfId="0" applyFont="true" applyBorder="true" applyAlignment="false" applyProtection="false">
      <alignment horizontal="general" vertical="bottom" textRotation="0" wrapText="false" indent="0" shrinkToFit="false"/>
      <protection locked="true" hidden="false"/>
    </xf>
    <xf numFmtId="176" fontId="25" fillId="0" borderId="15" xfId="0" applyFont="true" applyBorder="true" applyAlignment="true" applyProtection="false">
      <alignment horizontal="right" vertical="bottom" textRotation="0" wrapText="false" indent="0" shrinkToFit="false"/>
      <protection locked="true" hidden="false"/>
    </xf>
    <xf numFmtId="171" fontId="25" fillId="5" borderId="14" xfId="0" applyFont="true" applyBorder="true" applyAlignment="false" applyProtection="false">
      <alignment horizontal="general" vertical="bottom" textRotation="0" wrapText="false" indent="0" shrinkToFit="false"/>
      <protection locked="true" hidden="false"/>
    </xf>
    <xf numFmtId="176" fontId="25" fillId="5" borderId="14" xfId="0" applyFont="true" applyBorder="true" applyAlignment="true" applyProtection="false">
      <alignment horizontal="right" vertical="bottom" textRotation="0" wrapText="false" indent="0" shrinkToFit="false"/>
      <protection locked="true" hidden="false"/>
    </xf>
    <xf numFmtId="176" fontId="25" fillId="5" borderId="14" xfId="0" applyFont="true" applyBorder="true" applyAlignment="false" applyProtection="false">
      <alignment horizontal="general" vertical="bottom" textRotation="0" wrapText="false" indent="0" shrinkToFit="false"/>
      <protection locked="true" hidden="false"/>
    </xf>
    <xf numFmtId="176" fontId="60" fillId="5" borderId="14" xfId="0" applyFont="true" applyBorder="true" applyAlignment="false" applyProtection="false">
      <alignment horizontal="general" vertical="bottom" textRotation="0" wrapText="false" indent="0" shrinkToFit="false"/>
      <protection locked="true" hidden="false"/>
    </xf>
    <xf numFmtId="176" fontId="25" fillId="5" borderId="15" xfId="0" applyFont="true" applyBorder="true" applyAlignment="true" applyProtection="false">
      <alignment horizontal="right" vertical="bottom" textRotation="0" wrapText="false" indent="0" shrinkToFit="false"/>
      <protection locked="true" hidden="false"/>
    </xf>
    <xf numFmtId="176" fontId="4" fillId="0" borderId="0" xfId="0" applyFont="true" applyBorder="true" applyAlignment="false" applyProtection="true">
      <alignment horizontal="general" vertical="bottom" textRotation="0" wrapText="false" indent="0" shrinkToFit="false"/>
      <protection locked="true" hidden="false"/>
    </xf>
    <xf numFmtId="176" fontId="4" fillId="4" borderId="0" xfId="0" applyFont="true" applyBorder="true" applyAlignment="false" applyProtection="true">
      <alignment horizontal="general" vertical="bottom" textRotation="0" wrapText="false" indent="0" shrinkToFit="false"/>
      <protection locked="false" hidden="false"/>
    </xf>
    <xf numFmtId="176" fontId="25" fillId="0" borderId="10" xfId="0" applyFont="true" applyBorder="true" applyAlignment="false" applyProtection="false">
      <alignment horizontal="general" vertical="bottom" textRotation="0" wrapText="false" indent="0" shrinkToFit="false"/>
      <protection locked="true" hidden="false"/>
    </xf>
    <xf numFmtId="176" fontId="25" fillId="0" borderId="2" xfId="0" applyFont="true" applyBorder="true" applyAlignment="false" applyProtection="true">
      <alignment horizontal="general" vertical="bottom" textRotation="0" wrapText="false" indent="0" shrinkToFit="false"/>
      <protection locked="true" hidden="false"/>
    </xf>
    <xf numFmtId="176" fontId="25" fillId="0" borderId="0" xfId="0" applyFont="true" applyBorder="true" applyAlignment="false" applyProtection="true">
      <alignment horizontal="general" vertical="bottom" textRotation="0" wrapText="false" indent="0" shrinkToFit="false"/>
      <protection locked="true" hidden="false"/>
    </xf>
    <xf numFmtId="176" fontId="25" fillId="0" borderId="4" xfId="0" applyFont="true" applyBorder="true" applyAlignment="false" applyProtection="true">
      <alignment horizontal="general" vertical="bottom" textRotation="0" wrapText="false" indent="0" shrinkToFit="false"/>
      <protection locked="true" hidden="false"/>
    </xf>
    <xf numFmtId="176" fontId="25" fillId="0" borderId="10" xfId="0" applyFont="true" applyBorder="true" applyAlignment="false" applyProtection="true">
      <alignment horizontal="general" vertical="bottom" textRotation="0" wrapText="false" indent="0" shrinkToFit="false"/>
      <protection locked="true" hidden="false"/>
    </xf>
    <xf numFmtId="164" fontId="25" fillId="0" borderId="8" xfId="0" applyFont="true" applyBorder="true" applyAlignment="false" applyProtection="true">
      <alignment horizontal="general" vertical="bottom" textRotation="0" wrapText="false" indent="0" shrinkToFit="false"/>
      <protection locked="true" hidden="false"/>
    </xf>
    <xf numFmtId="176" fontId="25" fillId="0" borderId="8" xfId="0" applyFont="true" applyBorder="true" applyAlignment="false" applyProtection="true">
      <alignment horizontal="general" vertical="bottom" textRotation="0" wrapText="false" indent="0" shrinkToFit="false"/>
      <protection locked="true" hidden="false"/>
    </xf>
    <xf numFmtId="164" fontId="45" fillId="0" borderId="3" xfId="0" applyFont="true" applyBorder="true" applyAlignment="false" applyProtection="false">
      <alignment horizontal="general" vertical="bottom" textRotation="0" wrapText="false" indent="0" shrinkToFit="false"/>
      <protection locked="true" hidden="false"/>
    </xf>
    <xf numFmtId="171" fontId="25" fillId="0" borderId="4" xfId="0" applyFont="true" applyBorder="true" applyAlignment="false" applyProtection="false">
      <alignment horizontal="general" vertical="bottom" textRotation="0" wrapText="false" indent="0" shrinkToFit="false"/>
      <protection locked="true" hidden="false"/>
    </xf>
    <xf numFmtId="176" fontId="25" fillId="0" borderId="5" xfId="0" applyFont="true" applyBorder="true" applyAlignment="true" applyProtection="false">
      <alignment horizontal="right" vertical="bottom" textRotation="0" wrapText="false" indent="0" shrinkToFit="false"/>
      <protection locked="true" hidden="false"/>
    </xf>
    <xf numFmtId="176" fontId="25" fillId="0" borderId="4" xfId="0" applyFont="true" applyBorder="true" applyAlignment="false" applyProtection="false">
      <alignment horizontal="general" vertical="bottom" textRotation="0" wrapText="false" indent="0" shrinkToFit="false"/>
      <protection locked="true" hidden="false"/>
    </xf>
    <xf numFmtId="176" fontId="25" fillId="0" borderId="4" xfId="0" applyFont="true" applyBorder="true" applyAlignment="true" applyProtection="false">
      <alignment horizontal="right" vertical="bottom" textRotation="0" wrapText="false" indent="0" shrinkToFit="false"/>
      <protection locked="true" hidden="false"/>
    </xf>
    <xf numFmtId="176" fontId="60" fillId="0" borderId="4" xfId="0" applyFont="true" applyBorder="true" applyAlignment="false" applyProtection="false">
      <alignment horizontal="general" vertical="bottom" textRotation="0" wrapText="false" indent="0" shrinkToFit="false"/>
      <protection locked="true" hidden="false"/>
    </xf>
    <xf numFmtId="176" fontId="60" fillId="0" borderId="4" xfId="0" applyFont="true" applyBorder="true" applyAlignment="false" applyProtection="false">
      <alignment horizontal="general" vertical="bottom" textRotation="0" wrapText="false" indent="0" shrinkToFit="false"/>
      <protection locked="true" hidden="false"/>
    </xf>
    <xf numFmtId="164" fontId="76" fillId="0" borderId="0" xfId="0" applyFont="true" applyBorder="true" applyAlignment="false" applyProtection="false">
      <alignment horizontal="general" vertical="bottom" textRotation="0" wrapText="false" indent="0" shrinkToFit="false"/>
      <protection locked="true" hidden="false"/>
    </xf>
    <xf numFmtId="176" fontId="4" fillId="4" borderId="10" xfId="0" applyFont="true" applyBorder="true" applyAlignment="false" applyProtection="true">
      <alignment horizontal="general" vertical="bottom" textRotation="0" wrapText="false" indent="0" shrinkToFit="false"/>
      <protection locked="false" hidden="false"/>
    </xf>
    <xf numFmtId="176" fontId="4" fillId="4" borderId="8" xfId="0" applyFont="true" applyBorder="true" applyAlignment="false" applyProtection="true">
      <alignment horizontal="general" vertical="bottom" textRotation="0" wrapText="false" indent="0" shrinkToFit="false"/>
      <protection locked="false" hidden="false"/>
    </xf>
    <xf numFmtId="176" fontId="25" fillId="0" borderId="2" xfId="0" applyFont="true" applyBorder="true" applyAlignment="false" applyProtection="false">
      <alignment horizontal="general" vertical="bottom" textRotation="0" wrapText="false" indent="0" shrinkToFit="false"/>
      <protection locked="true" hidden="false"/>
    </xf>
    <xf numFmtId="176" fontId="25" fillId="0" borderId="0" xfId="0" applyFont="true" applyBorder="true" applyAlignment="false" applyProtection="true">
      <alignment horizontal="general" vertical="bottom" textRotation="0" wrapText="false" indent="0" shrinkToFit="false"/>
      <protection locked="true" hidden="false"/>
    </xf>
    <xf numFmtId="176" fontId="25" fillId="0" borderId="0" xfId="0" applyFont="true" applyBorder="false" applyAlignment="false" applyProtection="tru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64" fontId="25" fillId="0" borderId="8" xfId="0" applyFont="true" applyBorder="true" applyAlignment="false" applyProtection="false">
      <alignment horizontal="general" vertical="bottom" textRotation="0" wrapText="false" indent="0" shrinkToFit="false"/>
      <protection locked="true" hidden="false"/>
    </xf>
    <xf numFmtId="176" fontId="25" fillId="0" borderId="10" xfId="0" applyFont="true" applyBorder="true" applyAlignment="false" applyProtection="false">
      <alignment horizontal="general" vertical="bottom" textRotation="0" wrapText="false" indent="0" shrinkToFit="false"/>
      <protection locked="true" hidden="false"/>
    </xf>
    <xf numFmtId="176" fontId="25" fillId="0" borderId="8" xfId="0" applyFont="true" applyBorder="true" applyAlignment="false" applyProtection="true">
      <alignment horizontal="general" vertical="bottom" textRotation="0" wrapText="false" indent="0" shrinkToFit="false"/>
      <protection locked="true" hidden="false"/>
    </xf>
    <xf numFmtId="176" fontId="25" fillId="0" borderId="8" xfId="0" applyFont="true" applyBorder="true" applyAlignment="false" applyProtection="false">
      <alignment horizontal="general" vertical="bottom" textRotation="0" wrapText="false" indent="0" shrinkToFit="false"/>
      <protection locked="true" hidden="false"/>
    </xf>
    <xf numFmtId="164" fontId="4" fillId="6" borderId="23" xfId="0" applyFont="true" applyBorder="true" applyAlignment="false" applyProtection="false">
      <alignment horizontal="general" vertical="bottom" textRotation="0" wrapText="false" indent="0" shrinkToFit="false"/>
      <protection locked="true" hidden="false"/>
    </xf>
    <xf numFmtId="164" fontId="4" fillId="6" borderId="24" xfId="0" applyFont="true" applyBorder="true" applyAlignment="false" applyProtection="false">
      <alignment horizontal="general" vertical="bottom" textRotation="0" wrapText="false" indent="0" shrinkToFit="false"/>
      <protection locked="true" hidden="false"/>
    </xf>
    <xf numFmtId="176" fontId="4" fillId="6" borderId="30" xfId="0" applyFont="true" applyBorder="true" applyAlignment="false" applyProtection="false">
      <alignment horizontal="general" vertical="bottom" textRotation="0" wrapText="false" indent="0" shrinkToFit="false"/>
      <protection locked="true" hidden="false"/>
    </xf>
    <xf numFmtId="176" fontId="4" fillId="6" borderId="24" xfId="0" applyFont="true" applyBorder="true" applyAlignment="false" applyProtection="false">
      <alignment horizontal="general" vertical="bottom" textRotation="0" wrapText="false" indent="0" shrinkToFit="false"/>
      <protection locked="true" hidden="false"/>
    </xf>
    <xf numFmtId="176" fontId="4" fillId="6" borderId="25" xfId="0" applyFont="true" applyBorder="true" applyAlignment="false" applyProtection="false">
      <alignment horizontal="general" vertical="bottom" textRotation="0" wrapText="false" indent="0" shrinkToFit="false"/>
      <protection locked="true" hidden="false"/>
    </xf>
    <xf numFmtId="164" fontId="79" fillId="6" borderId="26" xfId="0" applyFont="true" applyBorder="true" applyAlignment="false" applyProtection="false">
      <alignment horizontal="general" vertical="bottom" textRotation="0" wrapText="false" indent="0" shrinkToFit="false"/>
      <protection locked="true" hidden="false"/>
    </xf>
    <xf numFmtId="164" fontId="81" fillId="6" borderId="0" xfId="0" applyFont="true" applyBorder="true" applyAlignment="false" applyProtection="false">
      <alignment horizontal="general" vertical="bottom" textRotation="0" wrapText="false" indent="0" shrinkToFit="false"/>
      <protection locked="true" hidden="false"/>
    </xf>
    <xf numFmtId="176" fontId="25" fillId="6" borderId="2" xfId="0" applyFont="true" applyBorder="true" applyAlignment="false" applyProtection="false">
      <alignment horizontal="general" vertical="bottom" textRotation="0" wrapText="false" indent="0" shrinkToFit="false"/>
      <protection locked="true" hidden="false"/>
    </xf>
    <xf numFmtId="176" fontId="25" fillId="6" borderId="0" xfId="0" applyFont="true" applyBorder="false" applyAlignment="false" applyProtection="false">
      <alignment horizontal="general" vertical="bottom" textRotation="0" wrapText="false" indent="0" shrinkToFit="false"/>
      <protection locked="true" hidden="false"/>
    </xf>
    <xf numFmtId="176" fontId="25" fillId="6" borderId="19" xfId="0" applyFont="true" applyBorder="true" applyAlignment="false" applyProtection="false">
      <alignment horizontal="general" vertical="bottom" textRotation="0" wrapText="false" indent="0" shrinkToFit="false"/>
      <protection locked="true" hidden="false"/>
    </xf>
    <xf numFmtId="164" fontId="25" fillId="6" borderId="27" xfId="0" applyFont="true" applyBorder="true" applyAlignment="false" applyProtection="false">
      <alignment horizontal="general" vertical="bottom" textRotation="0" wrapText="false" indent="0" shrinkToFit="false"/>
      <protection locked="true" hidden="false"/>
    </xf>
    <xf numFmtId="164" fontId="4" fillId="6" borderId="28" xfId="0" applyFont="true" applyBorder="true" applyAlignment="false" applyProtection="false">
      <alignment horizontal="general" vertical="bottom" textRotation="0" wrapText="false" indent="0" shrinkToFit="false"/>
      <protection locked="true" hidden="false"/>
    </xf>
    <xf numFmtId="176" fontId="25" fillId="6" borderId="31" xfId="0" applyFont="true" applyBorder="true" applyAlignment="false" applyProtection="false">
      <alignment horizontal="general" vertical="bottom" textRotation="0" wrapText="false" indent="0" shrinkToFit="false"/>
      <protection locked="true" hidden="false"/>
    </xf>
    <xf numFmtId="176" fontId="25" fillId="6" borderId="28" xfId="0" applyFont="true" applyBorder="true" applyAlignment="false" applyProtection="false">
      <alignment horizontal="general" vertical="bottom" textRotation="0" wrapText="false" indent="0" shrinkToFit="false"/>
      <protection locked="true" hidden="false"/>
    </xf>
    <xf numFmtId="176" fontId="25" fillId="6" borderId="29" xfId="0" applyFont="true" applyBorder="true" applyAlignment="false" applyProtection="false">
      <alignment horizontal="general" vertical="bottom" textRotation="0" wrapText="false" indent="0" shrinkToFit="false"/>
      <protection locked="true" hidden="false"/>
    </xf>
    <xf numFmtId="164" fontId="81" fillId="0" borderId="0" xfId="0" applyFont="true" applyBorder="false" applyAlignment="false" applyProtection="false">
      <alignment horizontal="general" vertical="bottom" textRotation="0" wrapText="false" indent="0" shrinkToFit="false"/>
      <protection locked="true" hidden="false"/>
    </xf>
    <xf numFmtId="164" fontId="81" fillId="6" borderId="0" xfId="0" applyFont="true" applyBorder="false" applyAlignment="false" applyProtection="false">
      <alignment horizontal="general" vertical="bottom" textRotation="0" wrapText="false" indent="0" shrinkToFit="false"/>
      <protection locked="true" hidden="false"/>
    </xf>
    <xf numFmtId="164" fontId="45" fillId="5" borderId="32" xfId="0" applyFont="true" applyBorder="true" applyAlignment="true" applyProtection="false">
      <alignment horizontal="general" vertical="bottom" textRotation="0" wrapText="false" indent="0" shrinkToFit="false"/>
      <protection locked="true" hidden="false"/>
    </xf>
    <xf numFmtId="164" fontId="4" fillId="5" borderId="33" xfId="0" applyFont="true" applyBorder="true" applyAlignment="true" applyProtection="false">
      <alignment horizontal="general" vertical="bottom" textRotation="0" wrapText="false" indent="0" shrinkToFit="false"/>
      <protection locked="true" hidden="false"/>
    </xf>
    <xf numFmtId="164" fontId="4" fillId="5" borderId="34" xfId="0" applyFont="true" applyBorder="true" applyAlignment="true" applyProtection="false">
      <alignment horizontal="general" vertical="bottom" textRotation="0" wrapText="false" indent="0" shrinkToFit="false"/>
      <protection locked="true" hidden="false"/>
    </xf>
    <xf numFmtId="164" fontId="4" fillId="0" borderId="26" xfId="0" applyFont="true" applyBorder="true" applyAlignment="true" applyProtection="false">
      <alignment horizontal="general" vertical="bottom" textRotation="0" wrapText="false" indent="0" shrinkToFit="false"/>
      <protection locked="true" hidden="false"/>
    </xf>
    <xf numFmtId="164" fontId="4" fillId="0" borderId="30"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true" applyProtection="false">
      <alignment horizontal="general" vertical="bottom" textRotation="0" wrapText="false" indent="0" shrinkToFit="false"/>
      <protection locked="true" hidden="false"/>
    </xf>
    <xf numFmtId="164" fontId="4" fillId="0" borderId="26" xfId="0" applyFont="true" applyBorder="true" applyAlignment="false" applyProtection="false">
      <alignment horizontal="general" vertical="bottom" textRotation="0" wrapText="false" indent="0" shrinkToFit="false"/>
      <protection locked="true" hidden="false"/>
    </xf>
    <xf numFmtId="164" fontId="4" fillId="4" borderId="2" xfId="0" applyFont="true" applyBorder="true" applyAlignment="false" applyProtection="true">
      <alignment horizontal="general" vertical="bottom" textRotation="0" wrapText="false" indent="0" shrinkToFit="false"/>
      <protection locked="false" hidden="false"/>
    </xf>
    <xf numFmtId="164" fontId="4" fillId="4" borderId="0" xfId="0" applyFont="true" applyBorder="true" applyAlignment="false" applyProtection="true">
      <alignment horizontal="general" vertical="bottom" textRotation="0" wrapText="false" indent="0" shrinkToFit="false"/>
      <protection locked="false" hidden="false"/>
    </xf>
    <xf numFmtId="164" fontId="4" fillId="4" borderId="19" xfId="0" applyFont="true" applyBorder="true" applyAlignment="false" applyProtection="true">
      <alignment horizontal="general" vertical="bottom" textRotation="0" wrapText="false" indent="0" shrinkToFit="false"/>
      <protection locked="false" hidden="false"/>
    </xf>
    <xf numFmtId="183" fontId="4" fillId="0" borderId="2" xfId="0" applyFont="true" applyBorder="true" applyAlignment="false" applyProtection="false">
      <alignment horizontal="general" vertical="bottom" textRotation="0" wrapText="false" indent="0" shrinkToFit="false"/>
      <protection locked="true" hidden="false"/>
    </xf>
    <xf numFmtId="183" fontId="4" fillId="0" borderId="0" xfId="0" applyFont="true" applyBorder="true" applyAlignment="false" applyProtection="true">
      <alignment horizontal="general" vertical="bottom" textRotation="0" wrapText="false" indent="0" shrinkToFit="false"/>
      <protection locked="true" hidden="false"/>
    </xf>
    <xf numFmtId="183" fontId="4" fillId="0" borderId="0" xfId="0" applyFont="true" applyBorder="true" applyAlignment="false" applyProtection="false">
      <alignment horizontal="general" vertical="bottom" textRotation="0" wrapText="false" indent="0" shrinkToFit="false"/>
      <protection locked="true" hidden="false"/>
    </xf>
    <xf numFmtId="183" fontId="4" fillId="0" borderId="19" xfId="0" applyFont="true" applyBorder="true" applyAlignment="false" applyProtection="false">
      <alignment horizontal="general" vertical="bottom" textRotation="0" wrapText="false" indent="0" shrinkToFit="false"/>
      <protection locked="true" hidden="false"/>
    </xf>
    <xf numFmtId="183" fontId="4" fillId="4" borderId="2" xfId="0" applyFont="true" applyBorder="true" applyAlignment="false" applyProtection="true">
      <alignment horizontal="general" vertical="bottom" textRotation="0" wrapText="false" indent="0" shrinkToFit="false"/>
      <protection locked="false" hidden="false"/>
    </xf>
    <xf numFmtId="183" fontId="4" fillId="4" borderId="0" xfId="0" applyFont="true" applyBorder="true" applyAlignment="false" applyProtection="true">
      <alignment horizontal="general" vertical="bottom" textRotation="0" wrapText="false" indent="0" shrinkToFit="false"/>
      <protection locked="false" hidden="false"/>
    </xf>
    <xf numFmtId="183" fontId="4" fillId="4" borderId="19" xfId="0" applyFont="true" applyBorder="true" applyAlignment="false" applyProtection="true">
      <alignment horizontal="general" vertical="bottom" textRotation="0" wrapText="false" indent="0" shrinkToFit="false"/>
      <protection locked="false" hidden="false"/>
    </xf>
    <xf numFmtId="184" fontId="4" fillId="0" borderId="0" xfId="0" applyFont="true" applyBorder="true" applyAlignment="false" applyProtection="true">
      <alignment horizontal="general" vertical="bottom" textRotation="0" wrapText="false" indent="0" shrinkToFit="false"/>
      <protection locked="true" hidden="false"/>
    </xf>
    <xf numFmtId="183" fontId="4" fillId="4" borderId="10" xfId="0" applyFont="true" applyBorder="true" applyAlignment="false" applyProtection="true">
      <alignment horizontal="general" vertical="bottom" textRotation="0" wrapText="false" indent="0" shrinkToFit="false"/>
      <protection locked="false" hidden="false"/>
    </xf>
    <xf numFmtId="183" fontId="4" fillId="4" borderId="20" xfId="0" applyFont="true" applyBorder="true" applyAlignment="false" applyProtection="true">
      <alignment horizontal="general" vertical="bottom" textRotation="0" wrapText="false" indent="0" shrinkToFit="false"/>
      <protection locked="false" hidden="false"/>
    </xf>
    <xf numFmtId="164" fontId="25" fillId="0" borderId="26" xfId="0" applyFont="true" applyBorder="true" applyAlignment="false" applyProtection="false">
      <alignment horizontal="general" vertical="bottom" textRotation="0" wrapText="false" indent="0" shrinkToFit="false"/>
      <protection locked="true" hidden="false"/>
    </xf>
    <xf numFmtId="183" fontId="25" fillId="0" borderId="7" xfId="0" applyFont="true" applyBorder="true" applyAlignment="false" applyProtection="false">
      <alignment horizontal="general" vertical="bottom" textRotation="0" wrapText="false" indent="0" shrinkToFit="false"/>
      <protection locked="true" hidden="false"/>
    </xf>
    <xf numFmtId="184" fontId="25" fillId="0" borderId="0" xfId="0" applyFont="true" applyBorder="true" applyAlignment="false" applyProtection="true">
      <alignment horizontal="general" vertical="bottom" textRotation="0" wrapText="false" indent="0" shrinkToFit="false"/>
      <protection locked="true" hidden="false"/>
    </xf>
    <xf numFmtId="183" fontId="25" fillId="0" borderId="35" xfId="0" applyFont="true" applyBorder="true" applyAlignment="false" applyProtection="false">
      <alignment horizontal="general" vertical="bottom" textRotation="0" wrapText="false" indent="0" shrinkToFit="false"/>
      <protection locked="true" hidden="false"/>
    </xf>
    <xf numFmtId="164" fontId="4" fillId="0" borderId="27" xfId="0" applyFont="true" applyBorder="true" applyAlignment="false" applyProtection="false">
      <alignment horizontal="general"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4" fontId="4" fillId="0" borderId="31" xfId="0" applyFont="true" applyBorder="true" applyAlignment="false" applyProtection="false">
      <alignment horizontal="general" vertical="bottom" textRotation="0" wrapText="false" indent="0" shrinkToFit="false"/>
      <protection locked="true" hidden="false"/>
    </xf>
    <xf numFmtId="164" fontId="4" fillId="0" borderId="28" xfId="0" applyFont="true" applyBorder="true" applyAlignment="false" applyProtection="true">
      <alignment horizontal="general" vertical="bottom" textRotation="0" wrapText="false" indent="0" shrinkToFit="false"/>
      <protection locked="true" hidden="false"/>
    </xf>
    <xf numFmtId="164" fontId="4" fillId="0" borderId="29"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true">
      <alignment horizontal="general" vertical="bottom" textRotation="0" wrapText="false" indent="0" shrinkToFit="false"/>
      <protection locked="false" hidden="false"/>
    </xf>
    <xf numFmtId="169" fontId="4" fillId="0" borderId="0" xfId="0" applyFont="true" applyBorder="true" applyAlignment="false" applyProtection="true">
      <alignment horizontal="general" vertical="bottom" textRotation="0" wrapText="false" indent="0" shrinkToFit="false"/>
      <protection locked="true" hidden="false"/>
    </xf>
    <xf numFmtId="164" fontId="4" fillId="0" borderId="2" xfId="0" applyFont="true" applyBorder="true" applyAlignment="true" applyProtection="true">
      <alignment horizontal="right" vertical="bottom" textRotation="0" wrapText="false" indent="0" shrinkToFit="false"/>
      <protection locked="true" hidden="false"/>
    </xf>
    <xf numFmtId="164" fontId="44" fillId="0" borderId="0" xfId="0" applyFont="true" applyBorder="true" applyAlignment="true" applyProtection="true">
      <alignment horizontal="left" vertical="bottom" textRotation="0" wrapText="false" indent="0" shrinkToFit="false"/>
      <protection locked="true" hidden="false"/>
    </xf>
    <xf numFmtId="169" fontId="9" fillId="0" borderId="0" xfId="0" applyFont="true" applyBorder="true" applyAlignment="false" applyProtection="true">
      <alignment horizontal="general" vertical="bottom" textRotation="0" wrapText="false" indent="0" shrinkToFit="false"/>
      <protection locked="true" hidden="false"/>
    </xf>
    <xf numFmtId="173" fontId="43" fillId="0" borderId="0" xfId="0" applyFont="true" applyBorder="true" applyAlignment="false" applyProtection="true">
      <alignment horizontal="general" vertical="bottom" textRotation="0" wrapText="false" indent="0" shrinkToFit="false"/>
      <protection locked="true" hidden="false"/>
    </xf>
    <xf numFmtId="173" fontId="43" fillId="0" borderId="0" xfId="0" applyFont="true" applyBorder="true" applyAlignment="true" applyProtection="true">
      <alignment horizontal="right" vertical="bottom" textRotation="0" wrapText="false" indent="0" shrinkToFit="false"/>
      <protection locked="true" hidden="false"/>
    </xf>
    <xf numFmtId="173" fontId="9" fillId="0" borderId="0" xfId="0" applyFont="true" applyBorder="true" applyAlignment="true" applyProtection="true">
      <alignment horizontal="right" vertical="bottom" textRotation="0" wrapText="false" indent="0" shrinkToFit="false"/>
      <protection locked="true" hidden="false"/>
    </xf>
    <xf numFmtId="164" fontId="9" fillId="0" borderId="0" xfId="0" applyFont="true" applyBorder="true" applyAlignment="true" applyProtection="true">
      <alignment horizontal="left" vertical="bottom" textRotation="0" wrapText="false" indent="0" shrinkToFit="false"/>
      <protection locked="true" hidden="false"/>
    </xf>
    <xf numFmtId="164" fontId="43" fillId="0" borderId="2" xfId="0" applyFont="true" applyBorder="true" applyAlignment="false" applyProtection="true">
      <alignment horizontal="general" vertical="bottom" textRotation="0" wrapText="false" indent="0" shrinkToFit="false"/>
      <protection locked="true" hidden="false"/>
    </xf>
    <xf numFmtId="164" fontId="34" fillId="0" borderId="2" xfId="0" applyFont="true" applyBorder="true" applyAlignment="false" applyProtection="true">
      <alignment horizontal="general" vertical="bottom" textRotation="0" wrapText="false" indent="0" shrinkToFit="false"/>
      <protection locked="true" hidden="false"/>
    </xf>
    <xf numFmtId="164" fontId="25" fillId="0" borderId="6" xfId="0" applyFont="true" applyBorder="true" applyAlignment="true" applyProtection="true">
      <alignment horizontal="right" vertical="bottom" textRotation="0" wrapText="false" indent="0" shrinkToFit="false"/>
      <protection locked="true" hidden="false"/>
    </xf>
    <xf numFmtId="164" fontId="60" fillId="0" borderId="6" xfId="0" applyFont="true" applyBorder="true" applyAlignment="false" applyProtection="true">
      <alignment horizontal="general" vertical="bottom" textRotation="0" wrapText="false" indent="0" shrinkToFit="false"/>
      <protection locked="true" hidden="false"/>
    </xf>
    <xf numFmtId="164" fontId="60" fillId="0" borderId="0" xfId="0" applyFont="true" applyBorder="true" applyAlignment="false" applyProtection="true">
      <alignment horizontal="general" vertical="bottom" textRotation="0" wrapText="false" indent="0" shrinkToFit="false"/>
      <protection locked="true" hidden="false"/>
    </xf>
    <xf numFmtId="164" fontId="60" fillId="0" borderId="0" xfId="0" applyFont="true" applyBorder="true" applyAlignment="false" applyProtection="true">
      <alignment horizontal="general" vertical="bottom" textRotation="0" wrapText="false" indent="0" shrinkToFit="false"/>
      <protection locked="true" hidden="false"/>
    </xf>
    <xf numFmtId="164" fontId="45" fillId="5" borderId="13" xfId="0" applyFont="true" applyBorder="true" applyAlignment="false" applyProtection="true">
      <alignment horizontal="general" vertical="bottom" textRotation="0" wrapText="false" indent="0" shrinkToFit="false"/>
      <protection locked="true" hidden="false"/>
    </xf>
    <xf numFmtId="173" fontId="4" fillId="5" borderId="14" xfId="0" applyFont="true" applyBorder="true" applyAlignment="false" applyProtection="true">
      <alignment horizontal="general" vertical="bottom" textRotation="0" wrapText="false" indent="0" shrinkToFit="false"/>
      <protection locked="true" hidden="false"/>
    </xf>
    <xf numFmtId="177" fontId="4" fillId="4" borderId="5" xfId="0" applyFont="true" applyBorder="true" applyAlignment="false" applyProtection="true">
      <alignment horizontal="general" vertical="bottom" textRotation="0" wrapText="false" indent="0" shrinkToFit="false"/>
      <protection locked="false" hidden="false"/>
    </xf>
    <xf numFmtId="177" fontId="4" fillId="0" borderId="2" xfId="0" applyFont="true" applyBorder="true" applyAlignment="false" applyProtection="true">
      <alignment horizontal="general" vertical="bottom" textRotation="0" wrapText="false" indent="0" shrinkToFit="false"/>
      <protection locked="true" hidden="false"/>
    </xf>
    <xf numFmtId="177" fontId="4" fillId="0" borderId="7" xfId="0" applyFont="true" applyBorder="true" applyAlignment="true" applyProtection="true">
      <alignment horizontal="center" vertical="bottom" textRotation="0" wrapText="false" indent="0" shrinkToFit="false"/>
      <protection locked="true" hidden="false"/>
    </xf>
    <xf numFmtId="172" fontId="4" fillId="4" borderId="2" xfId="0" applyFont="true" applyBorder="true" applyAlignment="false" applyProtection="true">
      <alignment horizontal="general" vertical="bottom" textRotation="0" wrapText="false" indent="0" shrinkToFit="false"/>
      <protection locked="false" hidden="false"/>
    </xf>
    <xf numFmtId="176" fontId="4" fillId="5" borderId="2" xfId="0" applyFont="true" applyBorder="true" applyAlignment="false" applyProtection="true">
      <alignment horizontal="general" vertical="bottom" textRotation="0" wrapText="false" indent="0" shrinkToFit="false"/>
      <protection locked="true" hidden="false"/>
    </xf>
    <xf numFmtId="176" fontId="4" fillId="5" borderId="0" xfId="0" applyFont="true" applyBorder="true" applyAlignment="false" applyProtection="true">
      <alignment horizontal="general" vertical="bottom" textRotation="0" wrapText="false" indent="0" shrinkToFit="false"/>
      <protection locked="true" hidden="false"/>
    </xf>
    <xf numFmtId="176" fontId="4" fillId="0" borderId="8" xfId="0" applyFont="true" applyBorder="true" applyAlignment="false" applyProtection="true">
      <alignment horizontal="general" vertical="bottom" textRotation="0" wrapText="false" indent="0" shrinkToFit="false"/>
      <protection locked="true" hidden="false"/>
    </xf>
    <xf numFmtId="176" fontId="28" fillId="0" borderId="10" xfId="0" applyFont="true" applyBorder="true" applyAlignment="false" applyProtection="true">
      <alignment horizontal="general" vertical="bottom" textRotation="0" wrapText="false" indent="0" shrinkToFit="false"/>
      <protection locked="true" hidden="false"/>
    </xf>
    <xf numFmtId="164" fontId="4" fillId="0" borderId="8" xfId="0" applyFont="true" applyBorder="true" applyAlignment="false" applyProtection="true">
      <alignment horizontal="general" vertical="bottom" textRotation="0" wrapText="false" indent="0" shrinkToFit="false"/>
      <protection locked="true" hidden="false"/>
    </xf>
    <xf numFmtId="176" fontId="28" fillId="0" borderId="8" xfId="0" applyFont="true" applyBorder="true" applyAlignment="false" applyProtection="true">
      <alignment horizontal="general" vertical="bottom" textRotation="0" wrapText="false" indent="0" shrinkToFit="false"/>
      <protection locked="true" hidden="false"/>
    </xf>
    <xf numFmtId="164" fontId="45" fillId="5" borderId="9" xfId="0" applyFont="true" applyBorder="true" applyAlignment="false" applyProtection="true">
      <alignment horizontal="general" vertical="bottom" textRotation="0" wrapText="false" indent="0" shrinkToFit="false"/>
      <protection locked="true" hidden="false"/>
    </xf>
    <xf numFmtId="164" fontId="4" fillId="5" borderId="8" xfId="0" applyFont="true" applyBorder="true" applyAlignment="false" applyProtection="true">
      <alignment horizontal="general" vertical="bottom" textRotation="0" wrapText="false" indent="0" shrinkToFit="false"/>
      <protection locked="true" hidden="false"/>
    </xf>
    <xf numFmtId="176" fontId="4" fillId="5" borderId="8" xfId="0" applyFont="true" applyBorder="true" applyAlignment="false" applyProtection="true">
      <alignment horizontal="general" vertical="bottom" textRotation="0" wrapText="false" indent="0" shrinkToFit="false"/>
      <protection locked="true" hidden="false"/>
    </xf>
    <xf numFmtId="164" fontId="25" fillId="5" borderId="8" xfId="0" applyFont="true" applyBorder="true" applyAlignment="false" applyProtection="true">
      <alignment horizontal="general" vertical="bottom" textRotation="0" wrapText="false" indent="0" shrinkToFit="false"/>
      <protection locked="true" hidden="false"/>
    </xf>
    <xf numFmtId="172" fontId="4" fillId="5" borderId="8" xfId="0" applyFont="true" applyBorder="true" applyAlignment="false" applyProtection="true">
      <alignment horizontal="general" vertical="bottom" textRotation="0" wrapText="false" indent="0" shrinkToFit="false"/>
      <protection locked="true" hidden="false"/>
    </xf>
    <xf numFmtId="172" fontId="4" fillId="5" borderId="10" xfId="0" applyFont="true" applyBorder="true" applyAlignment="false" applyProtection="true">
      <alignment horizontal="general" vertical="bottom" textRotation="0" wrapText="false" indent="0" shrinkToFit="false"/>
      <protection locked="true" hidden="false"/>
    </xf>
    <xf numFmtId="170" fontId="4" fillId="0" borderId="0" xfId="0" applyFont="true" applyBorder="true" applyAlignment="false" applyProtection="true">
      <alignment horizontal="general" vertical="bottom" textRotation="0" wrapText="false" indent="0" shrinkToFit="false"/>
      <protection locked="true" hidden="false"/>
    </xf>
    <xf numFmtId="176" fontId="4" fillId="0" borderId="2" xfId="0" applyFont="true" applyBorder="true" applyAlignment="false" applyProtection="true">
      <alignment horizontal="general" vertical="bottom" textRotation="0" wrapText="false" indent="0" shrinkToFit="false"/>
      <protection locked="true" hidden="false"/>
    </xf>
    <xf numFmtId="164" fontId="25" fillId="0" borderId="0" xfId="0" applyFont="true" applyBorder="true" applyAlignment="false" applyProtection="true">
      <alignment horizontal="general" vertical="bottom" textRotation="0" wrapText="false" indent="0" shrinkToFit="false"/>
      <protection locked="true" hidden="false"/>
    </xf>
    <xf numFmtId="177" fontId="4" fillId="0" borderId="0" xfId="0" applyFont="true" applyBorder="true" applyAlignment="false" applyProtection="true">
      <alignment horizontal="general" vertical="bottom" textRotation="0" wrapText="false" indent="0" shrinkToFit="false"/>
      <protection locked="true" hidden="false"/>
    </xf>
    <xf numFmtId="177" fontId="4" fillId="0" borderId="2" xfId="0" applyFont="true" applyBorder="true" applyAlignment="false" applyProtection="true">
      <alignment horizontal="general" vertical="bottom" textRotation="0" wrapText="false" indent="0" shrinkToFit="false"/>
      <protection locked="true" hidden="false"/>
    </xf>
    <xf numFmtId="177" fontId="4" fillId="4" borderId="2" xfId="0" applyFont="true" applyBorder="true" applyAlignment="false" applyProtection="true">
      <alignment horizontal="general" vertical="bottom" textRotation="0" wrapText="false" indent="0" shrinkToFit="false"/>
      <protection locked="false" hidden="false"/>
    </xf>
    <xf numFmtId="172" fontId="4" fillId="0" borderId="0" xfId="0" applyFont="true" applyBorder="true" applyAlignment="false" applyProtection="true">
      <alignment horizontal="general" vertical="bottom" textRotation="0" wrapText="false" indent="0" shrinkToFit="false"/>
      <protection locked="false" hidden="false"/>
    </xf>
    <xf numFmtId="172" fontId="4" fillId="0" borderId="2" xfId="0" applyFont="true" applyBorder="true" applyAlignment="false" applyProtection="true">
      <alignment horizontal="general" vertical="bottom" textRotation="0" wrapText="false" indent="0" shrinkToFit="false"/>
      <protection locked="false" hidden="false"/>
    </xf>
    <xf numFmtId="176" fontId="4" fillId="14" borderId="10" xfId="0" applyFont="true" applyBorder="true" applyAlignment="false" applyProtection="true">
      <alignment horizontal="general" vertical="bottom" textRotation="0" wrapText="false" indent="0" shrinkToFit="false"/>
      <protection locked="false" hidden="false"/>
    </xf>
    <xf numFmtId="176" fontId="4" fillId="14" borderId="8" xfId="0" applyFont="true" applyBorder="true" applyAlignment="false" applyProtection="true">
      <alignment horizontal="general" vertical="bottom" textRotation="0" wrapText="false" indent="0" shrinkToFit="false"/>
      <protection locked="false" hidden="false"/>
    </xf>
    <xf numFmtId="164" fontId="25" fillId="0" borderId="1" xfId="0" applyFont="true" applyBorder="true" applyAlignment="false" applyProtection="true">
      <alignment horizontal="general" vertical="bottom" textRotation="0" wrapText="false" indent="0" shrinkToFit="false"/>
      <protection locked="true" hidden="false"/>
    </xf>
    <xf numFmtId="176" fontId="25" fillId="0" borderId="2" xfId="0" applyFont="true" applyBorder="true" applyAlignment="false" applyProtection="true">
      <alignment horizontal="general" vertical="bottom" textRotation="0" wrapText="false" indent="0" shrinkToFit="false"/>
      <protection locked="true" hidden="false"/>
    </xf>
    <xf numFmtId="164" fontId="25" fillId="0" borderId="1" xfId="0" applyFont="true" applyBorder="true" applyAlignment="false" applyProtection="true">
      <alignment horizontal="general" vertical="bottom" textRotation="0" wrapText="false" indent="0" shrinkToFit="false"/>
      <protection locked="true" hidden="false"/>
    </xf>
    <xf numFmtId="172" fontId="4" fillId="0" borderId="0" xfId="0" applyFont="true" applyBorder="true" applyAlignment="false" applyProtection="true">
      <alignment horizontal="general" vertical="bottom" textRotation="0" wrapText="false" indent="0" shrinkToFit="false"/>
      <protection locked="true" hidden="false"/>
    </xf>
    <xf numFmtId="176" fontId="13" fillId="0" borderId="0" xfId="0" applyFont="true" applyBorder="true" applyAlignment="false" applyProtection="true">
      <alignment horizontal="general" vertical="bottom" textRotation="0" wrapText="false" indent="0" shrinkToFit="false"/>
      <protection locked="true" hidden="false"/>
    </xf>
    <xf numFmtId="176" fontId="4" fillId="0" borderId="10" xfId="0" applyFont="true" applyBorder="true" applyAlignment="false" applyProtection="true">
      <alignment horizontal="general" vertical="bottom" textRotation="0" wrapText="false" indent="0" shrinkToFit="false"/>
      <protection locked="true" hidden="false"/>
    </xf>
    <xf numFmtId="176" fontId="4" fillId="5" borderId="14" xfId="0" applyFont="true" applyBorder="true" applyAlignment="false" applyProtection="true">
      <alignment horizontal="general" vertical="bottom" textRotation="0" wrapText="false" indent="0" shrinkToFit="false"/>
      <protection locked="true" hidden="false"/>
    </xf>
    <xf numFmtId="172" fontId="4" fillId="5" borderId="14" xfId="0" applyFont="true" applyBorder="true" applyAlignment="false" applyProtection="true">
      <alignment horizontal="general" vertical="bottom" textRotation="0" wrapText="false" indent="0" shrinkToFit="false"/>
      <protection locked="true" hidden="false"/>
    </xf>
    <xf numFmtId="172" fontId="4" fillId="5" borderId="15" xfId="0" applyFont="true" applyBorder="true" applyAlignment="false" applyProtection="true">
      <alignment horizontal="general" vertical="bottom" textRotation="0" wrapText="false" indent="0" shrinkToFit="false"/>
      <protection locked="true" hidden="false"/>
    </xf>
    <xf numFmtId="172" fontId="4" fillId="0" borderId="0" xfId="0" applyFont="true" applyBorder="true" applyAlignment="false" applyProtection="true">
      <alignment horizontal="general" vertical="bottom" textRotation="0" wrapText="false" indent="0" shrinkToFit="false"/>
      <protection locked="true" hidden="false"/>
    </xf>
    <xf numFmtId="172" fontId="4" fillId="0" borderId="2" xfId="0" applyFont="true" applyBorder="true" applyAlignment="false" applyProtection="true">
      <alignment horizontal="general"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true" hidden="false"/>
    </xf>
    <xf numFmtId="170" fontId="4" fillId="4" borderId="2" xfId="0" applyFont="true" applyBorder="true" applyAlignment="true" applyProtection="true">
      <alignment horizontal="right" vertical="bottom" textRotation="0" wrapText="false" indent="0" shrinkToFit="false"/>
      <protection locked="false" hidden="false"/>
    </xf>
    <xf numFmtId="170" fontId="33" fillId="4" borderId="0" xfId="0" applyFont="true" applyBorder="true" applyAlignment="false" applyProtection="true">
      <alignment horizontal="general" vertical="bottom" textRotation="0" wrapText="false" indent="0" shrinkToFit="false"/>
      <protection locked="false" hidden="false"/>
    </xf>
    <xf numFmtId="170" fontId="33" fillId="0" borderId="0" xfId="0" applyFont="true" applyBorder="true" applyAlignment="false" applyProtection="true">
      <alignment horizontal="general" vertical="bottom" textRotation="0" wrapText="false" indent="0" shrinkToFit="false"/>
      <protection locked="true" hidden="false"/>
    </xf>
    <xf numFmtId="170" fontId="33" fillId="0" borderId="0" xfId="0" applyFont="true" applyBorder="true" applyAlignment="false" applyProtection="true">
      <alignment horizontal="general" vertical="bottom" textRotation="0" wrapText="false" indent="0" shrinkToFit="false"/>
      <protection locked="true" hidden="false"/>
    </xf>
    <xf numFmtId="170" fontId="33" fillId="4" borderId="2" xfId="0" applyFont="true" applyBorder="true" applyAlignment="false" applyProtection="true">
      <alignment horizontal="general" vertical="bottom" textRotation="0" wrapText="false" indent="0" shrinkToFit="false"/>
      <protection locked="false" hidden="false"/>
    </xf>
    <xf numFmtId="170" fontId="25" fillId="0" borderId="0" xfId="0" applyFont="true" applyBorder="true" applyAlignment="false" applyProtection="true">
      <alignment horizontal="general" vertical="bottom" textRotation="0" wrapText="false" indent="0" shrinkToFit="false"/>
      <protection locked="true" hidden="false"/>
    </xf>
    <xf numFmtId="176" fontId="4" fillId="0" borderId="5" xfId="0" applyFont="true" applyBorder="true" applyAlignment="false" applyProtection="true">
      <alignment horizontal="general" vertical="bottom" textRotation="0" wrapText="false" indent="0" shrinkToFit="false"/>
      <protection locked="true" hidden="false"/>
    </xf>
    <xf numFmtId="170" fontId="4" fillId="4" borderId="2" xfId="0" applyFont="true" applyBorder="true" applyAlignment="false" applyProtection="true">
      <alignment horizontal="general" vertical="bottom" textRotation="0" wrapText="false" indent="0" shrinkToFit="false"/>
      <protection locked="false" hidden="false"/>
    </xf>
    <xf numFmtId="172" fontId="4" fillId="0" borderId="8" xfId="0" applyFont="true" applyBorder="true" applyAlignment="false" applyProtection="true">
      <alignment horizontal="general" vertical="bottom" textRotation="0" wrapText="false" indent="0" shrinkToFit="false"/>
      <protection locked="true" hidden="false"/>
    </xf>
    <xf numFmtId="172" fontId="4" fillId="0" borderId="10" xfId="0" applyFont="true" applyBorder="true" applyAlignment="false" applyProtection="true">
      <alignment horizontal="general" vertical="bottom" textRotation="0" wrapText="false" indent="0" shrinkToFit="false"/>
      <protection locked="true" hidden="false"/>
    </xf>
    <xf numFmtId="184" fontId="4" fillId="0" borderId="2" xfId="0" applyFont="true" applyBorder="true" applyAlignment="false" applyProtection="true">
      <alignment horizontal="general" vertical="bottom" textRotation="0" wrapText="false" indent="0" shrinkToFit="false"/>
      <protection locked="true" hidden="false"/>
    </xf>
    <xf numFmtId="183" fontId="4" fillId="0" borderId="7" xfId="0" applyFont="true" applyBorder="true" applyAlignment="false" applyProtection="true">
      <alignment horizontal="general" vertical="bottom" textRotation="0" wrapText="false" indent="0" shrinkToFit="false"/>
      <protection locked="true" hidden="false"/>
    </xf>
    <xf numFmtId="164" fontId="45" fillId="5" borderId="3" xfId="0" applyFont="true" applyBorder="true" applyAlignment="false" applyProtection="true">
      <alignment horizontal="general" vertical="bottom" textRotation="0" wrapText="false" indent="0" shrinkToFit="false"/>
      <protection locked="true" hidden="false"/>
    </xf>
    <xf numFmtId="183" fontId="4" fillId="0" borderId="2" xfId="0" applyFont="true" applyBorder="true" applyAlignment="false" applyProtection="true">
      <alignment horizontal="general" vertical="bottom" textRotation="0" wrapText="false" indent="0" shrinkToFit="false"/>
      <protection locked="true" hidden="false"/>
    </xf>
    <xf numFmtId="164" fontId="45" fillId="5" borderId="13" xfId="0" applyFont="true" applyBorder="true" applyAlignment="true" applyProtection="true">
      <alignment horizontal="general" vertical="bottom" textRotation="0" wrapText="false" indent="0" shrinkToFit="false"/>
      <protection locked="true" hidden="false"/>
    </xf>
    <xf numFmtId="164" fontId="33" fillId="0" borderId="0" xfId="0" applyFont="true" applyBorder="true" applyAlignment="false" applyProtection="true">
      <alignment horizontal="general" vertical="bottom" textRotation="0" wrapText="false" indent="0" shrinkToFit="false"/>
      <protection locked="true" hidden="false"/>
    </xf>
    <xf numFmtId="170" fontId="4" fillId="0" borderId="0" xfId="19" applyFont="true" applyBorder="true" applyAlignment="true" applyProtection="true">
      <alignment horizontal="general" vertical="bottom" textRotation="0" wrapText="false" indent="0" shrinkToFit="false"/>
      <protection locked="true" hidden="false"/>
    </xf>
    <xf numFmtId="164" fontId="25" fillId="0" borderId="6" xfId="0" applyFont="true" applyBorder="true" applyAlignment="false" applyProtection="false">
      <alignment horizontal="general" vertical="bottom" textRotation="0" wrapText="false" indent="0" shrinkToFit="false"/>
      <protection locked="true" hidden="false"/>
    </xf>
    <xf numFmtId="173" fontId="33" fillId="0" borderId="4" xfId="0" applyFont="true" applyBorder="true" applyAlignment="false" applyProtection="false">
      <alignment horizontal="general" vertical="bottom" textRotation="0" wrapText="false" indent="0" shrinkToFit="false"/>
      <protection locked="true" hidden="false"/>
    </xf>
    <xf numFmtId="164" fontId="33" fillId="0" borderId="5" xfId="0" applyFont="true" applyBorder="true" applyAlignment="false" applyProtection="false">
      <alignment horizontal="general" vertical="bottom" textRotation="0" wrapText="false" indent="0" shrinkToFit="false"/>
      <protection locked="true" hidden="false"/>
    </xf>
    <xf numFmtId="164" fontId="33" fillId="0" borderId="4" xfId="0" applyFont="true" applyBorder="true" applyAlignment="false" applyProtection="false">
      <alignment horizontal="general" vertical="bottom" textRotation="0" wrapText="false" indent="0" shrinkToFit="false"/>
      <protection locked="true" hidden="false"/>
    </xf>
    <xf numFmtId="176" fontId="4" fillId="5"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true">
      <alignment horizontal="general" vertical="bottom" textRotation="0" wrapText="false" indent="0" shrinkToFit="false"/>
      <protection locked="false" hidden="false"/>
    </xf>
    <xf numFmtId="176" fontId="4" fillId="0" borderId="0" xfId="0" applyFont="true" applyBorder="true" applyAlignment="false" applyProtection="true">
      <alignment horizontal="general" vertical="bottom" textRotation="0" wrapText="false" indent="0" shrinkToFit="false"/>
      <protection locked="false" hidden="false"/>
    </xf>
    <xf numFmtId="176" fontId="4" fillId="0" borderId="4" xfId="0" applyFont="true" applyBorder="true" applyAlignment="false" applyProtection="false">
      <alignment horizontal="general" vertical="bottom" textRotation="0" wrapText="false" indent="0" shrinkToFit="false"/>
      <protection locked="true" hidden="false"/>
    </xf>
    <xf numFmtId="172" fontId="4" fillId="0" borderId="4" xfId="0" applyFont="true" applyBorder="true" applyAlignment="false" applyProtection="false">
      <alignment horizontal="general" vertical="bottom" textRotation="0" wrapText="false" indent="0" shrinkToFit="false"/>
      <protection locked="true" hidden="false"/>
    </xf>
    <xf numFmtId="176" fontId="4" fillId="5" borderId="14" xfId="0" applyFont="true" applyBorder="true" applyAlignment="false" applyProtection="false">
      <alignment horizontal="general" vertical="bottom" textRotation="0" wrapText="false" indent="0" shrinkToFit="false"/>
      <protection locked="true" hidden="false"/>
    </xf>
    <xf numFmtId="177" fontId="25" fillId="0" borderId="0" xfId="0" applyFont="true" applyBorder="true" applyAlignment="false" applyProtection="false">
      <alignment horizontal="general" vertical="bottom" textRotation="0" wrapText="false" indent="0" shrinkToFit="false"/>
      <protection locked="true" hidden="false"/>
    </xf>
    <xf numFmtId="176" fontId="25" fillId="0" borderId="5" xfId="0" applyFont="true" applyBorder="true" applyAlignment="false" applyProtection="false">
      <alignment horizontal="general" vertical="bottom" textRotation="0" wrapText="false" indent="0" shrinkToFit="false"/>
      <protection locked="true" hidden="false"/>
    </xf>
    <xf numFmtId="176" fontId="13" fillId="0" borderId="0" xfId="0" applyFont="true" applyBorder="true" applyAlignment="false" applyProtection="false">
      <alignment horizontal="general" vertical="bottom" textRotation="0" wrapText="false" indent="0" shrinkToFit="false"/>
      <protection locked="true" hidden="false"/>
    </xf>
    <xf numFmtId="173" fontId="33" fillId="0" borderId="0" xfId="0" applyFont="true" applyBorder="true" applyAlignment="false" applyProtection="false">
      <alignment horizontal="general" vertical="bottom" textRotation="0" wrapText="false" indent="0" shrinkToFit="false"/>
      <protection locked="true" hidden="false"/>
    </xf>
    <xf numFmtId="177" fontId="33" fillId="0" borderId="5" xfId="0" applyFont="true" applyBorder="true" applyAlignment="false" applyProtection="false">
      <alignment horizontal="general" vertical="bottom" textRotation="0" wrapText="false" indent="0" shrinkToFit="false"/>
      <protection locked="true" hidden="false"/>
    </xf>
    <xf numFmtId="171" fontId="33" fillId="0" borderId="2" xfId="0" applyFont="true" applyBorder="true" applyAlignment="false" applyProtection="false">
      <alignment horizontal="general" vertical="bottom" textRotation="0" wrapText="false" indent="0" shrinkToFit="false"/>
      <protection locked="true" hidden="false"/>
    </xf>
    <xf numFmtId="184" fontId="4" fillId="4" borderId="2" xfId="0" applyFont="true" applyBorder="true" applyAlignment="false" applyProtection="true">
      <alignment horizontal="general" vertical="bottom" textRotation="0" wrapText="false" indent="0" shrinkToFit="false"/>
      <protection locked="false" hidden="false"/>
    </xf>
    <xf numFmtId="184" fontId="4" fillId="4" borderId="0" xfId="0" applyFont="true" applyBorder="true" applyAlignment="false" applyProtection="true">
      <alignment horizontal="general" vertical="bottom" textRotation="0" wrapText="false" indent="0" shrinkToFit="false"/>
      <protection locked="false" hidden="false"/>
    </xf>
    <xf numFmtId="176" fontId="25" fillId="0" borderId="7" xfId="0" applyFont="true" applyBorder="true" applyAlignment="false" applyProtection="false">
      <alignment horizontal="general" vertical="bottom" textRotation="0" wrapText="false" indent="0" shrinkToFit="false"/>
      <protection locked="true" hidden="false"/>
    </xf>
    <xf numFmtId="164" fontId="45" fillId="5" borderId="9" xfId="0" applyFont="true" applyBorder="true" applyAlignment="false" applyProtection="false">
      <alignment horizontal="general" vertical="bottom" textRotation="0" wrapText="false" indent="0" shrinkToFit="false"/>
      <protection locked="true" hidden="false"/>
    </xf>
    <xf numFmtId="164" fontId="4" fillId="4" borderId="1" xfId="0" applyFont="true" applyBorder="true" applyAlignment="false" applyProtection="true">
      <alignment horizontal="general" vertical="bottom" textRotation="0" wrapText="false" indent="0" shrinkToFit="false"/>
      <protection locked="false" hidden="false"/>
    </xf>
    <xf numFmtId="170" fontId="4" fillId="4" borderId="2" xfId="19" applyFont="true" applyBorder="true" applyAlignment="true" applyProtection="true">
      <alignment horizontal="general" vertical="bottom" textRotation="0" wrapText="false" indent="0" shrinkToFit="false"/>
      <protection locked="false" hidden="false"/>
    </xf>
    <xf numFmtId="170" fontId="4" fillId="0" borderId="0" xfId="19" applyFont="true" applyBorder="true" applyAlignment="true" applyProtection="true">
      <alignment horizontal="general" vertical="bottom" textRotation="0" wrapText="false" indent="0" shrinkToFit="false"/>
      <protection locked="true" hidden="false"/>
    </xf>
    <xf numFmtId="170" fontId="4" fillId="0" borderId="2" xfId="0" applyFont="true" applyBorder="true" applyAlignment="false" applyProtection="false">
      <alignment horizontal="general" vertical="bottom" textRotation="0" wrapText="false" indent="0" shrinkToFit="false"/>
      <protection locked="true" hidden="false"/>
    </xf>
    <xf numFmtId="184" fontId="4" fillId="0" borderId="7" xfId="0" applyFont="true" applyBorder="true" applyAlignment="false" applyProtection="false">
      <alignment horizontal="general" vertical="bottom" textRotation="0" wrapText="false" indent="0" shrinkToFit="false"/>
      <protection locked="true" hidden="false"/>
    </xf>
    <xf numFmtId="184" fontId="4" fillId="0" borderId="0" xfId="0" applyFont="true" applyBorder="true" applyAlignment="false" applyProtection="false">
      <alignment horizontal="general" vertical="bottom" textRotation="0" wrapText="false" indent="0" shrinkToFit="false"/>
      <protection locked="true" hidden="false"/>
    </xf>
    <xf numFmtId="183" fontId="25" fillId="0" borderId="0" xfId="0" applyFont="true" applyBorder="true" applyAlignment="false" applyProtection="true">
      <alignment horizontal="general" vertical="bottom" textRotation="0" wrapText="false" indent="0" shrinkToFit="false"/>
      <protection locked="true" hidden="false"/>
    </xf>
    <xf numFmtId="164" fontId="9" fillId="0" borderId="0" xfId="0" applyFont="true" applyBorder="true" applyAlignment="true" applyProtection="false">
      <alignment horizontal="right" vertical="bottom" textRotation="0" wrapText="false" indent="0" shrinkToFit="false"/>
      <protection locked="true" hidden="false"/>
    </xf>
    <xf numFmtId="164" fontId="25" fillId="0" borderId="6" xfId="0" applyFont="true" applyBorder="true" applyAlignment="true" applyProtection="false">
      <alignment horizontal="right" vertical="bottom" textRotation="0" wrapText="false" indent="0" shrinkToFit="false"/>
      <protection locked="true" hidden="false"/>
    </xf>
    <xf numFmtId="164" fontId="60" fillId="0" borderId="6" xfId="0" applyFont="true" applyBorder="true" applyAlignment="false" applyProtection="false">
      <alignment horizontal="general" vertical="bottom" textRotation="0" wrapText="false" indent="0" shrinkToFit="false"/>
      <protection locked="true" hidden="false"/>
    </xf>
    <xf numFmtId="164" fontId="79" fillId="5" borderId="13" xfId="0" applyFont="true" applyBorder="true" applyAlignment="tru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4" fontId="25" fillId="0" borderId="5" xfId="0" applyFont="true" applyBorder="true" applyAlignment="true" applyProtection="false">
      <alignment horizontal="right" vertical="bottom" textRotation="0" wrapText="false" indent="0" shrinkToFit="false"/>
      <protection locked="true" hidden="false"/>
    </xf>
    <xf numFmtId="164" fontId="60" fillId="0" borderId="2" xfId="0" applyFont="true" applyBorder="true" applyAlignment="false" applyProtection="false">
      <alignment horizontal="general" vertical="bottom" textRotation="0" wrapText="false" indent="0" shrinkToFit="false"/>
      <protection locked="true" hidden="false"/>
    </xf>
    <xf numFmtId="164" fontId="25" fillId="0" borderId="2" xfId="0" applyFont="true" applyBorder="true" applyAlignment="true" applyProtection="false">
      <alignment horizontal="right" vertical="bottom" textRotation="0" wrapText="false" indent="0" shrinkToFit="false"/>
      <protection locked="true" hidden="false"/>
    </xf>
    <xf numFmtId="171" fontId="4" fillId="0" borderId="0" xfId="0" applyFont="true" applyBorder="true" applyAlignment="false" applyProtection="true">
      <alignment horizontal="general" vertical="bottom" textRotation="0" wrapText="false" indent="0" shrinkToFit="false"/>
      <protection locked="false" hidden="false"/>
    </xf>
    <xf numFmtId="171" fontId="4" fillId="0" borderId="0" xfId="19" applyFont="true" applyBorder="true" applyAlignment="true" applyProtection="true">
      <alignment horizontal="general" vertical="bottom" textRotation="0" wrapText="false" indent="0" shrinkToFit="false"/>
      <protection locked="false" hidden="false"/>
    </xf>
    <xf numFmtId="177" fontId="4" fillId="4" borderId="0" xfId="19" applyFont="true" applyBorder="true" applyAlignment="true" applyProtection="true">
      <alignment horizontal="general" vertical="bottom" textRotation="0" wrapText="false" indent="0" shrinkToFit="false"/>
      <protection locked="false" hidden="false"/>
    </xf>
    <xf numFmtId="177" fontId="4" fillId="0" borderId="0" xfId="19" applyFont="true" applyBorder="true" applyAlignment="true" applyProtection="true">
      <alignment horizontal="general" vertical="bottom" textRotation="0" wrapText="false" indent="0" shrinkToFit="false"/>
      <protection locked="false" hidden="false"/>
    </xf>
    <xf numFmtId="170" fontId="4" fillId="0" borderId="0" xfId="0" applyFont="true" applyBorder="true" applyAlignment="true" applyProtection="false">
      <alignment horizontal="right" vertical="bottom" textRotation="0" wrapText="false" indent="0" shrinkToFit="false"/>
      <protection locked="true" hidden="false"/>
    </xf>
    <xf numFmtId="164" fontId="25" fillId="0" borderId="2" xfId="0" applyFont="true" applyBorder="true" applyAlignment="true" applyProtection="true">
      <alignment horizontal="right" vertical="bottom" textRotation="0" wrapText="false" indent="0" shrinkToFit="false"/>
      <protection locked="true" hidden="false"/>
    </xf>
    <xf numFmtId="164" fontId="60" fillId="0" borderId="2" xfId="0" applyFont="true" applyBorder="true" applyAlignment="false" applyProtection="true">
      <alignment horizontal="general" vertical="bottom" textRotation="0" wrapText="false" indent="0" shrinkToFit="false"/>
      <protection locked="true" hidden="false"/>
    </xf>
    <xf numFmtId="177" fontId="4" fillId="5" borderId="0" xfId="0" applyFont="true" applyBorder="true" applyAlignment="false" applyProtection="true">
      <alignment horizontal="general" vertical="bottom" textRotation="0" wrapText="false" indent="0" shrinkToFit="false"/>
      <protection locked="true" hidden="false"/>
    </xf>
    <xf numFmtId="171" fontId="4" fillId="0" borderId="0" xfId="0" applyFont="true" applyBorder="true" applyAlignment="false" applyProtection="true">
      <alignment horizontal="general" vertical="bottom" textRotation="0" wrapText="false" indent="0" shrinkToFit="false"/>
      <protection locked="true" hidden="false"/>
    </xf>
    <xf numFmtId="164" fontId="4" fillId="0" borderId="1" xfId="0" applyFont="true" applyBorder="true" applyAlignment="true" applyProtection="false">
      <alignment horizontal="general" vertical="bottom" textRotation="0" wrapText="false" indent="0" shrinkToFit="false"/>
      <protection locked="true" hidden="false"/>
    </xf>
    <xf numFmtId="164" fontId="33" fillId="0" borderId="0" xfId="0" applyFont="true" applyBorder="true" applyAlignment="false" applyProtection="false">
      <alignment horizontal="general" vertical="bottom" textRotation="0" wrapText="false" indent="0" shrinkToFit="false"/>
      <protection locked="true" hidden="false"/>
    </xf>
    <xf numFmtId="177" fontId="4" fillId="4" borderId="0" xfId="0" applyFont="true" applyBorder="true" applyAlignment="true" applyProtection="true">
      <alignment horizontal="general" vertical="bottom" textRotation="0" wrapText="false" indent="0" shrinkToFit="false"/>
      <protection locked="false" hidden="false"/>
    </xf>
    <xf numFmtId="176" fontId="4" fillId="0" borderId="2" xfId="0" applyFont="true" applyBorder="true" applyAlignment="true" applyProtection="false">
      <alignment horizontal="right" vertical="bottom" textRotation="0" wrapText="false" indent="0" shrinkToFit="false"/>
      <protection locked="true" hidden="false"/>
    </xf>
    <xf numFmtId="176" fontId="4" fillId="0" borderId="0" xfId="0" applyFont="true" applyBorder="true" applyAlignment="true" applyProtection="false">
      <alignment horizontal="right" vertical="bottom" textRotation="0" wrapText="false" indent="0" shrinkToFit="false"/>
      <protection locked="true" hidden="false"/>
    </xf>
    <xf numFmtId="164" fontId="4" fillId="0" borderId="9" xfId="0" applyFont="true" applyBorder="true" applyAlignment="true" applyProtection="false">
      <alignment horizontal="general" vertical="bottom" textRotation="0" wrapText="false" indent="0" shrinkToFit="false"/>
      <protection locked="true" hidden="false"/>
    </xf>
    <xf numFmtId="171" fontId="4" fillId="0" borderId="8" xfId="0" applyFont="true" applyBorder="true" applyAlignment="true" applyProtection="false">
      <alignment horizontal="general" vertical="bottom" textRotation="0" wrapText="false" indent="0" shrinkToFit="false"/>
      <protection locked="true" hidden="false"/>
    </xf>
    <xf numFmtId="176" fontId="4" fillId="0" borderId="10" xfId="0" applyFont="true" applyBorder="true" applyAlignment="true" applyProtection="false">
      <alignment horizontal="right" vertical="bottom" textRotation="0" wrapText="false" indent="0" shrinkToFit="false"/>
      <protection locked="true" hidden="false"/>
    </xf>
    <xf numFmtId="176" fontId="4" fillId="0" borderId="8" xfId="0" applyFont="true" applyBorder="true" applyAlignment="true" applyProtection="false">
      <alignment horizontal="right" vertical="bottom" textRotation="0" wrapText="false" indent="0" shrinkToFit="false"/>
      <protection locked="true" hidden="false"/>
    </xf>
    <xf numFmtId="176" fontId="33" fillId="0" borderId="8" xfId="0" applyFont="tru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general" vertical="bottom" textRotation="0" wrapText="false" indent="0" shrinkToFit="false"/>
      <protection locked="true" hidden="false"/>
    </xf>
    <xf numFmtId="177" fontId="25" fillId="0" borderId="1" xfId="0" applyFont="true" applyBorder="true" applyAlignment="true" applyProtection="false">
      <alignment horizontal="general" vertical="bottom" textRotation="0" wrapText="false" indent="0" shrinkToFit="false"/>
      <protection locked="true" hidden="false"/>
    </xf>
    <xf numFmtId="171" fontId="25" fillId="0" borderId="0" xfId="0" applyFont="true" applyBorder="true" applyAlignment="true" applyProtection="false">
      <alignment horizontal="general" vertical="bottom" textRotation="0" wrapText="false" indent="0" shrinkToFit="false"/>
      <protection locked="true" hidden="false"/>
    </xf>
    <xf numFmtId="176" fontId="25" fillId="0" borderId="2" xfId="0" applyFont="true" applyBorder="true" applyAlignment="true" applyProtection="false">
      <alignment horizontal="right" vertical="bottom" textRotation="0" wrapText="false" indent="0" shrinkToFit="false"/>
      <protection locked="true" hidden="false"/>
    </xf>
    <xf numFmtId="176" fontId="25" fillId="0" borderId="0" xfId="0" applyFont="true" applyBorder="true" applyAlignment="true" applyProtection="false">
      <alignment horizontal="right" vertical="bottom" textRotation="0" wrapText="false" indent="0" shrinkToFit="false"/>
      <protection locked="true" hidden="false"/>
    </xf>
    <xf numFmtId="164" fontId="45" fillId="5" borderId="1" xfId="0" applyFont="true" applyBorder="true" applyAlignment="false" applyProtection="false">
      <alignment horizontal="general" vertical="bottom"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4" fontId="45" fillId="5" borderId="13" xfId="0" applyFont="true" applyBorder="true" applyAlignment="true" applyProtection="false">
      <alignment horizontal="general" vertical="bottom" textRotation="0" wrapText="false" indent="0" shrinkToFit="false"/>
      <protection locked="true" hidden="false"/>
    </xf>
    <xf numFmtId="171" fontId="4" fillId="0" borderId="8" xfId="0" applyFont="true" applyBorder="true" applyAlignment="false" applyProtection="false">
      <alignment horizontal="general" vertical="bottom" textRotation="0" wrapText="false" indent="0" shrinkToFit="false"/>
      <protection locked="true" hidden="false"/>
    </xf>
    <xf numFmtId="177" fontId="4" fillId="0" borderId="10" xfId="0" applyFont="true" applyBorder="true" applyAlignment="false" applyProtection="false">
      <alignment horizontal="general" vertical="bottom" textRotation="0" wrapText="false" indent="0" shrinkToFit="false"/>
      <protection locked="true" hidden="false"/>
    </xf>
    <xf numFmtId="177" fontId="4" fillId="0" borderId="8" xfId="0" applyFont="true" applyBorder="true" applyAlignment="false" applyProtection="false">
      <alignment horizontal="general" vertical="bottom" textRotation="0" wrapText="false" indent="0" shrinkToFit="false"/>
      <protection locked="true" hidden="false"/>
    </xf>
    <xf numFmtId="164" fontId="45" fillId="5" borderId="3" xfId="0" applyFont="true" applyBorder="true" applyAlignment="true" applyProtection="false">
      <alignment horizontal="general" vertical="bottom" textRotation="0" wrapText="false" indent="0" shrinkToFit="false"/>
      <protection locked="true" hidden="false"/>
    </xf>
    <xf numFmtId="164" fontId="4" fillId="5" borderId="4" xfId="0" applyFont="true" applyBorder="true" applyAlignment="true" applyProtection="false">
      <alignment horizontal="general" vertical="bottom" textRotation="0" wrapText="false" indent="0" shrinkToFit="false"/>
      <protection locked="true" hidden="false"/>
    </xf>
    <xf numFmtId="164" fontId="4" fillId="5" borderId="5" xfId="0" applyFont="true" applyBorder="true" applyAlignment="true" applyProtection="false">
      <alignment horizontal="general" vertical="bottom" textRotation="0" wrapText="false" indent="0" shrinkToFit="false"/>
      <protection locked="true" hidden="false"/>
    </xf>
    <xf numFmtId="164" fontId="4" fillId="0" borderId="3" xfId="0" applyFont="true" applyBorder="true" applyAlignment="tru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general" vertical="bottom" textRotation="0" wrapText="false" indent="0" shrinkToFit="false"/>
      <protection locked="true" hidden="false"/>
    </xf>
    <xf numFmtId="177" fontId="4" fillId="4" borderId="5" xfId="0" applyFont="true" applyBorder="true" applyAlignment="true" applyProtection="true">
      <alignment horizontal="general" vertical="bottom" textRotation="0" wrapText="false" indent="0" shrinkToFit="false"/>
      <protection locked="false" hidden="false"/>
    </xf>
    <xf numFmtId="164" fontId="4" fillId="0" borderId="4"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true" applyAlignment="true" applyProtection="true">
      <alignment horizontal="general" vertical="bottom" textRotation="0" wrapText="false" indent="0" shrinkToFit="false"/>
      <protection locked="false" hidden="false"/>
    </xf>
    <xf numFmtId="164" fontId="25" fillId="0" borderId="1" xfId="0" applyFont="true" applyBorder="true" applyAlignment="tru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bottom" textRotation="0" wrapText="false" indent="0" shrinkToFit="false"/>
      <protection locked="true" hidden="false"/>
    </xf>
    <xf numFmtId="176" fontId="4" fillId="0" borderId="2" xfId="0" applyFont="true" applyBorder="true" applyAlignment="true" applyProtection="false">
      <alignment horizontal="general" vertical="bottom" textRotation="0" wrapText="false" indent="0" shrinkToFit="false"/>
      <protection locked="true" hidden="false"/>
    </xf>
    <xf numFmtId="176" fontId="4" fillId="0" borderId="0" xfId="0" applyFont="true" applyBorder="true" applyAlignment="true" applyProtection="false">
      <alignment horizontal="general" vertical="bottom" textRotation="0" wrapText="false" indent="0" shrinkToFit="false"/>
      <protection locked="true" hidden="false"/>
    </xf>
    <xf numFmtId="176" fontId="4" fillId="0" borderId="10" xfId="0" applyFont="true" applyBorder="true" applyAlignment="true" applyProtection="false">
      <alignment horizontal="general" vertical="bottom" textRotation="0" wrapText="false" indent="0" shrinkToFit="false"/>
      <protection locked="true" hidden="false"/>
    </xf>
    <xf numFmtId="176" fontId="4" fillId="0" borderId="8" xfId="0" applyFont="true" applyBorder="true" applyAlignment="true" applyProtection="false">
      <alignment horizontal="general" vertical="bottom" textRotation="0" wrapText="false" indent="0" shrinkToFit="false"/>
      <protection locked="true" hidden="false"/>
    </xf>
    <xf numFmtId="176" fontId="4" fillId="0" borderId="10" xfId="0" applyFont="true" applyBorder="true" applyAlignment="true" applyProtection="false">
      <alignment horizontal="general" vertical="bottom" textRotation="0" wrapText="false" indent="0" shrinkToFit="false"/>
      <protection locked="true" hidden="false"/>
    </xf>
    <xf numFmtId="171" fontId="4" fillId="0" borderId="0" xfId="0" applyFont="true" applyBorder="true" applyAlignment="true" applyProtection="false">
      <alignment horizontal="general" vertical="bottom" textRotation="0" wrapText="false" indent="0" shrinkToFit="false"/>
      <protection locked="true" hidden="false"/>
    </xf>
    <xf numFmtId="176" fontId="4" fillId="0" borderId="0" xfId="0" applyFont="true" applyBorder="true" applyAlignment="true" applyProtection="false">
      <alignment horizontal="general" vertical="bottom" textRotation="0" wrapText="false" indent="0" shrinkToFit="false"/>
      <protection locked="true" hidden="false"/>
    </xf>
    <xf numFmtId="176" fontId="4" fillId="0" borderId="2" xfId="0" applyFont="true" applyBorder="true" applyAlignment="true" applyProtection="false">
      <alignment horizontal="general" vertical="bottom" textRotation="0" wrapText="false" indent="0" shrinkToFit="false"/>
      <protection locked="true" hidden="false"/>
    </xf>
    <xf numFmtId="176" fontId="4" fillId="0" borderId="8" xfId="0" applyFont="true" applyBorder="true" applyAlignment="true" applyProtection="false">
      <alignment horizontal="general" vertical="bottom" textRotation="0" wrapText="false" indent="0" shrinkToFit="false"/>
      <protection locked="true" hidden="false"/>
    </xf>
    <xf numFmtId="176" fontId="4" fillId="0" borderId="5" xfId="0" applyFont="true" applyBorder="true" applyAlignment="true" applyProtection="false">
      <alignment horizontal="general" vertical="bottom" textRotation="0" wrapText="false" indent="0" shrinkToFit="false"/>
      <protection locked="true" hidden="false"/>
    </xf>
    <xf numFmtId="176" fontId="25" fillId="0" borderId="2" xfId="0" applyFont="true" applyBorder="true" applyAlignment="true" applyProtection="false">
      <alignment horizontal="general" vertical="bottom" textRotation="0" wrapText="false" indent="0" shrinkToFit="false"/>
      <protection locked="true" hidden="false"/>
    </xf>
    <xf numFmtId="176" fontId="25" fillId="0" borderId="0" xfId="0" applyFont="true" applyBorder="true" applyAlignment="true" applyProtection="false">
      <alignment horizontal="general" vertical="bottom" textRotation="0" wrapText="false" indent="0" shrinkToFit="false"/>
      <protection locked="true" hidden="false"/>
    </xf>
    <xf numFmtId="164" fontId="45" fillId="5" borderId="32" xfId="0" applyFont="true" applyBorder="true" applyAlignment="false" applyProtection="false">
      <alignment horizontal="general" vertical="bottom" textRotation="0" wrapText="false" indent="0" shrinkToFit="false"/>
      <protection locked="true" hidden="false"/>
    </xf>
    <xf numFmtId="164" fontId="4" fillId="5" borderId="33" xfId="0" applyFont="true" applyBorder="true" applyAlignment="false" applyProtection="false">
      <alignment horizontal="general" vertical="bottom" textRotation="0" wrapText="false" indent="0" shrinkToFit="false"/>
      <protection locked="true" hidden="false"/>
    </xf>
    <xf numFmtId="164" fontId="4" fillId="5" borderId="34" xfId="0" applyFont="true" applyBorder="true" applyAlignment="false" applyProtection="false">
      <alignment horizontal="general" vertical="bottom" textRotation="0" wrapText="false" indent="0" shrinkToFit="false"/>
      <protection locked="true" hidden="false"/>
    </xf>
    <xf numFmtId="176" fontId="4" fillId="0" borderId="19" xfId="0" applyFont="true" applyBorder="true" applyAlignment="false" applyProtection="false">
      <alignment horizontal="general" vertical="bottom" textRotation="0" wrapText="false" indent="0" shrinkToFit="false"/>
      <protection locked="true" hidden="false"/>
    </xf>
    <xf numFmtId="176" fontId="4" fillId="0" borderId="20" xfId="0" applyFont="true" applyBorder="true" applyAlignment="false" applyProtection="false">
      <alignment horizontal="general" vertical="bottom" textRotation="0" wrapText="false" indent="0" shrinkToFit="false"/>
      <protection locked="true" hidden="false"/>
    </xf>
    <xf numFmtId="176" fontId="25" fillId="0" borderId="19" xfId="0" applyFont="true" applyBorder="true" applyAlignment="false" applyProtection="false">
      <alignment horizontal="general" vertical="bottom" textRotation="0" wrapText="false" indent="0" shrinkToFit="false"/>
      <protection locked="true" hidden="false"/>
    </xf>
    <xf numFmtId="183" fontId="4" fillId="4" borderId="2" xfId="0" applyFont="true" applyBorder="true" applyAlignment="true" applyProtection="true">
      <alignment horizontal="right" vertical="bottom" textRotation="0" wrapText="false" indent="0" shrinkToFit="false"/>
      <protection locked="false" hidden="false"/>
    </xf>
    <xf numFmtId="183" fontId="33" fillId="4" borderId="0" xfId="0" applyFont="true" applyBorder="true" applyAlignment="false" applyProtection="true">
      <alignment horizontal="general" vertical="bottom" textRotation="0" wrapText="false" indent="0" shrinkToFit="false"/>
      <protection locked="false" hidden="false"/>
    </xf>
    <xf numFmtId="183" fontId="33" fillId="0" borderId="0" xfId="0" applyFont="true" applyBorder="true" applyAlignment="false" applyProtection="true">
      <alignment horizontal="general" vertical="bottom" textRotation="0" wrapText="false" indent="0" shrinkToFit="false"/>
      <protection locked="true" hidden="false"/>
    </xf>
    <xf numFmtId="183" fontId="33" fillId="0" borderId="0" xfId="0" applyFont="true" applyBorder="true" applyAlignment="false" applyProtection="true">
      <alignment horizontal="general" vertical="bottom" textRotation="0" wrapText="false" indent="0" shrinkToFit="false"/>
      <protection locked="true" hidden="false"/>
    </xf>
    <xf numFmtId="183" fontId="33" fillId="4" borderId="2" xfId="0" applyFont="true" applyBorder="true" applyAlignment="false" applyProtection="true">
      <alignment horizontal="general" vertical="bottom" textRotation="0" wrapText="false" indent="0" shrinkToFit="false"/>
      <protection locked="false" hidden="false"/>
    </xf>
    <xf numFmtId="183" fontId="4" fillId="0" borderId="2" xfId="0" applyFont="true" applyBorder="true" applyAlignment="true" applyProtection="false">
      <alignment horizontal="right" vertical="bottom" textRotation="0" wrapText="false" indent="0" shrinkToFit="false"/>
      <protection locked="true" hidden="false"/>
    </xf>
    <xf numFmtId="183" fontId="4" fillId="0" borderId="0" xfId="0" applyFont="true" applyBorder="true" applyAlignment="false" applyProtection="false">
      <alignment horizontal="general" vertical="bottom" textRotation="0" wrapText="false" indent="0" shrinkToFit="false"/>
      <protection locked="true" hidden="false"/>
    </xf>
    <xf numFmtId="183" fontId="4" fillId="0" borderId="0" xfId="0" applyFont="true" applyBorder="true" applyAlignment="true" applyProtection="false">
      <alignment horizontal="right" vertical="bottom" textRotation="0" wrapText="false" indent="0" shrinkToFit="false"/>
      <protection locked="true" hidden="false"/>
    </xf>
    <xf numFmtId="183" fontId="33" fillId="0" borderId="0" xfId="0" applyFont="true" applyBorder="true" applyAlignment="false" applyProtection="false">
      <alignment horizontal="general" vertical="bottom" textRotation="0" wrapText="false" indent="0" shrinkToFit="false"/>
      <protection locked="true" hidden="false"/>
    </xf>
    <xf numFmtId="183" fontId="4" fillId="0" borderId="2" xfId="0" applyFont="true" applyBorder="true" applyAlignment="false" applyProtection="false">
      <alignment horizontal="general" vertical="bottom" textRotation="0" wrapText="false" indent="0" shrinkToFit="false"/>
      <protection locked="true" hidden="false"/>
    </xf>
    <xf numFmtId="183" fontId="4" fillId="0" borderId="10" xfId="0" applyFont="true" applyBorder="true" applyAlignment="false" applyProtection="false">
      <alignment horizontal="general" vertical="bottom" textRotation="0" wrapText="false" indent="0" shrinkToFit="false"/>
      <protection locked="true" hidden="false"/>
    </xf>
    <xf numFmtId="183" fontId="4" fillId="0" borderId="8" xfId="0" applyFont="true" applyBorder="true" applyAlignment="false" applyProtection="false">
      <alignment horizontal="general" vertical="bottom" textRotation="0" wrapText="false" indent="0" shrinkToFit="false"/>
      <protection locked="true" hidden="false"/>
    </xf>
    <xf numFmtId="183" fontId="25" fillId="0" borderId="2" xfId="0" applyFont="true" applyBorder="true" applyAlignment="false" applyProtection="false">
      <alignment horizontal="general" vertical="bottom" textRotation="0" wrapText="false" indent="0" shrinkToFit="false"/>
      <protection locked="true" hidden="false"/>
    </xf>
    <xf numFmtId="183" fontId="25" fillId="0" borderId="0" xfId="0" applyFont="true" applyBorder="true" applyAlignment="false" applyProtection="false">
      <alignment horizontal="general" vertical="bottom" textRotation="0" wrapText="false" indent="0" shrinkToFit="false"/>
      <protection locked="true" hidden="false"/>
    </xf>
    <xf numFmtId="184" fontId="25" fillId="0" borderId="10" xfId="0" applyFont="true" applyBorder="true" applyAlignment="false" applyProtection="false">
      <alignment horizontal="general" vertical="bottom" textRotation="0" wrapText="false" indent="0" shrinkToFit="false"/>
      <protection locked="true" hidden="false"/>
    </xf>
    <xf numFmtId="184" fontId="25" fillId="0" borderId="8" xfId="0" applyFont="true" applyBorder="true" applyAlignment="false" applyProtection="false">
      <alignment horizontal="general" vertical="bottom" textRotation="0" wrapText="false" indent="0" shrinkToFit="false"/>
      <protection locked="true" hidden="false"/>
    </xf>
    <xf numFmtId="164" fontId="45" fillId="0" borderId="9" xfId="0" applyFont="true" applyBorder="true" applyAlignment="false" applyProtection="false">
      <alignment horizontal="general" vertical="bottom" textRotation="0" wrapText="false" indent="0" shrinkToFit="false"/>
      <protection locked="true" hidden="false"/>
    </xf>
    <xf numFmtId="177" fontId="4" fillId="4" borderId="8" xfId="19" applyFont="true" applyBorder="true" applyAlignment="true" applyProtection="true">
      <alignment horizontal="general" vertical="bottom" textRotation="0" wrapText="false" indent="0" shrinkToFit="false"/>
      <protection locked="false" hidden="false"/>
    </xf>
    <xf numFmtId="177" fontId="4" fillId="4" borderId="8" xfId="0" applyFont="true" applyBorder="true" applyAlignment="false" applyProtection="true">
      <alignment horizontal="general" vertical="bottom" textRotation="0" wrapText="false" indent="0" shrinkToFit="false"/>
      <protection locked="false" hidden="false"/>
    </xf>
    <xf numFmtId="177" fontId="4" fillId="4" borderId="10" xfId="0" applyFont="true" applyBorder="true" applyAlignment="false" applyProtection="true">
      <alignment horizontal="general" vertical="bottom" textRotation="0" wrapText="false" indent="0" shrinkToFit="false"/>
      <protection locked="false" hidden="false"/>
    </xf>
    <xf numFmtId="171" fontId="4" fillId="4" borderId="0" xfId="19" applyFont="true" applyBorder="true" applyAlignment="true" applyProtection="true">
      <alignment horizontal="general" vertical="bottom" textRotation="0" wrapText="false" indent="0" shrinkToFit="false"/>
      <protection locked="false" hidden="false"/>
    </xf>
    <xf numFmtId="176" fontId="4" fillId="0" borderId="7" xfId="0" applyFont="true" applyBorder="true" applyAlignment="false" applyProtection="false">
      <alignment horizontal="general" vertical="bottom" textRotation="0" wrapText="false" indent="0" shrinkToFit="false"/>
      <protection locked="true" hidden="false"/>
    </xf>
    <xf numFmtId="183" fontId="4" fillId="0" borderId="10" xfId="0" applyFont="true" applyBorder="true" applyAlignment="false" applyProtection="false">
      <alignment horizontal="general" vertical="bottom" textRotation="0" wrapText="false" indent="0" shrinkToFit="false"/>
      <protection locked="true" hidden="false"/>
    </xf>
    <xf numFmtId="171" fontId="4" fillId="4" borderId="0" xfId="0" applyFont="true" applyBorder="true" applyAlignment="false" applyProtection="true">
      <alignment horizontal="general" vertical="bottom" textRotation="0" wrapText="false" indent="0" shrinkToFit="false"/>
      <protection locked="false" hidden="false"/>
    </xf>
    <xf numFmtId="164" fontId="4" fillId="4" borderId="10" xfId="0" applyFont="true" applyBorder="true" applyAlignment="false" applyProtection="true">
      <alignment horizontal="general" vertical="bottom" textRotation="0" wrapText="false" indent="0" shrinkToFit="false"/>
      <protection locked="false" hidden="false"/>
    </xf>
    <xf numFmtId="164" fontId="4" fillId="4" borderId="0" xfId="0" applyFont="true" applyBorder="false" applyAlignment="false" applyProtection="true">
      <alignment horizontal="general" vertical="bottom" textRotation="0" wrapText="false" indent="0" shrinkToFit="false"/>
      <protection locked="false" hidden="false"/>
    </xf>
    <xf numFmtId="183" fontId="4" fillId="0" borderId="8" xfId="0" applyFont="true" applyBorder="true" applyAlignment="false" applyProtection="false">
      <alignment horizontal="general" vertical="bottom" textRotation="0" wrapText="false" indent="0" shrinkToFit="false"/>
      <protection locked="true" hidden="false"/>
    </xf>
    <xf numFmtId="176" fontId="4" fillId="0" borderId="15" xfId="0" applyFont="true" applyBorder="true" applyAlignment="false" applyProtection="false">
      <alignment horizontal="general" vertical="bottom" textRotation="0" wrapText="false" indent="0" shrinkToFit="false"/>
      <protection locked="true" hidden="false"/>
    </xf>
    <xf numFmtId="176" fontId="4" fillId="5" borderId="10" xfId="0" applyFont="true" applyBorder="true" applyAlignment="false" applyProtection="false">
      <alignment horizontal="general" vertical="bottom" textRotation="0" wrapText="false" indent="0" shrinkToFit="false"/>
      <protection locked="true" hidden="false"/>
    </xf>
    <xf numFmtId="176" fontId="4" fillId="5" borderId="8" xfId="0" applyFont="true" applyBorder="true" applyAlignment="false" applyProtection="false">
      <alignment horizontal="general" vertical="bottom" textRotation="0" wrapText="false" indent="0" shrinkToFit="false"/>
      <protection locked="true" hidden="false"/>
    </xf>
    <xf numFmtId="176" fontId="4" fillId="0" borderId="11" xfId="0" applyFont="true" applyBorder="true" applyAlignment="false" applyProtection="false">
      <alignment horizontal="general" vertical="bottom" textRotation="0" wrapText="false" indent="0" shrinkToFit="false"/>
      <protection locked="true" hidden="false"/>
    </xf>
    <xf numFmtId="176" fontId="4" fillId="0" borderId="1" xfId="0" applyFont="true" applyBorder="true" applyAlignment="false" applyProtection="false">
      <alignment horizontal="general" vertical="bottom" textRotation="0" wrapText="false" indent="0" shrinkToFit="false"/>
      <protection locked="true" hidden="false"/>
    </xf>
    <xf numFmtId="170" fontId="4" fillId="6" borderId="4" xfId="0" applyFont="true" applyBorder="true" applyAlignment="false" applyProtection="false">
      <alignment horizontal="general" vertical="bottom" textRotation="0" wrapText="false" indent="0" shrinkToFit="false"/>
      <protection locked="true" hidden="false"/>
    </xf>
    <xf numFmtId="164" fontId="45" fillId="6" borderId="1" xfId="0" applyFont="true" applyBorder="true" applyAlignment="false" applyProtection="false">
      <alignment horizontal="general" vertical="bottom" textRotation="0" wrapText="false" indent="0" shrinkToFit="false"/>
      <protection locked="true" hidden="false"/>
    </xf>
    <xf numFmtId="176" fontId="25" fillId="6" borderId="0" xfId="0" applyFont="true" applyBorder="true" applyAlignment="false" applyProtection="false">
      <alignment horizontal="general" vertical="bottom" textRotation="0" wrapText="false" indent="0" shrinkToFit="false"/>
      <protection locked="true" hidden="false"/>
    </xf>
    <xf numFmtId="164" fontId="25" fillId="0" borderId="7" xfId="0" applyFont="true" applyBorder="true" applyAlignment="true" applyProtection="true">
      <alignment horizontal="right" vertical="bottom" textRotation="0" wrapText="false" indent="0" shrinkToFit="false"/>
      <protection locked="true" hidden="false"/>
    </xf>
    <xf numFmtId="164" fontId="60" fillId="0" borderId="7" xfId="0" applyFont="true" applyBorder="true" applyAlignment="false" applyProtection="true">
      <alignment horizontal="general" vertical="bottom" textRotation="0" wrapText="false" indent="0" shrinkToFit="false"/>
      <protection locked="true" hidden="false"/>
    </xf>
    <xf numFmtId="164" fontId="60" fillId="0" borderId="8" xfId="0" applyFont="true" applyBorder="true" applyAlignment="false" applyProtection="true">
      <alignment horizontal="general" vertical="bottom" textRotation="0" wrapText="false" indent="0" shrinkToFit="false"/>
      <protection locked="true" hidden="false"/>
    </xf>
    <xf numFmtId="164" fontId="60" fillId="0" borderId="8" xfId="0" applyFont="true" applyBorder="true" applyAlignment="false" applyProtection="true">
      <alignment horizontal="general" vertical="bottom" textRotation="0" wrapText="false" indent="0" shrinkToFit="false"/>
      <protection locked="true" hidden="false"/>
    </xf>
    <xf numFmtId="164" fontId="45" fillId="0" borderId="3" xfId="0" applyFont="true" applyBorder="true" applyAlignment="false" applyProtection="true">
      <alignment horizontal="general" vertical="bottom" textRotation="0" wrapText="false" indent="0" shrinkToFit="false"/>
      <protection locked="true" hidden="false"/>
    </xf>
    <xf numFmtId="164" fontId="9" fillId="0" borderId="6" xfId="0" applyFont="true" applyBorder="true" applyAlignment="true" applyProtection="true">
      <alignment horizontal="right" vertical="bottom" textRotation="0" wrapText="false" indent="0" shrinkToFit="false"/>
      <protection locked="true" hidden="false"/>
    </xf>
    <xf numFmtId="177" fontId="4" fillId="4" borderId="4" xfId="0" applyFont="true" applyBorder="true" applyAlignment="false" applyProtection="true">
      <alignment horizontal="general" vertical="bottom" textRotation="0" wrapText="false" indent="0" shrinkToFit="false"/>
      <protection locked="false" hidden="false"/>
    </xf>
    <xf numFmtId="164" fontId="25" fillId="0" borderId="10" xfId="0" applyFont="true" applyBorder="true" applyAlignment="true" applyProtection="true">
      <alignment horizontal="right" vertical="bottom" textRotation="0" wrapText="false" indent="0" shrinkToFit="false"/>
      <protection locked="true" hidden="false"/>
    </xf>
    <xf numFmtId="164" fontId="60" fillId="0" borderId="10" xfId="0" applyFont="true" applyBorder="true" applyAlignment="false" applyProtection="true">
      <alignment horizontal="general" vertical="bottom" textRotation="0" wrapText="false" indent="0" shrinkToFit="false"/>
      <protection locked="true" hidden="false"/>
    </xf>
    <xf numFmtId="176" fontId="4" fillId="0" borderId="5" xfId="0" applyFont="true" applyBorder="true" applyAlignment="false" applyProtection="true">
      <alignment horizontal="general" vertical="bottom" textRotation="0" wrapText="false" indent="0" shrinkToFit="false"/>
      <protection locked="true" hidden="false"/>
    </xf>
    <xf numFmtId="170" fontId="4" fillId="6" borderId="4" xfId="0" applyFont="true" applyBorder="true" applyAlignment="false" applyProtection="true">
      <alignment horizontal="general" vertical="bottom" textRotation="0" wrapText="false" indent="0" shrinkToFit="false"/>
      <protection locked="true" hidden="false"/>
    </xf>
    <xf numFmtId="176" fontId="4" fillId="6" borderId="5" xfId="0" applyFont="true" applyBorder="true" applyAlignment="false" applyProtection="true">
      <alignment horizontal="general" vertical="bottom" textRotation="0" wrapText="false" indent="0" shrinkToFit="false"/>
      <protection locked="true" hidden="false"/>
    </xf>
    <xf numFmtId="176" fontId="4" fillId="6" borderId="4" xfId="0" applyFont="true" applyBorder="true" applyAlignment="false" applyProtection="true">
      <alignment horizontal="general" vertical="bottom" textRotation="0" wrapText="false" indent="0" shrinkToFit="false"/>
      <protection locked="true" hidden="false"/>
    </xf>
    <xf numFmtId="164" fontId="25" fillId="6" borderId="0" xfId="0" applyFont="true" applyBorder="true" applyAlignment="false" applyProtection="true">
      <alignment horizontal="general" vertical="bottom" textRotation="0" wrapText="false" indent="0" shrinkToFit="false"/>
      <protection locked="true" hidden="false"/>
    </xf>
    <xf numFmtId="176" fontId="25" fillId="6" borderId="2" xfId="0" applyFont="true" applyBorder="true" applyAlignment="false" applyProtection="true">
      <alignment horizontal="general" vertical="bottom" textRotation="0" wrapText="false" indent="0" shrinkToFit="false"/>
      <protection locked="true" hidden="false"/>
    </xf>
    <xf numFmtId="176" fontId="25" fillId="6" borderId="1" xfId="0" applyFont="true" applyBorder="true" applyAlignment="false" applyProtection="true">
      <alignment horizontal="general" vertical="bottom" textRotation="0" wrapText="false" indent="0" shrinkToFit="false"/>
      <protection locked="true" hidden="false"/>
    </xf>
    <xf numFmtId="176" fontId="25" fillId="6" borderId="0" xfId="0" applyFont="true" applyBorder="true" applyAlignment="false" applyProtection="true">
      <alignment horizontal="general" vertical="bottom" textRotation="0" wrapText="false" indent="0" shrinkToFit="false"/>
      <protection locked="true" hidden="false"/>
    </xf>
    <xf numFmtId="176" fontId="4" fillId="6" borderId="10" xfId="0" applyFont="true" applyBorder="true" applyAlignment="false" applyProtection="true">
      <alignment horizontal="general" vertical="bottom" textRotation="0" wrapText="false" indent="0" shrinkToFit="false"/>
      <protection locked="true" hidden="false"/>
    </xf>
    <xf numFmtId="176" fontId="4" fillId="6" borderId="8" xfId="0" applyFont="true" applyBorder="true" applyAlignment="false" applyProtection="true">
      <alignment horizontal="general" vertical="bottom" textRotation="0" wrapText="false" indent="0" shrinkToFit="false"/>
      <protection locked="true" hidden="false"/>
    </xf>
    <xf numFmtId="164" fontId="45" fillId="0" borderId="13" xfId="0" applyFont="true" applyBorder="true" applyAlignment="false" applyProtection="true">
      <alignment horizontal="general" vertical="bottom" textRotation="0" wrapText="false" indent="0" shrinkToFit="false"/>
      <protection locked="true" hidden="false"/>
    </xf>
    <xf numFmtId="164" fontId="4" fillId="0" borderId="15" xfId="0" applyFont="true" applyBorder="true" applyAlignment="false" applyProtection="true">
      <alignment horizontal="general" vertical="bottom" textRotation="0" wrapText="false" indent="0" shrinkToFit="false"/>
      <protection locked="true" hidden="false"/>
    </xf>
    <xf numFmtId="176" fontId="4" fillId="4" borderId="2" xfId="0" applyFont="true" applyBorder="true" applyAlignment="false" applyProtection="true">
      <alignment horizontal="general" vertical="bottom" textRotation="0" wrapText="false" indent="0" shrinkToFit="false"/>
      <protection locked="true" hidden="false"/>
    </xf>
    <xf numFmtId="176" fontId="4" fillId="4" borderId="0" xfId="0" applyFont="true" applyBorder="true" applyAlignment="false" applyProtection="true">
      <alignment horizontal="general" vertical="bottom" textRotation="0" wrapText="false" indent="0" shrinkToFit="false"/>
      <protection locked="true" hidden="false"/>
    </xf>
    <xf numFmtId="170" fontId="4" fillId="0" borderId="4" xfId="0" applyFont="true" applyBorder="true" applyAlignment="false" applyProtection="true">
      <alignment horizontal="general" vertical="bottom" textRotation="0" wrapText="false" indent="0" shrinkToFit="false"/>
      <protection locked="true" hidden="false"/>
    </xf>
    <xf numFmtId="176" fontId="4" fillId="0" borderId="4" xfId="0" applyFont="true" applyBorder="true" applyAlignment="false" applyProtection="true">
      <alignment horizontal="general" vertical="bottom" textRotation="0" wrapText="false" indent="0" shrinkToFit="false"/>
      <protection locked="true" hidden="false"/>
    </xf>
    <xf numFmtId="176" fontId="25" fillId="0" borderId="1" xfId="0" applyFont="true" applyBorder="true" applyAlignment="false" applyProtection="true">
      <alignment horizontal="general" vertical="bottom" textRotation="0" wrapText="false" indent="0" shrinkToFit="false"/>
      <protection locked="true" hidden="false"/>
    </xf>
    <xf numFmtId="164" fontId="4" fillId="0" borderId="6" xfId="0" applyFont="true" applyBorder="true" applyAlignment="true" applyProtection="true">
      <alignment horizontal="center" vertical="bottom" textRotation="0" wrapText="false" indent="0" shrinkToFit="false"/>
      <protection locked="true" hidden="false"/>
    </xf>
    <xf numFmtId="171" fontId="13" fillId="0" borderId="11" xfId="0" applyFont="true" applyBorder="true" applyAlignment="true" applyProtection="true">
      <alignment horizontal="right" vertical="bottom" textRotation="0" wrapText="false" indent="0" shrinkToFit="false"/>
      <protection locked="true" hidden="false"/>
    </xf>
    <xf numFmtId="164" fontId="4" fillId="0" borderId="17" xfId="0" applyFont="true" applyBorder="true" applyAlignment="false" applyProtection="true">
      <alignment horizontal="general" vertical="bottom" textRotation="0" wrapText="false" indent="0" shrinkToFit="false"/>
      <protection locked="true" hidden="false"/>
    </xf>
    <xf numFmtId="164" fontId="25" fillId="0" borderId="3" xfId="0" applyFont="true" applyBorder="true" applyAlignment="false" applyProtection="true">
      <alignment horizontal="general" vertical="bottom" textRotation="0" wrapText="false" indent="0" shrinkToFit="false"/>
      <protection locked="true" hidden="false"/>
    </xf>
    <xf numFmtId="164" fontId="4" fillId="0" borderId="2" xfId="0" applyFont="true" applyBorder="true" applyAlignment="true" applyProtection="true">
      <alignment horizontal="center"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true" applyAlignment="false" applyProtection="true">
      <alignment horizontal="general" vertical="bottom" textRotation="0" wrapText="false" indent="0" shrinkToFit="false"/>
      <protection locked="true" hidden="false"/>
    </xf>
    <xf numFmtId="171" fontId="4" fillId="0" borderId="11" xfId="0" applyFont="true" applyBorder="true" applyAlignment="true" applyProtection="true">
      <alignment horizontal="right" vertical="bottom" textRotation="0" wrapText="false" indent="0" shrinkToFit="false"/>
      <protection locked="true" hidden="false"/>
    </xf>
    <xf numFmtId="171" fontId="4" fillId="0" borderId="8" xfId="0" applyFont="true" applyBorder="true" applyAlignment="false" applyProtection="true">
      <alignment horizontal="general" vertical="bottom" textRotation="0" wrapText="false" indent="0" shrinkToFit="false"/>
      <protection locked="true" hidden="false"/>
    </xf>
    <xf numFmtId="171" fontId="4" fillId="0" borderId="10" xfId="0" applyFont="true" applyBorder="true" applyAlignment="false" applyProtection="true">
      <alignment horizontal="general" vertical="bottom" textRotation="0" wrapText="false" indent="0" shrinkToFit="false"/>
      <protection locked="true" hidden="false"/>
    </xf>
    <xf numFmtId="164" fontId="7" fillId="2" borderId="3" xfId="0" applyFont="true" applyBorder="true" applyAlignment="false" applyProtection="false">
      <alignment horizontal="general" vertical="bottom" textRotation="0" wrapText="false" indent="0" shrinkToFit="false"/>
      <protection locked="true" hidden="false"/>
    </xf>
    <xf numFmtId="173" fontId="9" fillId="0" borderId="0" xfId="0" applyFont="true" applyBorder="true" applyAlignment="true" applyProtection="false">
      <alignment horizontal="left" vertical="bottom" textRotation="0" wrapText="false" indent="0" shrinkToFit="false"/>
      <protection locked="true" hidden="false"/>
    </xf>
    <xf numFmtId="164" fontId="34" fillId="0" borderId="0" xfId="0" applyFont="true" applyBorder="true" applyAlignment="true" applyProtection="false">
      <alignment horizontal="center" vertical="bottom" textRotation="0" wrapText="false" indent="0" shrinkToFit="false"/>
      <protection locked="true" hidden="false"/>
    </xf>
    <xf numFmtId="164" fontId="25" fillId="0" borderId="0" xfId="0" applyFont="true" applyBorder="true" applyAlignment="true" applyProtection="false">
      <alignment horizontal="right" vertical="bottom" textRotation="0" wrapText="false" indent="0" shrinkToFit="false"/>
      <protection locked="true" hidden="false"/>
    </xf>
    <xf numFmtId="164" fontId="84" fillId="5" borderId="14" xfId="0" applyFont="true" applyBorder="true" applyAlignment="true" applyProtection="false">
      <alignment horizontal="center" vertical="bottom" textRotation="0" wrapText="false" indent="0" shrinkToFit="false"/>
      <protection locked="true" hidden="false"/>
    </xf>
    <xf numFmtId="164" fontId="44" fillId="5" borderId="14" xfId="0" applyFont="true" applyBorder="true" applyAlignment="false" applyProtection="false">
      <alignment horizontal="general" vertical="bottom" textRotation="0" wrapText="false" indent="0" shrinkToFit="false"/>
      <protection locked="true" hidden="false"/>
    </xf>
    <xf numFmtId="164" fontId="9" fillId="3" borderId="0" xfId="0" applyFont="true" applyBorder="false" applyAlignment="false" applyProtection="false">
      <alignment horizontal="general" vertical="bottom" textRotation="0" wrapText="false" indent="0" shrinkToFit="false"/>
      <protection locked="true" hidden="false"/>
    </xf>
    <xf numFmtId="164" fontId="9" fillId="5" borderId="0" xfId="0" applyFont="true" applyBorder="true" applyAlignment="true" applyProtection="false">
      <alignment horizontal="right" vertical="bottom" textRotation="0" wrapText="false" indent="0" shrinkToFit="false"/>
      <protection locked="true" hidden="false"/>
    </xf>
    <xf numFmtId="164" fontId="9" fillId="5" borderId="0" xfId="0" applyFont="true" applyBorder="true" applyAlignment="false" applyProtection="false">
      <alignment horizontal="general" vertical="bottom" textRotation="0" wrapText="false" indent="0" shrinkToFit="false"/>
      <protection locked="true" hidden="false"/>
    </xf>
    <xf numFmtId="164" fontId="43" fillId="5" borderId="0" xfId="0" applyFont="true" applyBorder="true" applyAlignment="false" applyProtection="false">
      <alignment horizontal="general" vertical="bottom" textRotation="0" wrapText="false" indent="0" shrinkToFit="false"/>
      <protection locked="true" hidden="false"/>
    </xf>
    <xf numFmtId="164" fontId="24" fillId="0" borderId="13" xfId="0" applyFont="true" applyBorder="true" applyAlignment="false" applyProtection="false">
      <alignment horizontal="general" vertical="bottom" textRotation="0" wrapText="false" indent="0" shrinkToFit="false"/>
      <protection locked="true" hidden="false"/>
    </xf>
    <xf numFmtId="164" fontId="9" fillId="0" borderId="14" xfId="0" applyFont="true" applyBorder="true" applyAlignment="false" applyProtection="false">
      <alignment horizontal="general" vertical="bottom" textRotation="0" wrapText="false" indent="0" shrinkToFit="false"/>
      <protection locked="true" hidden="false"/>
    </xf>
    <xf numFmtId="164" fontId="84" fillId="0" borderId="14" xfId="0" applyFont="true" applyBorder="true" applyAlignment="true" applyProtection="false">
      <alignment horizontal="center" vertical="bottom" textRotation="0" wrapText="false" indent="0" shrinkToFit="false"/>
      <protection locked="true" hidden="false"/>
    </xf>
    <xf numFmtId="164" fontId="44" fillId="0" borderId="14" xfId="0" applyFont="true" applyBorder="true" applyAlignment="false" applyProtection="false">
      <alignment horizontal="general" vertical="bottom" textRotation="0" wrapText="false" indent="0" shrinkToFit="false"/>
      <protection locked="true" hidden="false"/>
    </xf>
    <xf numFmtId="164" fontId="44" fillId="0" borderId="15"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true" applyAlignment="false" applyProtection="false">
      <alignment horizontal="general" vertical="bottom" textRotation="0" wrapText="false" indent="0" shrinkToFit="false"/>
      <protection locked="true" hidden="false"/>
    </xf>
    <xf numFmtId="164" fontId="24" fillId="6" borderId="13" xfId="0" applyFont="true" applyBorder="true" applyAlignment="false" applyProtection="false">
      <alignment horizontal="general" vertical="bottom" textRotation="0" wrapText="false" indent="0" shrinkToFit="false"/>
      <protection locked="true" hidden="false"/>
    </xf>
    <xf numFmtId="164" fontId="9" fillId="6" borderId="14" xfId="0" applyFont="true" applyBorder="true" applyAlignment="false" applyProtection="false">
      <alignment horizontal="general" vertical="bottom" textRotation="0" wrapText="false" indent="0" shrinkToFit="false"/>
      <protection locked="true" hidden="false"/>
    </xf>
    <xf numFmtId="164" fontId="84" fillId="6" borderId="14" xfId="0" applyFont="true" applyBorder="true" applyAlignment="true" applyProtection="false">
      <alignment horizontal="center" vertical="bottom" textRotation="0" wrapText="false" indent="0" shrinkToFit="false"/>
      <protection locked="true" hidden="false"/>
    </xf>
    <xf numFmtId="164" fontId="44" fillId="6" borderId="14" xfId="0" applyFont="true" applyBorder="true" applyAlignment="false" applyProtection="false">
      <alignment horizontal="general" vertical="bottom" textRotation="0" wrapText="false" indent="0" shrinkToFit="false"/>
      <protection locked="true" hidden="false"/>
    </xf>
    <xf numFmtId="164" fontId="24" fillId="6" borderId="14" xfId="0" applyFont="true" applyBorder="true" applyAlignment="false" applyProtection="false">
      <alignment horizontal="general" vertical="bottom" textRotation="0" wrapText="false" indent="0" shrinkToFit="false"/>
      <protection locked="true" hidden="false"/>
    </xf>
    <xf numFmtId="164" fontId="44" fillId="6" borderId="15" xfId="0" applyFont="true" applyBorder="true" applyAlignment="false" applyProtection="false">
      <alignment horizontal="general" vertical="bottom" textRotation="0" wrapText="false" indent="0" shrinkToFit="false"/>
      <protection locked="true" hidden="false"/>
    </xf>
    <xf numFmtId="164" fontId="9" fillId="6" borderId="0" xfId="0" applyFont="true" applyBorder="false" applyAlignment="false" applyProtection="false">
      <alignment horizontal="general" vertical="bottom" textRotation="0" wrapText="false" indent="0" shrinkToFit="false"/>
      <protection locked="true" hidden="false"/>
    </xf>
    <xf numFmtId="164" fontId="9" fillId="6" borderId="0" xfId="0" applyFont="true" applyBorder="true" applyAlignment="true" applyProtection="false">
      <alignment horizontal="right" vertical="bottom" textRotation="0" wrapText="false" indent="0" shrinkToFit="false"/>
      <protection locked="true" hidden="false"/>
    </xf>
    <xf numFmtId="164" fontId="43" fillId="6" borderId="0" xfId="0" applyFont="true" applyBorder="true" applyAlignment="false" applyProtection="false">
      <alignment horizontal="general" vertical="bottom" textRotation="0" wrapText="false" indent="0" shrinkToFit="false"/>
      <protection locked="true" hidden="false"/>
    </xf>
    <xf numFmtId="164" fontId="34" fillId="0" borderId="3" xfId="0" applyFont="true" applyBorder="true" applyAlignment="true" applyProtection="false">
      <alignment horizontal="right" vertical="bottom" textRotation="0" wrapText="false" indent="0" shrinkToFit="false"/>
      <protection locked="true" hidden="false"/>
    </xf>
    <xf numFmtId="164" fontId="34" fillId="0" borderId="4" xfId="0" applyFont="true" applyBorder="true" applyAlignment="true" applyProtection="false">
      <alignment horizontal="center" vertical="bottom" textRotation="0" wrapText="false" indent="0" shrinkToFit="false"/>
      <protection locked="true" hidden="false"/>
    </xf>
    <xf numFmtId="164" fontId="60" fillId="0" borderId="5" xfId="0" applyFont="true" applyBorder="true" applyAlignment="false" applyProtection="false">
      <alignment horizontal="general" vertical="bottom" textRotation="0" wrapText="false" indent="0" shrinkToFit="false"/>
      <protection locked="true" hidden="false"/>
    </xf>
    <xf numFmtId="164" fontId="25" fillId="0" borderId="4" xfId="0" applyFont="true" applyBorder="true" applyAlignment="false" applyProtection="true">
      <alignment horizontal="general" vertical="bottom" textRotation="0" wrapText="false" indent="0" shrinkToFit="false"/>
      <protection locked="true" hidden="false"/>
    </xf>
    <xf numFmtId="164" fontId="60" fillId="0" borderId="4" xfId="0" applyFont="true" applyBorder="true" applyAlignment="false" applyProtection="false">
      <alignment horizontal="general" vertical="bottom" textRotation="0" wrapText="false" indent="0" shrinkToFit="false"/>
      <protection locked="true" hidden="false"/>
    </xf>
    <xf numFmtId="164" fontId="60" fillId="0" borderId="4" xfId="0" applyFont="true" applyBorder="true" applyAlignment="false" applyProtection="true">
      <alignment horizontal="general" vertical="bottom" textRotation="0" wrapText="false" indent="0" shrinkToFit="false"/>
      <protection locked="true" hidden="false"/>
    </xf>
    <xf numFmtId="164" fontId="60" fillId="0" borderId="4" xfId="0" applyFont="true" applyBorder="true" applyAlignment="false" applyProtection="true">
      <alignment horizontal="general" vertical="bottom" textRotation="0" wrapText="false" indent="0" shrinkToFit="false"/>
      <protection locked="true" hidden="false"/>
    </xf>
    <xf numFmtId="176" fontId="85" fillId="4" borderId="0" xfId="0" applyFont="true" applyBorder="true" applyAlignment="true" applyProtection="true">
      <alignment horizontal="right" vertical="bottom" textRotation="0" wrapText="false" indent="0" shrinkToFit="false"/>
      <protection locked="false" hidden="false"/>
    </xf>
    <xf numFmtId="176" fontId="33" fillId="4" borderId="7" xfId="0" applyFont="true" applyBorder="true" applyAlignment="true" applyProtection="true">
      <alignment horizontal="right" vertical="bottom" textRotation="0" wrapText="false" indent="0" shrinkToFit="false"/>
      <protection locked="false" hidden="false"/>
    </xf>
    <xf numFmtId="176" fontId="33" fillId="4" borderId="0" xfId="0" applyFont="true" applyBorder="true" applyAlignment="false" applyProtection="true">
      <alignment horizontal="general" vertical="bottom" textRotation="0" wrapText="false" indent="0" shrinkToFit="false"/>
      <protection locked="false" hidden="false"/>
    </xf>
    <xf numFmtId="176" fontId="33" fillId="4" borderId="2" xfId="0" applyFont="true" applyBorder="true" applyAlignment="false" applyProtection="true">
      <alignment horizontal="general" vertical="bottom" textRotation="0" wrapText="false" indent="0" shrinkToFit="false"/>
      <protection locked="false" hidden="false"/>
    </xf>
    <xf numFmtId="164" fontId="85" fillId="0" borderId="0" xfId="0" applyFont="true" applyBorder="true" applyAlignment="true" applyProtection="false">
      <alignment horizontal="right" vertical="bottom" textRotation="0" wrapText="false" indent="0" shrinkToFit="false"/>
      <protection locked="true" hidden="false"/>
    </xf>
    <xf numFmtId="164" fontId="60" fillId="0" borderId="2" xfId="0" applyFont="true" applyBorder="true" applyAlignment="true" applyProtection="false">
      <alignment horizontal="right" vertical="bottom" textRotation="0" wrapText="false" indent="0" shrinkToFit="false"/>
      <protection locked="true" hidden="false"/>
    </xf>
    <xf numFmtId="176" fontId="33" fillId="4" borderId="6" xfId="0" applyFont="true" applyBorder="true" applyAlignment="true" applyProtection="true">
      <alignment horizontal="right" vertical="bottom" textRotation="0" wrapText="false" indent="0" shrinkToFit="false"/>
      <protection locked="false" hidden="false"/>
    </xf>
    <xf numFmtId="176" fontId="33" fillId="4" borderId="11" xfId="0" applyFont="true" applyBorder="true" applyAlignment="true" applyProtection="true">
      <alignment horizontal="right" vertical="bottom" textRotation="0" wrapText="false" indent="0" shrinkToFit="false"/>
      <protection locked="false" hidden="false"/>
    </xf>
    <xf numFmtId="164" fontId="4" fillId="8" borderId="7" xfId="0" applyFont="true" applyBorder="true" applyAlignment="true" applyProtection="false">
      <alignment horizontal="right" vertical="bottom" textRotation="0" wrapText="false" indent="0" shrinkToFit="false"/>
      <protection locked="true" hidden="false"/>
    </xf>
    <xf numFmtId="182" fontId="33" fillId="0" borderId="7" xfId="0" applyFont="true" applyBorder="true" applyAlignment="false" applyProtection="false">
      <alignment horizontal="general" vertical="bottom" textRotation="0" wrapText="false" indent="0" shrinkToFit="false"/>
      <protection locked="true" hidden="false"/>
    </xf>
    <xf numFmtId="182" fontId="33" fillId="0" borderId="7"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76" fontId="85" fillId="4" borderId="8" xfId="0" applyFont="true" applyBorder="true" applyAlignment="true" applyProtection="true">
      <alignment horizontal="right" vertical="bottom" textRotation="0" wrapText="false" indent="0" shrinkToFit="false"/>
      <protection locked="false" hidden="false"/>
    </xf>
    <xf numFmtId="176" fontId="33" fillId="4" borderId="17" xfId="0" applyFont="true" applyBorder="true" applyAlignment="true" applyProtection="true">
      <alignment horizontal="right" vertical="bottom" textRotation="0" wrapText="false" indent="0" shrinkToFit="false"/>
      <protection locked="false" hidden="false"/>
    </xf>
    <xf numFmtId="176" fontId="33" fillId="4" borderId="8" xfId="0" applyFont="true" applyBorder="true" applyAlignment="false" applyProtection="true">
      <alignment horizontal="general" vertical="bottom" textRotation="0" wrapText="false" indent="0" shrinkToFit="false"/>
      <protection locked="false" hidden="false"/>
    </xf>
    <xf numFmtId="176" fontId="33" fillId="4" borderId="10" xfId="0" applyFont="true" applyBorder="true" applyAlignment="false" applyProtection="true">
      <alignment horizontal="general" vertical="bottom" textRotation="0" wrapText="false" indent="0" shrinkToFit="false"/>
      <protection locked="false" hidden="false"/>
    </xf>
    <xf numFmtId="172" fontId="4" fillId="8" borderId="7" xfId="0" applyFont="true" applyBorder="true" applyAlignment="false" applyProtection="false">
      <alignment horizontal="general" vertical="bottom" textRotation="0" wrapText="false" indent="0" shrinkToFit="false"/>
      <protection locked="true" hidden="false"/>
    </xf>
    <xf numFmtId="176" fontId="4" fillId="0" borderId="7" xfId="0" applyFont="true" applyBorder="true" applyAlignment="false" applyProtection="false">
      <alignment horizontal="general" vertical="bottom" textRotation="0" wrapText="false" indent="0" shrinkToFit="false"/>
      <protection locked="true" hidden="false"/>
    </xf>
    <xf numFmtId="182" fontId="4" fillId="0" borderId="7" xfId="0" applyFont="true" applyBorder="true" applyAlignment="false" applyProtection="false">
      <alignment horizontal="general" vertical="bottom" textRotation="0" wrapText="false" indent="0" shrinkToFit="false"/>
      <protection locked="true" hidden="false"/>
    </xf>
    <xf numFmtId="176" fontId="85" fillId="0" borderId="0" xfId="0" applyFont="true" applyBorder="true" applyAlignment="true" applyProtection="false">
      <alignment horizontal="right" vertical="bottom" textRotation="0" wrapText="false" indent="0" shrinkToFit="false"/>
      <protection locked="true" hidden="false"/>
    </xf>
    <xf numFmtId="176" fontId="33" fillId="0" borderId="17" xfId="0" applyFont="true" applyBorder="true" applyAlignment="true" applyProtection="false">
      <alignment horizontal="right" vertical="bottom" textRotation="0" wrapText="false" indent="0" shrinkToFit="false"/>
      <protection locked="true" hidden="false"/>
    </xf>
    <xf numFmtId="176" fontId="33" fillId="0" borderId="5" xfId="0" applyFont="true" applyBorder="true" applyAlignment="false" applyProtection="false">
      <alignment horizontal="general" vertical="bottom" textRotation="0" wrapText="false" indent="0" shrinkToFit="false"/>
      <protection locked="true" hidden="false"/>
    </xf>
    <xf numFmtId="172" fontId="4" fillId="8" borderId="7" xfId="0" applyFont="true" applyBorder="true" applyAlignment="true" applyProtection="false">
      <alignment horizontal="right" vertical="bottom" textRotation="0" wrapText="false" indent="0" shrinkToFit="false"/>
      <protection locked="true" hidden="false"/>
    </xf>
    <xf numFmtId="182" fontId="4" fillId="0" borderId="7" xfId="0" applyFont="true" applyBorder="true" applyAlignment="false" applyProtection="false">
      <alignment horizontal="general" vertical="bottom" textRotation="0" wrapText="false" indent="0" shrinkToFit="false"/>
      <protection locked="true" hidden="false"/>
    </xf>
    <xf numFmtId="172" fontId="4" fillId="0" borderId="7" xfId="0" applyFont="true" applyBorder="true" applyAlignment="true" applyProtection="false">
      <alignment horizontal="right" vertical="bottom" textRotation="0" wrapText="false" indent="0" shrinkToFit="false"/>
      <protection locked="true" hidden="false"/>
    </xf>
    <xf numFmtId="176" fontId="33" fillId="0" borderId="7" xfId="0" applyFont="true" applyBorder="true" applyAlignment="true" applyProtection="false">
      <alignment horizontal="right" vertical="bottom" textRotation="0" wrapText="false" indent="0" shrinkToFit="false"/>
      <protection locked="true" hidden="false"/>
    </xf>
    <xf numFmtId="176" fontId="33" fillId="0" borderId="2" xfId="0" applyFont="true" applyBorder="true" applyAlignment="false" applyProtection="false">
      <alignment horizontal="general" vertical="bottom" textRotation="0" wrapText="false" indent="0" shrinkToFit="false"/>
      <protection locked="true" hidden="false"/>
    </xf>
    <xf numFmtId="172" fontId="4" fillId="0" borderId="7" xfId="0" applyFont="true" applyBorder="true" applyAlignment="true" applyProtection="false">
      <alignment horizontal="right" vertical="bottom" textRotation="0" wrapText="false" indent="0" shrinkToFit="false"/>
      <protection locked="true" hidden="false"/>
    </xf>
    <xf numFmtId="182" fontId="25" fillId="0" borderId="7" xfId="0" applyFont="true" applyBorder="true" applyAlignment="false" applyProtection="false">
      <alignment horizontal="general" vertical="bottom" textRotation="0" wrapText="false" indent="0" shrinkToFit="false"/>
      <protection locked="true" hidden="false"/>
    </xf>
    <xf numFmtId="164" fontId="85" fillId="0" borderId="8" xfId="0" applyFont="true" applyBorder="true" applyAlignment="true" applyProtection="false">
      <alignment horizontal="center" vertical="bottom" textRotation="0" wrapText="false" indent="0" shrinkToFit="false"/>
      <protection locked="true" hidden="false"/>
    </xf>
    <xf numFmtId="164" fontId="60" fillId="0" borderId="10" xfId="0" applyFont="true" applyBorder="true" applyAlignment="false" applyProtection="false">
      <alignment horizontal="general" vertical="bottom" textRotation="0" wrapText="false" indent="0" shrinkToFit="false"/>
      <protection locked="true" hidden="false"/>
    </xf>
    <xf numFmtId="172" fontId="4" fillId="0" borderId="0" xfId="0" applyFont="true" applyBorder="true" applyAlignment="true" applyProtection="false">
      <alignment horizontal="right" vertical="bottom" textRotation="0" wrapText="false" indent="0" shrinkToFit="false"/>
      <protection locked="true" hidden="false"/>
    </xf>
    <xf numFmtId="182" fontId="4" fillId="0" borderId="0" xfId="0" applyFont="true" applyBorder="false" applyAlignment="false" applyProtection="false">
      <alignment horizontal="general" vertical="bottom" textRotation="0" wrapText="false" indent="0" shrinkToFit="false"/>
      <protection locked="true" hidden="false"/>
    </xf>
    <xf numFmtId="164" fontId="86" fillId="6" borderId="14" xfId="0" applyFont="true" applyBorder="true" applyAlignment="true" applyProtection="false">
      <alignment horizontal="center" vertical="bottom" textRotation="0" wrapText="false" indent="0" shrinkToFit="false"/>
      <protection locked="true" hidden="false"/>
    </xf>
    <xf numFmtId="176" fontId="4" fillId="6" borderId="0" xfId="0" applyFont="true" applyBorder="false" applyAlignment="false" applyProtection="false">
      <alignment horizontal="general" vertical="bottom" textRotation="0" wrapText="false" indent="0" shrinkToFit="false"/>
      <protection locked="true" hidden="false"/>
    </xf>
    <xf numFmtId="164" fontId="4" fillId="6" borderId="0" xfId="0" applyFont="true" applyBorder="false" applyAlignment="true" applyProtection="false">
      <alignment horizontal="right" vertical="bottom" textRotation="0" wrapText="false" indent="0" shrinkToFit="false"/>
      <protection locked="true" hidden="false"/>
    </xf>
    <xf numFmtId="164" fontId="85" fillId="0" borderId="0" xfId="0" applyFont="true" applyBorder="true" applyAlignment="true" applyProtection="false">
      <alignment horizontal="center" vertical="bottom" textRotation="0" wrapText="false" indent="0" shrinkToFit="false"/>
      <protection locked="true" hidden="false"/>
    </xf>
    <xf numFmtId="176" fontId="4" fillId="0" borderId="0" xfId="0" applyFont="true" applyBorder="false" applyAlignment="false" applyProtection="false">
      <alignment horizontal="general" vertical="bottom" textRotation="0" wrapText="false" indent="0" shrinkToFit="false"/>
      <protection locked="true" hidden="false"/>
    </xf>
    <xf numFmtId="176" fontId="33" fillId="4" borderId="7" xfId="0" applyFont="true" applyBorder="true" applyAlignment="false" applyProtection="true">
      <alignment horizontal="general" vertical="bottom" textRotation="0" wrapText="false" indent="0" shrinkToFit="false"/>
      <protection locked="false" hidden="false"/>
    </xf>
    <xf numFmtId="164" fontId="4" fillId="0" borderId="7" xfId="0" applyFont="true" applyBorder="true" applyAlignment="true" applyProtection="false">
      <alignment horizontal="left" vertical="bottom" textRotation="0" wrapText="false" indent="0" shrinkToFit="false"/>
      <protection locked="true" hidden="false"/>
    </xf>
    <xf numFmtId="164" fontId="4" fillId="8" borderId="7" xfId="0" applyFont="true" applyBorder="true" applyAlignment="false" applyProtection="false">
      <alignment horizontal="general" vertical="bottom" textRotation="0" wrapText="false" indent="0" shrinkToFit="false"/>
      <protection locked="true" hidden="false"/>
    </xf>
    <xf numFmtId="172" fontId="4" fillId="0" borderId="7" xfId="0" applyFont="true" applyBorder="true" applyAlignment="false" applyProtection="false">
      <alignment horizontal="general" vertical="bottom" textRotation="0" wrapText="false" indent="0" shrinkToFit="false"/>
      <protection locked="true" hidden="false"/>
    </xf>
    <xf numFmtId="176" fontId="33" fillId="4" borderId="6" xfId="0" applyFont="true" applyBorder="true" applyAlignment="false" applyProtection="true">
      <alignment horizontal="general" vertical="bottom" textRotation="0" wrapText="false" indent="0" shrinkToFit="false"/>
      <protection locked="false" hidden="false"/>
    </xf>
    <xf numFmtId="176" fontId="33" fillId="4" borderId="11" xfId="0" applyFont="true" applyBorder="true" applyAlignment="false" applyProtection="true">
      <alignment horizontal="general" vertical="bottom" textRotation="0" wrapText="false" indent="0" shrinkToFit="false"/>
      <protection locked="false" hidden="false"/>
    </xf>
    <xf numFmtId="164" fontId="33" fillId="0" borderId="7" xfId="0" applyFont="true" applyBorder="true" applyAlignment="false" applyProtection="false">
      <alignment horizontal="general" vertical="bottom" textRotation="0" wrapText="false" indent="0" shrinkToFit="false"/>
      <protection locked="true" hidden="false"/>
    </xf>
    <xf numFmtId="176" fontId="33" fillId="4" borderId="17" xfId="0" applyFont="true" applyBorder="true" applyAlignment="false" applyProtection="true">
      <alignment horizontal="general" vertical="bottom" textRotation="0" wrapText="false" indent="0" shrinkToFit="false"/>
      <protection locked="false" hidden="false"/>
    </xf>
    <xf numFmtId="176" fontId="33" fillId="0" borderId="17" xfId="0" applyFont="true" applyBorder="true" applyAlignment="false" applyProtection="false">
      <alignment horizontal="general" vertical="bottom" textRotation="0" wrapText="false" indent="0" shrinkToFit="false"/>
      <protection locked="true" hidden="false"/>
    </xf>
    <xf numFmtId="176" fontId="33" fillId="0" borderId="7" xfId="0" applyFont="true" applyBorder="true" applyAlignment="false" applyProtection="false">
      <alignment horizontal="general" vertical="bottom" textRotation="0" wrapText="false" indent="0" shrinkToFit="false"/>
      <protection locked="true" hidden="false"/>
    </xf>
    <xf numFmtId="164" fontId="25" fillId="3" borderId="0" xfId="0" applyFont="true" applyBorder="true" applyAlignment="false" applyProtection="false">
      <alignment horizontal="general" vertical="bottom" textRotation="0" wrapText="false" indent="0" shrinkToFit="false"/>
      <protection locked="true" hidden="false"/>
    </xf>
    <xf numFmtId="164" fontId="85" fillId="0" borderId="14" xfId="0" applyFont="true" applyBorder="true" applyAlignment="true" applyProtection="false">
      <alignment horizontal="center" vertical="bottom" textRotation="0" wrapText="false" indent="0" shrinkToFit="false"/>
      <protection locked="true" hidden="false"/>
    </xf>
    <xf numFmtId="164" fontId="60" fillId="0" borderId="14" xfId="0" applyFont="true" applyBorder="true" applyAlignment="false" applyProtection="false">
      <alignment horizontal="general" vertical="bottom" textRotation="0" wrapText="false" indent="0" shrinkToFit="false"/>
      <protection locked="true" hidden="false"/>
    </xf>
    <xf numFmtId="164" fontId="60" fillId="0" borderId="14"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24" fillId="5" borderId="9" xfId="0" applyFont="true" applyBorder="true" applyAlignment="false" applyProtection="false">
      <alignment horizontal="general" vertical="bottom" textRotation="0" wrapText="false" indent="0" shrinkToFit="false"/>
      <protection locked="true" hidden="false"/>
    </xf>
    <xf numFmtId="164" fontId="84" fillId="5" borderId="8" xfId="0" applyFont="true" applyBorder="true" applyAlignment="false" applyProtection="false">
      <alignment horizontal="general" vertical="bottom" textRotation="0" wrapText="false" indent="0" shrinkToFit="false"/>
      <protection locked="true" hidden="false"/>
    </xf>
    <xf numFmtId="164" fontId="9" fillId="5" borderId="8" xfId="0" applyFont="true" applyBorder="true" applyAlignment="false" applyProtection="false">
      <alignment horizontal="general" vertical="bottom" textRotation="0" wrapText="false" indent="0" shrinkToFit="false"/>
      <protection locked="true" hidden="false"/>
    </xf>
    <xf numFmtId="173" fontId="84" fillId="5" borderId="8" xfId="0" applyFont="true" applyBorder="true" applyAlignment="false" applyProtection="false">
      <alignment horizontal="general" vertical="bottom" textRotation="0" wrapText="false" indent="0" shrinkToFit="false"/>
      <protection locked="true" hidden="false"/>
    </xf>
    <xf numFmtId="164" fontId="84" fillId="5" borderId="10" xfId="0" applyFont="true" applyBorder="true" applyAlignment="false" applyProtection="false">
      <alignment horizontal="general" vertical="bottom" textRotation="0" wrapText="false" indent="0" shrinkToFit="false"/>
      <protection locked="true" hidden="false"/>
    </xf>
    <xf numFmtId="172" fontId="9" fillId="0" borderId="0" xfId="0" applyFont="true" applyBorder="true" applyAlignment="false" applyProtection="false">
      <alignment horizontal="general" vertical="bottom" textRotation="0" wrapText="false" indent="0" shrinkToFit="false"/>
      <protection locked="true" hidden="false"/>
    </xf>
    <xf numFmtId="176" fontId="9" fillId="0" borderId="0" xfId="0" applyFont="true" applyBorder="true" applyAlignment="false" applyProtection="false">
      <alignment horizontal="general" vertical="bottom" textRotation="0" wrapText="false" indent="0" shrinkToFit="false"/>
      <protection locked="true" hidden="false"/>
    </xf>
    <xf numFmtId="176" fontId="4" fillId="15" borderId="0" xfId="0" applyFont="true" applyBorder="true" applyAlignment="false" applyProtection="true">
      <alignment horizontal="general" vertical="bottom" textRotation="0" wrapText="false" indent="0" shrinkToFit="false"/>
      <protection locked="false" hidden="false"/>
    </xf>
    <xf numFmtId="176" fontId="4" fillId="4" borderId="6" xfId="0" applyFont="true" applyBorder="true" applyAlignment="false" applyProtection="true">
      <alignment horizontal="general" vertical="bottom" textRotation="0" wrapText="false" indent="0" shrinkToFit="false"/>
      <protection locked="false" hidden="false"/>
    </xf>
    <xf numFmtId="176" fontId="4" fillId="4" borderId="11" xfId="0" applyFont="true" applyBorder="true" applyAlignment="false" applyProtection="true">
      <alignment horizontal="general" vertical="bottom" textRotation="0" wrapText="false" indent="0" shrinkToFit="false"/>
      <protection locked="false" hidden="false"/>
    </xf>
    <xf numFmtId="176" fontId="4" fillId="15" borderId="10" xfId="0" applyFont="true" applyBorder="true" applyAlignment="false" applyProtection="true">
      <alignment horizontal="general" vertical="bottom" textRotation="0" wrapText="false" indent="0" shrinkToFit="false"/>
      <protection locked="false" hidden="false"/>
    </xf>
    <xf numFmtId="176" fontId="4" fillId="4" borderId="17" xfId="0" applyFont="true" applyBorder="true" applyAlignment="false" applyProtection="true">
      <alignment horizontal="general" vertical="bottom" textRotation="0" wrapText="false" indent="0" shrinkToFit="false"/>
      <protection locked="false" hidden="false"/>
    </xf>
    <xf numFmtId="176" fontId="4" fillId="0" borderId="17" xfId="0" applyFont="true" applyBorder="true" applyAlignment="false" applyProtection="false">
      <alignment horizontal="general" vertical="bottom" textRotation="0" wrapText="false" indent="0" shrinkToFit="false"/>
      <protection locked="true" hidden="false"/>
    </xf>
    <xf numFmtId="172" fontId="4" fillId="0" borderId="7" xfId="0" applyFont="true" applyBorder="true" applyAlignment="false" applyProtection="false">
      <alignment horizontal="general" vertical="bottom" textRotation="0" wrapText="false" indent="0" shrinkToFit="false"/>
      <protection locked="true" hidden="false"/>
    </xf>
    <xf numFmtId="176" fontId="4" fillId="0" borderId="17" xfId="0" applyFont="true" applyBorder="true" applyAlignment="false" applyProtection="false">
      <alignment horizontal="general" vertical="bottom" textRotation="0" wrapText="false" indent="0" shrinkToFit="false"/>
      <protection locked="true" hidden="false"/>
    </xf>
    <xf numFmtId="176" fontId="4" fillId="4" borderId="7" xfId="0" applyFont="true" applyBorder="true" applyAlignment="false" applyProtection="true">
      <alignment horizontal="general" vertical="bottom" textRotation="0" wrapText="false" indent="0" shrinkToFit="false"/>
      <protection locked="false" hidden="false"/>
    </xf>
    <xf numFmtId="176" fontId="4" fillId="0" borderId="0" xfId="0" applyFont="true" applyBorder="false" applyAlignment="false" applyProtection="true">
      <alignment horizontal="general" vertical="bottom" textRotation="0" wrapText="false" indent="0" shrinkToFit="false"/>
      <protection locked="true" hidden="false"/>
    </xf>
    <xf numFmtId="176" fontId="4" fillId="3" borderId="0" xfId="0" applyFont="true" applyBorder="true" applyAlignment="false" applyProtection="false">
      <alignment horizontal="general" vertical="bottom" textRotation="0" wrapText="false" indent="0" shrinkToFit="false"/>
      <protection locked="true" hidden="false"/>
    </xf>
    <xf numFmtId="176" fontId="25" fillId="0" borderId="7" xfId="0" applyFont="true" applyBorder="true" applyAlignment="true" applyProtection="false">
      <alignment horizontal="general" vertical="bottom" textRotation="0" wrapText="false" indent="0" shrinkToFit="false"/>
      <protection locked="true" hidden="false"/>
    </xf>
    <xf numFmtId="164" fontId="25" fillId="0" borderId="7" xfId="0" applyFont="true" applyBorder="true" applyAlignment="false" applyProtection="false">
      <alignment horizontal="general" vertical="bottom" textRotation="0" wrapText="false" indent="0" shrinkToFit="false"/>
      <protection locked="true" hidden="false"/>
    </xf>
    <xf numFmtId="176" fontId="25" fillId="0" borderId="7" xfId="0" applyFont="true" applyBorder="true" applyAlignment="false" applyProtection="false">
      <alignment horizontal="general" vertical="bottom" textRotation="0" wrapText="false" indent="0" shrinkToFit="false"/>
      <protection locked="true" hidden="false"/>
    </xf>
    <xf numFmtId="176" fontId="9" fillId="5" borderId="14" xfId="0" applyFont="true" applyBorder="true" applyAlignment="false" applyProtection="false">
      <alignment horizontal="general" vertical="bottom" textRotation="0" wrapText="false" indent="0" shrinkToFit="false"/>
      <protection locked="true" hidden="false"/>
    </xf>
    <xf numFmtId="176" fontId="9" fillId="5" borderId="15"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76" fontId="4" fillId="0" borderId="2" xfId="0" applyFont="true" applyBorder="true" applyAlignment="true" applyProtection="false">
      <alignment horizontal="center" vertical="bottom" textRotation="0" wrapText="false" indent="0" shrinkToFit="false"/>
      <protection locked="true" hidden="false"/>
    </xf>
    <xf numFmtId="170" fontId="4" fillId="4" borderId="0" xfId="0" applyFont="true" applyBorder="true" applyAlignment="true" applyProtection="true">
      <alignment horizontal="right" vertical="bottom" textRotation="0" wrapText="false" indent="0" shrinkToFit="false"/>
      <protection locked="false" hidden="false"/>
    </xf>
    <xf numFmtId="171" fontId="4" fillId="0" borderId="0" xfId="0" applyFont="true" applyBorder="true" applyAlignment="true" applyProtection="true">
      <alignment horizontal="right" vertical="bottom" textRotation="0" wrapText="false" indent="0" shrinkToFit="false"/>
      <protection locked="true" hidden="false"/>
    </xf>
    <xf numFmtId="170" fontId="4" fillId="0" borderId="0" xfId="0" applyFont="true" applyBorder="true" applyAlignment="true" applyProtection="false">
      <alignment horizontal="right" vertical="bottom" textRotation="0" wrapText="false" indent="0" shrinkToFit="false"/>
      <protection locked="true" hidden="false"/>
    </xf>
    <xf numFmtId="171" fontId="4" fillId="0" borderId="0" xfId="0" applyFont="true" applyBorder="true" applyAlignment="true" applyProtection="false">
      <alignment horizontal="right" vertical="bottom" textRotation="0" wrapText="false" indent="0" shrinkToFit="false"/>
      <protection locked="true" hidden="false"/>
    </xf>
    <xf numFmtId="170" fontId="4" fillId="0" borderId="0" xfId="0" applyFont="true" applyBorder="true" applyAlignment="true" applyProtection="false">
      <alignment horizontal="center" vertical="bottom" textRotation="0" wrapText="false" indent="0" shrinkToFit="false"/>
      <protection locked="true" hidden="false"/>
    </xf>
    <xf numFmtId="171" fontId="4" fillId="0" borderId="8" xfId="19" applyFont="true" applyBorder="true" applyAlignment="true" applyProtection="true">
      <alignment horizontal="general" vertical="bottom" textRotation="0" wrapText="false" indent="0" shrinkToFit="false"/>
      <protection locked="true" hidden="false"/>
    </xf>
    <xf numFmtId="176" fontId="42" fillId="2" borderId="4" xfId="0" applyFont="true" applyBorder="true" applyAlignment="false" applyProtection="false">
      <alignment horizontal="general" vertical="bottom" textRotation="0" wrapText="false" indent="0" shrinkToFit="false"/>
      <protection locked="true" hidden="false"/>
    </xf>
    <xf numFmtId="176" fontId="30" fillId="2" borderId="4" xfId="0" applyFont="true" applyBorder="true" applyAlignment="false" applyProtection="false">
      <alignment horizontal="general" vertical="bottom" textRotation="0" wrapText="false" indent="0" shrinkToFit="false"/>
      <protection locked="true" hidden="false"/>
    </xf>
    <xf numFmtId="176" fontId="7" fillId="2" borderId="4" xfId="0" applyFont="true" applyBorder="true" applyAlignment="false" applyProtection="false">
      <alignment horizontal="general" vertical="bottom" textRotation="0" wrapText="false" indent="0" shrinkToFit="false"/>
      <protection locked="true" hidden="false"/>
    </xf>
    <xf numFmtId="176" fontId="7" fillId="2" borderId="5" xfId="0" applyFont="true" applyBorder="true" applyAlignment="true" applyProtection="false">
      <alignment horizontal="right" vertical="bottom" textRotation="0" wrapText="false" indent="0" shrinkToFit="false"/>
      <protection locked="true" hidden="false"/>
    </xf>
    <xf numFmtId="176" fontId="43" fillId="0" borderId="0" xfId="0" applyFont="true" applyBorder="true" applyAlignment="false" applyProtection="false">
      <alignment horizontal="general" vertical="bottom" textRotation="0" wrapText="false" indent="0" shrinkToFit="false"/>
      <protection locked="true" hidden="false"/>
    </xf>
    <xf numFmtId="176" fontId="9" fillId="0" borderId="0" xfId="0" applyFont="true" applyBorder="true" applyAlignment="true" applyProtection="false">
      <alignment horizontal="left" vertical="bottom" textRotation="0" wrapText="false" indent="0" shrinkToFit="false"/>
      <protection locked="true" hidden="false"/>
    </xf>
    <xf numFmtId="176" fontId="43" fillId="0" borderId="0" xfId="0" applyFont="true" applyBorder="true" applyAlignment="true" applyProtection="false">
      <alignment horizontal="right" vertical="bottom" textRotation="0" wrapText="false" indent="0" shrinkToFit="false"/>
      <protection locked="true" hidden="false"/>
    </xf>
    <xf numFmtId="176" fontId="43" fillId="0" borderId="2" xfId="0" applyFont="true" applyBorder="true" applyAlignment="false" applyProtection="false">
      <alignment horizontal="general" vertical="bottom" textRotation="0" wrapText="false" indent="0" shrinkToFit="false"/>
      <protection locked="true" hidden="false"/>
    </xf>
    <xf numFmtId="176" fontId="34" fillId="0" borderId="0" xfId="0" applyFont="true" applyBorder="true" applyAlignment="false" applyProtection="false">
      <alignment horizontal="general" vertical="bottom" textRotation="0" wrapText="false" indent="0" shrinkToFit="false"/>
      <protection locked="true" hidden="false"/>
    </xf>
    <xf numFmtId="176" fontId="34" fillId="0" borderId="2" xfId="0" applyFont="true" applyBorder="true" applyAlignment="false" applyProtection="false">
      <alignment horizontal="general" vertical="bottom" textRotation="0" wrapText="false" indent="0" shrinkToFit="false"/>
      <protection locked="true" hidden="false"/>
    </xf>
    <xf numFmtId="164" fontId="60" fillId="0" borderId="6"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76" fontId="4" fillId="0" borderId="5" xfId="0" applyFont="true" applyBorder="true" applyAlignment="false" applyProtection="false">
      <alignment horizontal="general" vertical="bottom" textRotation="0" wrapText="false" indent="0" shrinkToFit="false"/>
      <protection locked="true" hidden="false"/>
    </xf>
    <xf numFmtId="176" fontId="4" fillId="0" borderId="4" xfId="0" applyFont="true" applyBorder="true" applyAlignment="false" applyProtection="true">
      <alignment horizontal="general" vertical="bottom" textRotation="0" wrapText="false" indent="0" shrinkToFit="false"/>
      <protection locked="false" hidden="false"/>
    </xf>
    <xf numFmtId="176" fontId="4" fillId="0" borderId="5" xfId="0" applyFont="true" applyBorder="true" applyAlignment="false" applyProtection="true">
      <alignment horizontal="general" vertical="bottom" textRotation="0" wrapText="false" indent="0" shrinkToFit="false"/>
      <protection locked="false" hidden="false"/>
    </xf>
    <xf numFmtId="176" fontId="25" fillId="0" borderId="3" xfId="0" applyFont="true" applyBorder="true" applyAlignment="false" applyProtection="false">
      <alignment horizontal="general" vertical="bottom" textRotation="0" wrapText="false" indent="0" shrinkToFit="false"/>
      <protection locked="true" hidden="false"/>
    </xf>
    <xf numFmtId="164" fontId="25" fillId="3" borderId="4"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true" applyProtection="false">
      <alignment horizontal="right" vertical="bottom" textRotation="0" wrapText="false" indent="0" shrinkToFit="false"/>
      <protection locked="true" hidden="false"/>
    </xf>
    <xf numFmtId="164" fontId="4" fillId="0" borderId="1"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true" applyAlignment="false" applyProtection="true">
      <alignment horizontal="general" vertical="bottom" textRotation="0" wrapText="false" indent="0" shrinkToFit="false"/>
      <protection locked="true" hidden="true"/>
    </xf>
    <xf numFmtId="169" fontId="4" fillId="0" borderId="0" xfId="0" applyFont="true" applyBorder="true" applyAlignment="false" applyProtection="true">
      <alignment horizontal="general" vertical="bottom" textRotation="0" wrapText="false" indent="0" shrinkToFit="false"/>
      <protection locked="true" hidden="true"/>
    </xf>
    <xf numFmtId="164" fontId="4" fillId="0" borderId="2" xfId="0" applyFont="true" applyBorder="true" applyAlignment="true" applyProtection="true">
      <alignment horizontal="right" vertical="bottom" textRotation="0" wrapText="false" indent="0" shrinkToFit="false"/>
      <protection locked="true" hidden="true"/>
    </xf>
    <xf numFmtId="164" fontId="9" fillId="0" borderId="1" xfId="0" applyFont="true" applyBorder="true" applyAlignment="false" applyProtection="true">
      <alignment horizontal="general" vertical="bottom" textRotation="0" wrapText="false" indent="0" shrinkToFit="false"/>
      <protection locked="true" hidden="true"/>
    </xf>
    <xf numFmtId="164" fontId="44" fillId="0" borderId="0" xfId="0" applyFont="true" applyBorder="true" applyAlignment="true" applyProtection="true">
      <alignment horizontal="left" vertical="bottom" textRotation="0" wrapText="false" indent="0" shrinkToFit="false"/>
      <protection locked="true" hidden="true"/>
    </xf>
    <xf numFmtId="169" fontId="9" fillId="0" borderId="0" xfId="0" applyFont="true" applyBorder="true" applyAlignment="false" applyProtection="true">
      <alignment horizontal="general" vertical="bottom" textRotation="0" wrapText="false" indent="0" shrinkToFit="false"/>
      <protection locked="true" hidden="true"/>
    </xf>
    <xf numFmtId="173" fontId="43" fillId="0" borderId="0" xfId="0" applyFont="true" applyBorder="true" applyAlignment="false" applyProtection="true">
      <alignment horizontal="general" vertical="bottom" textRotation="0" wrapText="false" indent="0" shrinkToFit="false"/>
      <protection locked="true" hidden="true"/>
    </xf>
    <xf numFmtId="164" fontId="9" fillId="0" borderId="0" xfId="0" applyFont="true" applyBorder="true" applyAlignment="true" applyProtection="true">
      <alignment horizontal="left" vertical="bottom" textRotation="0" wrapText="false" indent="0" shrinkToFit="false"/>
      <protection locked="true" hidden="true"/>
    </xf>
    <xf numFmtId="173" fontId="43" fillId="0" borderId="0" xfId="0" applyFont="true" applyBorder="true" applyAlignment="true" applyProtection="true">
      <alignment horizontal="right" vertical="bottom" textRotation="0" wrapText="false" indent="0" shrinkToFit="false"/>
      <protection locked="true" hidden="true"/>
    </xf>
    <xf numFmtId="164" fontId="9" fillId="0" borderId="0" xfId="0" applyFont="true" applyBorder="true" applyAlignment="true" applyProtection="true">
      <alignment horizontal="left" vertical="bottom" textRotation="0" wrapText="false" indent="0" shrinkToFit="false"/>
      <protection locked="true" hidden="true"/>
    </xf>
    <xf numFmtId="164" fontId="9" fillId="0" borderId="0" xfId="0" applyFont="true" applyBorder="true" applyAlignment="false" applyProtection="true">
      <alignment horizontal="general" vertical="bottom" textRotation="0" wrapText="false" indent="0" shrinkToFit="false"/>
      <protection locked="true" hidden="true"/>
    </xf>
    <xf numFmtId="164" fontId="43" fillId="0" borderId="2" xfId="0" applyFont="true" applyBorder="true" applyAlignment="false" applyProtection="true">
      <alignment horizontal="general" vertical="bottom" textRotation="0" wrapText="false" indent="0" shrinkToFit="false"/>
      <protection locked="true" hidden="true"/>
    </xf>
    <xf numFmtId="164" fontId="34" fillId="0" borderId="0" xfId="0" applyFont="true" applyBorder="true" applyAlignment="false" applyProtection="true">
      <alignment horizontal="general" vertical="bottom" textRotation="0" wrapText="false" indent="0" shrinkToFit="false"/>
      <protection locked="true" hidden="true"/>
    </xf>
    <xf numFmtId="164" fontId="34" fillId="0" borderId="0" xfId="0" applyFont="true" applyBorder="true" applyAlignment="true" applyProtection="true">
      <alignment horizontal="center" vertical="bottom" textRotation="0" wrapText="false" indent="0" shrinkToFit="false"/>
      <protection locked="true" hidden="true"/>
    </xf>
    <xf numFmtId="173" fontId="34" fillId="0" borderId="0" xfId="0" applyFont="true" applyBorder="true" applyAlignment="false" applyProtection="true">
      <alignment horizontal="general" vertical="bottom" textRotation="0" wrapText="false" indent="0" shrinkToFit="false"/>
      <protection locked="true" hidden="true"/>
    </xf>
    <xf numFmtId="164" fontId="34" fillId="0" borderId="2" xfId="0" applyFont="true" applyBorder="true" applyAlignment="false" applyProtection="true">
      <alignment horizontal="general" vertical="bottom" textRotation="0" wrapText="false" indent="0" shrinkToFit="false"/>
      <protection locked="true" hidden="true"/>
    </xf>
    <xf numFmtId="164" fontId="4" fillId="0" borderId="9" xfId="0" applyFont="true" applyBorder="true" applyAlignment="false" applyProtection="true">
      <alignment horizontal="general" vertical="bottom" textRotation="0" wrapText="false" indent="0" shrinkToFit="false"/>
      <protection locked="true" hidden="true"/>
    </xf>
    <xf numFmtId="164" fontId="4" fillId="0" borderId="8" xfId="0" applyFont="true" applyBorder="true" applyAlignment="false" applyProtection="true">
      <alignment horizontal="general" vertical="bottom" textRotation="0" wrapText="false" indent="0" shrinkToFit="false"/>
      <protection locked="true" hidden="true"/>
    </xf>
    <xf numFmtId="164" fontId="34" fillId="0" borderId="8" xfId="0" applyFont="true" applyBorder="true" applyAlignment="true" applyProtection="true">
      <alignment horizontal="center" vertical="bottom" textRotation="0" wrapText="false" indent="0" shrinkToFit="false"/>
      <protection locked="true" hidden="true"/>
    </xf>
    <xf numFmtId="164" fontId="25" fillId="0" borderId="8" xfId="0" applyFont="true" applyBorder="true" applyAlignment="true" applyProtection="true">
      <alignment horizontal="right" vertical="bottom" textRotation="0" wrapText="false" indent="0" shrinkToFit="false"/>
      <protection locked="true" hidden="true"/>
    </xf>
    <xf numFmtId="173" fontId="34" fillId="0" borderId="8" xfId="0" applyFont="true" applyBorder="true" applyAlignment="false" applyProtection="true">
      <alignment horizontal="general" vertical="bottom" textRotation="0" wrapText="false" indent="0" shrinkToFit="false"/>
      <protection locked="true" hidden="true"/>
    </xf>
    <xf numFmtId="164" fontId="34" fillId="0" borderId="10"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false" applyAlignment="false" applyProtection="true">
      <alignment horizontal="general" vertical="bottom" textRotation="0" wrapText="false" indent="0" shrinkToFit="false"/>
      <protection locked="true" hidden="true"/>
    </xf>
    <xf numFmtId="164" fontId="60" fillId="0" borderId="9" xfId="0" applyFont="true" applyBorder="true" applyAlignment="false" applyProtection="true">
      <alignment horizontal="general" vertical="bottom" textRotation="0" wrapText="false" indent="0" shrinkToFit="false"/>
      <protection locked="true" hidden="true"/>
    </xf>
    <xf numFmtId="164" fontId="60" fillId="0" borderId="17" xfId="0" applyFont="true" applyBorder="true" applyAlignment="true" applyProtection="true">
      <alignment horizontal="center" vertical="bottom" textRotation="0" wrapText="false" indent="0" shrinkToFit="false"/>
      <protection locked="true" hidden="true"/>
    </xf>
    <xf numFmtId="164" fontId="45" fillId="5" borderId="13" xfId="0" applyFont="true" applyBorder="true" applyAlignment="false" applyProtection="true">
      <alignment horizontal="general" vertical="bottom" textRotation="0" wrapText="false" indent="0" shrinkToFit="false"/>
      <protection locked="true" hidden="true"/>
    </xf>
    <xf numFmtId="164" fontId="34" fillId="5" borderId="14" xfId="0" applyFont="true" applyBorder="true" applyAlignment="false" applyProtection="true">
      <alignment horizontal="general" vertical="bottom" textRotation="0" wrapText="false" indent="0" shrinkToFit="false"/>
      <protection locked="true" hidden="true"/>
    </xf>
    <xf numFmtId="164" fontId="34" fillId="5" borderId="8" xfId="0" applyFont="true" applyBorder="true" applyAlignment="false" applyProtection="true">
      <alignment horizontal="general" vertical="bottom" textRotation="0" wrapText="false" indent="0" shrinkToFit="false"/>
      <protection locked="true" hidden="true"/>
    </xf>
    <xf numFmtId="164" fontId="4" fillId="5" borderId="8" xfId="0" applyFont="true" applyBorder="true" applyAlignment="false" applyProtection="true">
      <alignment horizontal="general" vertical="bottom" textRotation="0" wrapText="false" indent="0" shrinkToFit="false"/>
      <protection locked="true" hidden="true"/>
    </xf>
    <xf numFmtId="173" fontId="34" fillId="5" borderId="8" xfId="0" applyFont="true" applyBorder="true" applyAlignment="false" applyProtection="true">
      <alignment horizontal="general" vertical="bottom" textRotation="0" wrapText="false" indent="0" shrinkToFit="false"/>
      <protection locked="true" hidden="true"/>
    </xf>
    <xf numFmtId="164" fontId="34" fillId="5" borderId="10" xfId="0" applyFont="true" applyBorder="true" applyAlignment="false" applyProtection="true">
      <alignment horizontal="general" vertical="bottom" textRotation="0" wrapText="false" indent="0" shrinkToFit="false"/>
      <protection locked="true" hidden="true"/>
    </xf>
    <xf numFmtId="164" fontId="4" fillId="0" borderId="3" xfId="0" applyFont="true" applyBorder="true" applyAlignment="false" applyProtection="true">
      <alignment horizontal="general" vertical="bottom" textRotation="0" wrapText="false" indent="0" shrinkToFit="false"/>
      <protection locked="true" hidden="true"/>
    </xf>
    <xf numFmtId="164" fontId="85" fillId="0" borderId="4" xfId="0" applyFont="true" applyBorder="true" applyAlignment="false" applyProtection="true">
      <alignment horizontal="general" vertical="bottom" textRotation="0" wrapText="false" indent="0" shrinkToFit="false"/>
      <protection locked="true" hidden="true"/>
    </xf>
    <xf numFmtId="164" fontId="4" fillId="0" borderId="5" xfId="0" applyFont="true" applyBorder="true" applyAlignment="false" applyProtection="true">
      <alignment horizontal="general" vertical="bottom" textRotation="0" wrapText="false" indent="0" shrinkToFit="false"/>
      <protection locked="true" hidden="true"/>
    </xf>
    <xf numFmtId="164" fontId="4" fillId="0" borderId="4" xfId="0" applyFont="true" applyBorder="true" applyAlignment="false" applyProtection="true">
      <alignment horizontal="general" vertical="bottom" textRotation="0" wrapText="false" indent="0" shrinkToFit="false"/>
      <protection locked="true" hidden="true"/>
    </xf>
    <xf numFmtId="173" fontId="85" fillId="0" borderId="4" xfId="0" applyFont="true" applyBorder="true" applyAlignment="false" applyProtection="true">
      <alignment horizontal="general" vertical="bottom" textRotation="0" wrapText="false" indent="0" shrinkToFit="false"/>
      <protection locked="true" hidden="true"/>
    </xf>
    <xf numFmtId="164" fontId="85" fillId="0" borderId="5" xfId="0" applyFont="true" applyBorder="true" applyAlignment="false" applyProtection="true">
      <alignment horizontal="general" vertical="bottom" textRotation="0" wrapText="false" indent="0" shrinkToFit="false"/>
      <protection locked="true" hidden="true"/>
    </xf>
    <xf numFmtId="176" fontId="25" fillId="0" borderId="0" xfId="0" applyFont="true" applyBorder="true" applyAlignment="true" applyProtection="true">
      <alignment horizontal="center" vertical="bottom" textRotation="0" wrapText="false" indent="0" shrinkToFit="false"/>
      <protection locked="true" hidden="true"/>
    </xf>
    <xf numFmtId="176" fontId="4" fillId="0" borderId="2" xfId="0" applyFont="true" applyBorder="true" applyAlignment="false" applyProtection="true">
      <alignment horizontal="general" vertical="bottom" textRotation="0" wrapText="false" indent="0" shrinkToFit="false"/>
      <protection locked="true" hidden="true"/>
    </xf>
    <xf numFmtId="176" fontId="4" fillId="0" borderId="5"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true" applyAlignment="false" applyProtection="true">
      <alignment horizontal="general" vertical="bottom" textRotation="0" wrapText="false" indent="0" shrinkToFit="false"/>
      <protection locked="true" hidden="true"/>
    </xf>
    <xf numFmtId="176" fontId="4" fillId="0" borderId="0" xfId="0" applyFont="true" applyBorder="true" applyAlignment="false" applyProtection="true">
      <alignment horizontal="general" vertical="bottom" textRotation="0" wrapText="false" indent="0" shrinkToFit="false"/>
      <protection locked="true" hidden="true"/>
    </xf>
    <xf numFmtId="176" fontId="25" fillId="0" borderId="0" xfId="0" applyFont="true" applyBorder="true" applyAlignment="true" applyProtection="true">
      <alignment horizontal="center" vertical="bottom" textRotation="0" wrapText="false" indent="0" shrinkToFit="false"/>
      <protection locked="true" hidden="true"/>
    </xf>
    <xf numFmtId="176" fontId="4" fillId="0" borderId="2" xfId="0" applyFont="true" applyBorder="true" applyAlignment="false" applyProtection="true">
      <alignment horizontal="general" vertical="bottom" textRotation="0" wrapText="false" indent="0" shrinkToFit="false"/>
      <protection locked="true" hidden="true"/>
    </xf>
    <xf numFmtId="176" fontId="4" fillId="0" borderId="0" xfId="0" applyFont="true" applyBorder="true" applyAlignment="false" applyProtection="true">
      <alignment horizontal="general" vertical="bottom" textRotation="0" wrapText="false" indent="0" shrinkToFit="false"/>
      <protection locked="true" hidden="true"/>
    </xf>
    <xf numFmtId="176" fontId="4" fillId="0" borderId="10" xfId="0" applyFont="true" applyBorder="true" applyAlignment="false" applyProtection="true">
      <alignment horizontal="general" vertical="bottom" textRotation="0" wrapText="false" indent="0" shrinkToFit="false"/>
      <protection locked="true" hidden="true"/>
    </xf>
    <xf numFmtId="176" fontId="4" fillId="0" borderId="8" xfId="0" applyFont="true" applyBorder="true" applyAlignment="false" applyProtection="true">
      <alignment horizontal="general" vertical="bottom" textRotation="0" wrapText="false" indent="0" shrinkToFit="false"/>
      <protection locked="true" hidden="true"/>
    </xf>
    <xf numFmtId="164" fontId="25" fillId="0" borderId="1" xfId="0" applyFont="true" applyBorder="true" applyAlignment="false" applyProtection="true">
      <alignment horizontal="general" vertical="bottom" textRotation="0" wrapText="false" indent="0" shrinkToFit="false"/>
      <protection locked="true" hidden="true"/>
    </xf>
    <xf numFmtId="176" fontId="25" fillId="0" borderId="2" xfId="0" applyFont="true" applyBorder="true" applyAlignment="false" applyProtection="true">
      <alignment horizontal="general" vertical="bottom" textRotation="0" wrapText="false" indent="0" shrinkToFit="false"/>
      <protection locked="true" hidden="true"/>
    </xf>
    <xf numFmtId="176" fontId="25" fillId="0" borderId="10" xfId="0" applyFont="true" applyBorder="true" applyAlignment="false" applyProtection="true">
      <alignment horizontal="general" vertical="bottom" textRotation="0" wrapText="false" indent="0" shrinkToFit="false"/>
      <protection locked="true" hidden="true"/>
    </xf>
    <xf numFmtId="164" fontId="25" fillId="0" borderId="0" xfId="0" applyFont="true" applyBorder="true" applyAlignment="false" applyProtection="true">
      <alignment horizontal="general" vertical="bottom" textRotation="0" wrapText="false" indent="0" shrinkToFit="false"/>
      <protection locked="true" hidden="true"/>
    </xf>
    <xf numFmtId="176" fontId="25" fillId="0" borderId="0" xfId="0" applyFont="true" applyBorder="true" applyAlignment="false" applyProtection="true">
      <alignment horizontal="general" vertical="bottom" textRotation="0" wrapText="false" indent="0" shrinkToFit="false"/>
      <protection locked="true" hidden="true"/>
    </xf>
    <xf numFmtId="164" fontId="25" fillId="0" borderId="9" xfId="0" applyFont="true" applyBorder="true" applyAlignment="false" applyProtection="true">
      <alignment horizontal="general" vertical="bottom" textRotation="0" wrapText="false" indent="0" shrinkToFit="false"/>
      <protection locked="true" hidden="true"/>
    </xf>
    <xf numFmtId="164" fontId="4" fillId="5" borderId="14" xfId="0" applyFont="true" applyBorder="true" applyAlignment="false" applyProtection="true">
      <alignment horizontal="general" vertical="bottom" textRotation="0" wrapText="false" indent="0" shrinkToFit="false"/>
      <protection locked="true" hidden="true"/>
    </xf>
    <xf numFmtId="173" fontId="34" fillId="5" borderId="14" xfId="0" applyFont="true" applyBorder="true" applyAlignment="false" applyProtection="true">
      <alignment horizontal="general" vertical="bottom" textRotation="0" wrapText="false" indent="0" shrinkToFit="false"/>
      <protection locked="true" hidden="true"/>
    </xf>
    <xf numFmtId="164" fontId="34" fillId="5" borderId="15" xfId="0" applyFont="true" applyBorder="true" applyAlignment="false" applyProtection="true">
      <alignment horizontal="general" vertical="bottom" textRotation="0" wrapText="false" indent="0" shrinkToFit="false"/>
      <protection locked="true" hidden="true"/>
    </xf>
    <xf numFmtId="164" fontId="4" fillId="5" borderId="15"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true" applyAlignment="true" applyProtection="true">
      <alignment horizontal="center" vertical="bottom" textRotation="0" wrapText="false" indent="0" shrinkToFit="false"/>
      <protection locked="true" hidden="true"/>
    </xf>
    <xf numFmtId="164" fontId="25" fillId="0" borderId="2" xfId="0" applyFont="true" applyBorder="true" applyAlignment="true" applyProtection="true">
      <alignment horizontal="right" vertical="bottom" textRotation="0" wrapText="false" indent="0" shrinkToFit="false"/>
      <protection locked="true" hidden="true"/>
    </xf>
    <xf numFmtId="164" fontId="4" fillId="0" borderId="2" xfId="0" applyFont="true" applyBorder="true" applyAlignment="false" applyProtection="true">
      <alignment horizontal="general" vertical="bottom" textRotation="0" wrapText="false" indent="0" shrinkToFit="false"/>
      <protection locked="true" hidden="true"/>
    </xf>
    <xf numFmtId="164" fontId="25" fillId="0" borderId="10" xfId="0" applyFont="true" applyBorder="true" applyAlignment="true" applyProtection="true">
      <alignment horizontal="right" vertical="bottom" textRotation="0" wrapText="false" indent="0" shrinkToFit="false"/>
      <protection locked="true" hidden="true"/>
    </xf>
    <xf numFmtId="164" fontId="4" fillId="4" borderId="0" xfId="0" applyFont="true" applyBorder="true" applyAlignment="true" applyProtection="true">
      <alignment horizontal="center" vertical="bottom" textRotation="0" wrapText="false" indent="0" shrinkToFit="false"/>
      <protection locked="false" hidden="false"/>
    </xf>
    <xf numFmtId="176" fontId="4" fillId="0" borderId="6" xfId="0" applyFont="true" applyBorder="true" applyAlignment="false" applyProtection="false">
      <alignment horizontal="general" vertical="bottom" textRotation="0" wrapText="false" indent="0" shrinkToFit="false"/>
      <protection locked="true" hidden="false"/>
    </xf>
    <xf numFmtId="172" fontId="4" fillId="4" borderId="0" xfId="0" applyFont="true" applyBorder="true" applyAlignment="true" applyProtection="true">
      <alignment horizontal="center" vertical="bottom" textRotation="0" wrapText="false" indent="0" shrinkToFit="false"/>
      <protection locked="false" hidden="false"/>
    </xf>
    <xf numFmtId="176" fontId="4"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true">
      <alignment horizontal="center" vertical="bottom" textRotation="0" wrapText="false" indent="0" shrinkToFit="false"/>
      <protection locked="true" hidden="true"/>
    </xf>
    <xf numFmtId="176" fontId="4" fillId="0" borderId="17" xfId="0" applyFont="true" applyBorder="true" applyAlignment="false" applyProtection="true">
      <alignment horizontal="general" vertical="bottom" textRotation="0" wrapText="false" indent="0" shrinkToFit="false"/>
      <protection locked="true" hidden="true"/>
    </xf>
    <xf numFmtId="176" fontId="4" fillId="0" borderId="8"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true" applyAlignment="false" applyProtection="true">
      <alignment horizontal="general" vertical="bottom" textRotation="0" wrapText="false" indent="0" shrinkToFit="false"/>
      <protection locked="false" hidden="true"/>
    </xf>
    <xf numFmtId="176" fontId="4" fillId="0" borderId="10" xfId="0" applyFont="true" applyBorder="true" applyAlignment="false" applyProtection="true">
      <alignment horizontal="general" vertical="bottom" textRotation="0" wrapText="false" indent="0" shrinkToFit="false"/>
      <protection locked="true" hidden="true"/>
    </xf>
    <xf numFmtId="176" fontId="25" fillId="0" borderId="17" xfId="0" applyFont="true" applyBorder="true" applyAlignment="false" applyProtection="true">
      <alignment horizontal="general" vertical="bottom" textRotation="0" wrapText="false" indent="0" shrinkToFit="false"/>
      <protection locked="true" hidden="true"/>
    </xf>
    <xf numFmtId="176" fontId="25" fillId="0" borderId="0" xfId="0" applyFont="true" applyBorder="true" applyAlignment="false" applyProtection="true">
      <alignment horizontal="general" vertical="bottom" textRotation="0" wrapText="false" indent="0" shrinkToFit="false"/>
      <protection locked="true" hidden="true"/>
    </xf>
    <xf numFmtId="164" fontId="25" fillId="0" borderId="0" xfId="0" applyFont="true" applyBorder="true" applyAlignment="false" applyProtection="true">
      <alignment horizontal="general" vertical="bottom" textRotation="0" wrapText="false" indent="0" shrinkToFit="false"/>
      <protection locked="true" hidden="true"/>
    </xf>
    <xf numFmtId="176" fontId="25" fillId="0" borderId="2" xfId="0" applyFont="true" applyBorder="true" applyAlignment="false" applyProtection="true">
      <alignment horizontal="general" vertical="bottom" textRotation="0" wrapText="false" indent="0" shrinkToFit="false"/>
      <protection locked="true" hidden="true"/>
    </xf>
    <xf numFmtId="164" fontId="33" fillId="0" borderId="0" xfId="0" applyFont="true" applyBorder="true" applyAlignment="true" applyProtection="true">
      <alignment horizontal="center" vertical="bottom" textRotation="0" wrapText="false" indent="0" shrinkToFit="false"/>
      <protection locked="true" hidden="true"/>
    </xf>
    <xf numFmtId="164" fontId="33" fillId="4" borderId="0" xfId="0" applyFont="true" applyBorder="true" applyAlignment="true" applyProtection="true">
      <alignment horizontal="center" vertical="bottom" textRotation="0" wrapText="false" indent="0" shrinkToFit="false"/>
      <protection locked="false" hidden="false"/>
    </xf>
    <xf numFmtId="164" fontId="33" fillId="0" borderId="0" xfId="0" applyFont="true" applyBorder="true" applyAlignment="true" applyProtection="false">
      <alignment horizontal="center" vertical="bottom" textRotation="0" wrapText="false" indent="0" shrinkToFit="false"/>
      <protection locked="true" hidden="false"/>
    </xf>
    <xf numFmtId="176" fontId="4" fillId="4" borderId="0" xfId="0" applyFont="true" applyBorder="true" applyAlignment="true" applyProtection="true">
      <alignment horizontal="center" vertical="bottom" textRotation="0" wrapText="false" indent="0" shrinkToFit="false"/>
      <protection locked="false" hidden="false"/>
    </xf>
    <xf numFmtId="176" fontId="4" fillId="0" borderId="11" xfId="0" applyFont="true" applyBorder="true" applyAlignment="false" applyProtection="true">
      <alignment horizontal="general" vertical="bottom" textRotation="0" wrapText="false" indent="0" shrinkToFit="false"/>
      <protection locked="true" hidden="true"/>
    </xf>
    <xf numFmtId="176" fontId="4" fillId="0" borderId="0" xfId="0" applyFont="true" applyBorder="false" applyAlignment="false" applyProtection="true">
      <alignment horizontal="general" vertical="bottom" textRotation="0" wrapText="false" indent="0" shrinkToFit="false"/>
      <protection locked="true" hidden="true"/>
    </xf>
    <xf numFmtId="164" fontId="60" fillId="0" borderId="0" xfId="0" applyFont="true" applyBorder="true" applyAlignment="false" applyProtection="true">
      <alignment horizontal="general" vertical="bottom" textRotation="0" wrapText="false" indent="0" shrinkToFit="false"/>
      <protection locked="true" hidden="true"/>
    </xf>
    <xf numFmtId="176" fontId="25" fillId="0" borderId="17" xfId="0" applyFont="true" applyBorder="true" applyAlignment="false" applyProtection="true">
      <alignment horizontal="general" vertical="bottom" textRotation="0" wrapText="false" indent="0" shrinkToFit="false"/>
      <protection locked="true" hidden="true"/>
    </xf>
    <xf numFmtId="164" fontId="85" fillId="0" borderId="8" xfId="0" applyFont="true" applyBorder="true" applyAlignment="false" applyProtection="true">
      <alignment horizontal="general" vertical="bottom" textRotation="0" wrapText="false" indent="0" shrinkToFit="false"/>
      <protection locked="true" hidden="true"/>
    </xf>
    <xf numFmtId="164" fontId="4" fillId="0" borderId="10" xfId="0" applyFont="true" applyBorder="true" applyAlignment="false" applyProtection="true">
      <alignment horizontal="general" vertical="bottom" textRotation="0" wrapText="false" indent="0" shrinkToFit="false"/>
      <protection locked="true" hidden="true"/>
    </xf>
    <xf numFmtId="173" fontId="85" fillId="0" borderId="8" xfId="0" applyFont="true" applyBorder="true" applyAlignment="false" applyProtection="true">
      <alignment horizontal="general" vertical="bottom" textRotation="0" wrapText="false" indent="0" shrinkToFit="false"/>
      <protection locked="true" hidden="true"/>
    </xf>
    <xf numFmtId="164" fontId="85" fillId="0" borderId="10" xfId="0" applyFont="true" applyBorder="true" applyAlignment="false" applyProtection="true">
      <alignment horizontal="general" vertical="bottom" textRotation="0" wrapText="false" indent="0" shrinkToFit="false"/>
      <protection locked="true" hidden="true"/>
    </xf>
    <xf numFmtId="176" fontId="25" fillId="5" borderId="14" xfId="0" applyFont="true" applyBorder="true" applyAlignment="false" applyProtection="true">
      <alignment horizontal="general" vertical="bottom" textRotation="0" wrapText="false" indent="0" shrinkToFit="false"/>
      <protection locked="true" hidden="true"/>
    </xf>
    <xf numFmtId="164" fontId="25" fillId="5" borderId="14" xfId="0" applyFont="true" applyBorder="true" applyAlignment="false" applyProtection="true">
      <alignment horizontal="general" vertical="bottom" textRotation="0" wrapText="false" indent="0" shrinkToFit="false"/>
      <protection locked="true" hidden="true"/>
    </xf>
    <xf numFmtId="176" fontId="25" fillId="5" borderId="15" xfId="0" applyFont="true" applyBorder="true" applyAlignment="false" applyProtection="true">
      <alignment horizontal="general" vertical="bottom" textRotation="0" wrapText="false" indent="0" shrinkToFit="false"/>
      <protection locked="true" hidden="true"/>
    </xf>
    <xf numFmtId="164" fontId="4" fillId="0" borderId="4" xfId="0" applyFont="true" applyBorder="true" applyAlignment="false" applyProtection="true">
      <alignment horizontal="general" vertical="bottom" textRotation="0" wrapText="false" indent="0" shrinkToFit="false"/>
      <protection locked="true" hidden="true"/>
    </xf>
    <xf numFmtId="176" fontId="4" fillId="0" borderId="5" xfId="0" applyFont="true" applyBorder="true" applyAlignment="false" applyProtection="true">
      <alignment horizontal="general" vertical="bottom" textRotation="0" wrapText="false" indent="0" shrinkToFit="false"/>
      <protection locked="true" hidden="true"/>
    </xf>
    <xf numFmtId="176" fontId="4" fillId="0" borderId="4" xfId="0" applyFont="true" applyBorder="true" applyAlignment="false" applyProtection="true">
      <alignment horizontal="general" vertical="bottom" textRotation="0" wrapText="false" indent="0" shrinkToFit="false"/>
      <protection locked="true" hidden="true"/>
    </xf>
    <xf numFmtId="164" fontId="25" fillId="0" borderId="0" xfId="0" applyFont="true" applyBorder="true" applyAlignment="true" applyProtection="true">
      <alignment horizontal="center" vertical="bottom" textRotation="0" wrapText="false" indent="0" shrinkToFit="false"/>
      <protection locked="true" hidden="true"/>
    </xf>
    <xf numFmtId="176" fontId="25" fillId="0" borderId="11" xfId="0" applyFont="true" applyBorder="true" applyAlignment="false" applyProtection="true">
      <alignment horizontal="general" vertical="bottom" textRotation="0" wrapText="false" indent="0" shrinkToFit="false"/>
      <protection locked="true" hidden="true"/>
    </xf>
    <xf numFmtId="164" fontId="25" fillId="0" borderId="0" xfId="0" applyFont="true" applyBorder="true" applyAlignment="true" applyProtection="true">
      <alignment horizontal="center" vertical="bottom" textRotation="0" wrapText="false" indent="0" shrinkToFit="false"/>
      <protection locked="true" hidden="true"/>
    </xf>
    <xf numFmtId="176" fontId="4" fillId="0" borderId="11" xfId="0" applyFont="true" applyBorder="true" applyAlignment="false" applyProtection="true">
      <alignment horizontal="general" vertical="bottom" textRotation="0" wrapText="false" indent="0" shrinkToFit="false"/>
      <protection locked="true" hidden="true"/>
    </xf>
    <xf numFmtId="176" fontId="25" fillId="0" borderId="7" xfId="0" applyFont="true" applyBorder="true" applyAlignment="false" applyProtection="true">
      <alignment horizontal="general" vertical="bottom" textRotation="0" wrapText="false" indent="0" shrinkToFit="false"/>
      <protection locked="true" hidden="true"/>
    </xf>
    <xf numFmtId="164" fontId="4" fillId="0" borderId="8" xfId="0" applyFont="true" applyBorder="true" applyAlignment="false" applyProtection="true">
      <alignment horizontal="general" vertical="bottom" textRotation="0" wrapText="false" indent="0" shrinkToFit="false"/>
      <protection locked="true" hidden="true"/>
    </xf>
    <xf numFmtId="164" fontId="25" fillId="5" borderId="15" xfId="0" applyFont="true" applyBorder="true" applyAlignment="false" applyProtection="true">
      <alignment horizontal="general" vertical="bottom" textRotation="0" wrapText="false" indent="0" shrinkToFit="false"/>
      <protection locked="true" hidden="true"/>
    </xf>
    <xf numFmtId="164" fontId="4" fillId="0" borderId="0" xfId="0" applyFont="true" applyBorder="true" applyAlignment="false" applyProtection="true">
      <alignment horizontal="general" vertical="bottom" textRotation="0" wrapText="false" indent="0" shrinkToFit="false"/>
      <protection locked="false" hidden="true"/>
    </xf>
    <xf numFmtId="164" fontId="4" fillId="0" borderId="15" xfId="0" applyFont="true" applyBorder="true" applyAlignment="false" applyProtection="true">
      <alignment horizontal="general" vertical="bottom" textRotation="0" wrapText="false" indent="0" shrinkToFit="false"/>
      <protection locked="true" hidden="true"/>
    </xf>
    <xf numFmtId="176" fontId="4" fillId="0" borderId="6" xfId="0" applyFont="true" applyBorder="true" applyAlignment="false" applyProtection="true">
      <alignment horizontal="general" vertical="bottom" textRotation="0" wrapText="false" indent="0" shrinkToFit="false"/>
      <protection locked="true" hidden="true"/>
    </xf>
    <xf numFmtId="164" fontId="25" fillId="6" borderId="23" xfId="0" applyFont="true" applyBorder="true" applyAlignment="false" applyProtection="true">
      <alignment horizontal="general" vertical="bottom" textRotation="0" wrapText="false" indent="0" shrinkToFit="false"/>
      <protection locked="true" hidden="true"/>
    </xf>
    <xf numFmtId="164" fontId="25" fillId="6" borderId="24" xfId="0" applyFont="true" applyBorder="true" applyAlignment="false" applyProtection="true">
      <alignment horizontal="general" vertical="bottom" textRotation="0" wrapText="false" indent="0" shrinkToFit="false"/>
      <protection locked="true" hidden="true"/>
    </xf>
    <xf numFmtId="164" fontId="25" fillId="6" borderId="30" xfId="0" applyFont="true" applyBorder="true" applyAlignment="false" applyProtection="true">
      <alignment horizontal="general" vertical="bottom" textRotation="0" wrapText="false" indent="0" shrinkToFit="false"/>
      <protection locked="true" hidden="true"/>
    </xf>
    <xf numFmtId="164" fontId="25" fillId="6" borderId="25" xfId="0" applyFont="true" applyBorder="true" applyAlignment="false" applyProtection="true">
      <alignment horizontal="general" vertical="bottom" textRotation="0" wrapText="false" indent="0" shrinkToFit="false"/>
      <protection locked="true" hidden="true"/>
    </xf>
    <xf numFmtId="164" fontId="25" fillId="6" borderId="26" xfId="0" applyFont="true" applyBorder="true" applyAlignment="false" applyProtection="true">
      <alignment horizontal="general" vertical="bottom" textRotation="0" wrapText="false" indent="0" shrinkToFit="false"/>
      <protection locked="true" hidden="true"/>
    </xf>
    <xf numFmtId="164" fontId="25" fillId="6" borderId="0" xfId="0" applyFont="true" applyBorder="true" applyAlignment="false" applyProtection="true">
      <alignment horizontal="general" vertical="bottom" textRotation="0" wrapText="false" indent="0" shrinkToFit="false"/>
      <protection locked="true" hidden="true"/>
    </xf>
    <xf numFmtId="176" fontId="25" fillId="6" borderId="0" xfId="0" applyFont="true" applyBorder="true" applyAlignment="false" applyProtection="true">
      <alignment horizontal="general" vertical="bottom" textRotation="0" wrapText="false" indent="0" shrinkToFit="false"/>
      <protection locked="true" hidden="true"/>
    </xf>
    <xf numFmtId="176" fontId="25" fillId="6" borderId="2" xfId="0" applyFont="true" applyBorder="true" applyAlignment="false" applyProtection="true">
      <alignment horizontal="general" vertical="bottom" textRotation="0" wrapText="false" indent="0" shrinkToFit="false"/>
      <protection locked="true" hidden="true"/>
    </xf>
    <xf numFmtId="176" fontId="25" fillId="6" borderId="19" xfId="0" applyFont="true" applyBorder="true" applyAlignment="false" applyProtection="true">
      <alignment horizontal="general" vertical="bottom" textRotation="0" wrapText="false" indent="0" shrinkToFit="false"/>
      <protection locked="true" hidden="true"/>
    </xf>
    <xf numFmtId="164" fontId="25" fillId="6" borderId="27" xfId="0" applyFont="true" applyBorder="true" applyAlignment="false" applyProtection="true">
      <alignment horizontal="general" vertical="bottom" textRotation="0" wrapText="false" indent="0" shrinkToFit="false"/>
      <protection locked="true" hidden="true"/>
    </xf>
    <xf numFmtId="164" fontId="25" fillId="6" borderId="28" xfId="0" applyFont="true" applyBorder="true" applyAlignment="false" applyProtection="true">
      <alignment horizontal="general" vertical="bottom" textRotation="0" wrapText="false" indent="0" shrinkToFit="false"/>
      <protection locked="true" hidden="true"/>
    </xf>
    <xf numFmtId="164" fontId="25" fillId="6" borderId="31" xfId="0" applyFont="true" applyBorder="true" applyAlignment="false" applyProtection="true">
      <alignment horizontal="general" vertical="bottom" textRotation="0" wrapText="false" indent="0" shrinkToFit="false"/>
      <protection locked="true" hidden="true"/>
    </xf>
    <xf numFmtId="164" fontId="25" fillId="6" borderId="29" xfId="0" applyFont="true" applyBorder="true" applyAlignment="false" applyProtection="true">
      <alignment horizontal="general" vertical="bottom" textRotation="0" wrapText="false" indent="0" shrinkToFit="false"/>
      <protection locked="true" hidden="true"/>
    </xf>
    <xf numFmtId="164" fontId="34" fillId="0" borderId="8" xfId="0" applyFont="true" applyBorder="true" applyAlignment="true" applyProtection="false">
      <alignment horizontal="center" vertical="bottom" textRotation="0" wrapText="false" indent="0" shrinkToFit="false"/>
      <protection locked="true" hidden="false"/>
    </xf>
    <xf numFmtId="164" fontId="45" fillId="5" borderId="14" xfId="0" applyFont="true" applyBorder="true" applyAlignment="false" applyProtection="false">
      <alignment horizontal="general" vertical="bottom" textRotation="0" wrapText="false" indent="0" shrinkToFit="false"/>
      <protection locked="true" hidden="false"/>
    </xf>
    <xf numFmtId="164" fontId="34" fillId="5" borderId="14" xfId="0" applyFont="true" applyBorder="true" applyAlignment="false" applyProtection="false">
      <alignment horizontal="general" vertical="bottom" textRotation="0" wrapText="false" indent="0" shrinkToFit="false"/>
      <protection locked="true" hidden="false"/>
    </xf>
    <xf numFmtId="173" fontId="34" fillId="5" borderId="14" xfId="0" applyFont="true" applyBorder="true" applyAlignment="false" applyProtection="false">
      <alignment horizontal="general" vertical="bottom" textRotation="0" wrapText="false" indent="0" shrinkToFit="false"/>
      <protection locked="true" hidden="false"/>
    </xf>
    <xf numFmtId="164" fontId="34" fillId="5" borderId="15" xfId="0" applyFont="true" applyBorder="true" applyAlignment="false" applyProtection="false">
      <alignment horizontal="general" vertical="bottom" textRotation="0" wrapText="false" indent="0" shrinkToFit="false"/>
      <protection locked="true" hidden="false"/>
    </xf>
    <xf numFmtId="164" fontId="85" fillId="0" borderId="0" xfId="0" applyFont="true" applyBorder="true" applyAlignment="false" applyProtection="false">
      <alignment horizontal="general" vertical="bottom" textRotation="0" wrapText="false" indent="0" shrinkToFit="false"/>
      <protection locked="true" hidden="false"/>
    </xf>
    <xf numFmtId="173" fontId="85" fillId="0" borderId="0" xfId="0" applyFont="true" applyBorder="true" applyAlignment="false" applyProtection="false">
      <alignment horizontal="general" vertical="bottom" textRotation="0" wrapText="false" indent="0" shrinkToFit="false"/>
      <protection locked="true" hidden="false"/>
    </xf>
    <xf numFmtId="164" fontId="85" fillId="0" borderId="2" xfId="0" applyFont="true" applyBorder="true" applyAlignment="false" applyProtection="false">
      <alignment horizontal="general" vertical="bottom" textRotation="0" wrapText="false" indent="0" shrinkToFit="false"/>
      <protection locked="true" hidden="false"/>
    </xf>
    <xf numFmtId="176" fontId="25" fillId="0" borderId="0" xfId="0" applyFont="true" applyBorder="true" applyAlignment="true" applyProtection="false">
      <alignment horizontal="center" vertical="bottom" textRotation="0" wrapText="false" indent="0" shrinkToFit="false"/>
      <protection locked="true" hidden="false"/>
    </xf>
    <xf numFmtId="164" fontId="25" fillId="0" borderId="0" xfId="0" applyFont="true" applyBorder="true" applyAlignment="true" applyProtection="false">
      <alignment horizontal="center" vertical="bottom" textRotation="0" wrapText="false" indent="0" shrinkToFit="false"/>
      <protection locked="true" hidden="false"/>
    </xf>
    <xf numFmtId="164" fontId="25" fillId="0" borderId="10" xfId="0" applyFont="true" applyBorder="true" applyAlignment="true" applyProtection="false">
      <alignment horizontal="right" vertical="bottom" textRotation="0" wrapText="false" indent="0" shrinkToFit="false"/>
      <protection locked="true" hidden="false"/>
    </xf>
    <xf numFmtId="176" fontId="25" fillId="0" borderId="17"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true" applyProtection="false">
      <alignment horizontal="right" vertical="bottom" textRotation="0" wrapText="false" indent="0" shrinkToFit="false"/>
      <protection locked="true" hidden="false"/>
    </xf>
    <xf numFmtId="176" fontId="0" fillId="0" borderId="0" xfId="0" applyFont="false" applyBorder="true" applyAlignment="true" applyProtection="true">
      <alignment horizontal="center" vertical="bottom" textRotation="0" wrapText="false" indent="0" shrinkToFit="false"/>
      <protection locked="false" hidden="false"/>
    </xf>
    <xf numFmtId="164" fontId="4" fillId="5" borderId="14" xfId="0" applyFont="true" applyBorder="true" applyAlignment="true" applyProtection="false">
      <alignment horizontal="right" vertical="bottom" textRotation="0" wrapText="false" indent="0" shrinkToFit="false"/>
      <protection locked="true" hidden="false"/>
    </xf>
    <xf numFmtId="176" fontId="4" fillId="0" borderId="0" xfId="0" applyFont="true" applyBorder="true" applyAlignment="true" applyProtection="true">
      <alignment horizontal="center" vertical="bottom" textRotation="0" wrapText="false" indent="0" shrinkToFit="false"/>
      <protection locked="false" hidden="false"/>
    </xf>
    <xf numFmtId="176" fontId="4" fillId="15" borderId="0" xfId="0" applyFont="true" applyBorder="true" applyAlignment="true" applyProtection="true">
      <alignment horizontal="right" vertical="bottom" textRotation="0" wrapText="false" indent="0" shrinkToFit="false"/>
      <protection locked="false" hidden="false"/>
    </xf>
    <xf numFmtId="176" fontId="4" fillId="0" borderId="0" xfId="0" applyFont="true" applyBorder="true" applyAlignment="true" applyProtection="false">
      <alignment horizontal="center" vertical="bottom" textRotation="0" wrapText="false" indent="0" shrinkToFit="false"/>
      <protection locked="true" hidden="false"/>
    </xf>
    <xf numFmtId="176" fontId="4" fillId="15" borderId="10" xfId="0" applyFont="true" applyBorder="true" applyAlignment="true" applyProtection="true">
      <alignment horizontal="right" vertical="bottom" textRotation="0" wrapText="false" indent="0" shrinkToFit="false"/>
      <protection locked="false" hidden="false"/>
    </xf>
    <xf numFmtId="176" fontId="4" fillId="0" borderId="0" xfId="0" applyFont="true" applyBorder="true" applyAlignment="true" applyProtection="false">
      <alignment horizontal="center" vertical="bottom" textRotation="0" wrapText="false" indent="0" shrinkToFit="false"/>
      <protection locked="true" hidden="false"/>
    </xf>
    <xf numFmtId="164" fontId="13" fillId="0" borderId="8" xfId="0" applyFont="true" applyBorder="true" applyAlignment="true" applyProtection="false">
      <alignment horizontal="right" vertical="bottom" textRotation="0" wrapText="false" indent="0" shrinkToFit="false"/>
      <protection locked="true" hidden="false"/>
    </xf>
    <xf numFmtId="164" fontId="45" fillId="5" borderId="8" xfId="0" applyFont="true" applyBorder="true" applyAlignment="false" applyProtection="false">
      <alignment horizontal="general" vertical="bottom" textRotation="0" wrapText="false" indent="0" shrinkToFit="false"/>
      <protection locked="true" hidden="false"/>
    </xf>
    <xf numFmtId="164" fontId="4" fillId="5" borderId="8" xfId="0" applyFont="true" applyBorder="true" applyAlignment="true" applyProtection="false">
      <alignment horizontal="right" vertical="bottom" textRotation="0" wrapText="false" indent="0" shrinkToFit="false"/>
      <protection locked="true" hidden="false"/>
    </xf>
    <xf numFmtId="176" fontId="4" fillId="5" borderId="15" xfId="0" applyFont="true" applyBorder="true" applyAlignment="false" applyProtection="false">
      <alignment horizontal="general" vertical="bottom" textRotation="0" wrapText="false" indent="0" shrinkToFit="false"/>
      <protection locked="true" hidden="false"/>
    </xf>
    <xf numFmtId="164" fontId="4" fillId="4" borderId="7" xfId="0" applyFont="true" applyBorder="true" applyAlignment="true" applyProtection="true">
      <alignment horizontal="center" vertical="bottom" textRotation="0" wrapText="false" indent="0" shrinkToFit="false"/>
      <protection locked="false" hidden="false"/>
    </xf>
    <xf numFmtId="176" fontId="4" fillId="4" borderId="7" xfId="0" applyFont="true" applyBorder="true" applyAlignment="true" applyProtection="true">
      <alignment horizontal="center" vertical="bottom" textRotation="0" wrapText="false" indent="0" shrinkToFit="false"/>
      <protection locked="false" hidden="false"/>
    </xf>
    <xf numFmtId="176" fontId="4" fillId="4" borderId="0" xfId="0" applyFont="true" applyBorder="true" applyAlignment="true" applyProtection="true">
      <alignment horizontal="right" vertical="bottom" textRotation="0" wrapText="false" indent="0" shrinkToFit="false"/>
      <protection locked="false" hidden="false"/>
    </xf>
    <xf numFmtId="164" fontId="4" fillId="0" borderId="1" xfId="0" applyFont="true" applyBorder="true" applyAlignment="true" applyProtection="false">
      <alignment horizontal="left" vertical="bottom" textRotation="0" wrapText="false" indent="0" shrinkToFit="false"/>
      <protection locked="true" hidden="false"/>
    </xf>
    <xf numFmtId="172" fontId="4" fillId="0" borderId="1" xfId="0" applyFont="true" applyBorder="true" applyAlignment="true" applyProtection="false">
      <alignment horizontal="left" vertical="bottom" textRotation="0" wrapText="false" indent="0" shrinkToFit="false"/>
      <protection locked="true" hidden="false"/>
    </xf>
    <xf numFmtId="172" fontId="4" fillId="4" borderId="7" xfId="0" applyFont="true" applyBorder="true" applyAlignment="true" applyProtection="true">
      <alignment horizontal="center" vertical="bottom" textRotation="0" wrapText="false" indent="0" shrinkToFit="false"/>
      <protection locked="false" hidden="false"/>
    </xf>
    <xf numFmtId="172" fontId="4" fillId="0" borderId="0" xfId="0" applyFont="true" applyBorder="true" applyAlignment="true" applyProtection="false">
      <alignment horizontal="center" vertical="bottom" textRotation="0" wrapText="false" indent="0" shrinkToFit="false"/>
      <protection locked="true" hidden="false"/>
    </xf>
    <xf numFmtId="172" fontId="4" fillId="0" borderId="0" xfId="0" applyFont="true" applyBorder="true" applyAlignment="true" applyProtection="false">
      <alignment horizontal="right" vertical="bottom" textRotation="0" wrapText="false" indent="0" shrinkToFit="false"/>
      <protection locked="true" hidden="false"/>
    </xf>
    <xf numFmtId="170" fontId="4" fillId="0" borderId="0" xfId="19" applyFont="true" applyBorder="true" applyAlignment="true" applyProtection="true">
      <alignment horizontal="general" vertical="bottom" textRotation="0" wrapText="false" indent="0" shrinkToFit="false"/>
      <protection locked="false" hidden="false"/>
    </xf>
    <xf numFmtId="170" fontId="4" fillId="4" borderId="0" xfId="19" applyFont="true" applyBorder="true" applyAlignment="true" applyProtection="true">
      <alignment horizontal="general" vertical="bottom" textRotation="0" wrapText="false" indent="0" shrinkToFit="false"/>
      <protection locked="false" hidden="false"/>
    </xf>
    <xf numFmtId="164" fontId="4" fillId="0" borderId="8" xfId="0" applyFont="true" applyBorder="true" applyAlignment="true" applyProtection="false">
      <alignment horizontal="right" vertical="bottom" textRotation="0" wrapText="false" indent="0" shrinkToFit="false"/>
      <protection locked="true" hidden="false"/>
    </xf>
    <xf numFmtId="164" fontId="4" fillId="6" borderId="13" xfId="0" applyFont="true" applyBorder="true" applyAlignment="false" applyProtection="false">
      <alignment horizontal="general" vertical="bottom" textRotation="0" wrapText="false" indent="0" shrinkToFit="false"/>
      <protection locked="true" hidden="false"/>
    </xf>
    <xf numFmtId="171" fontId="4" fillId="6" borderId="14" xfId="0" applyFont="true" applyBorder="true" applyAlignment="false" applyProtection="false">
      <alignment horizontal="general" vertical="bottom" textRotation="0" wrapText="false" indent="0" shrinkToFit="false"/>
      <protection locked="true" hidden="false"/>
    </xf>
    <xf numFmtId="176" fontId="4" fillId="6" borderId="14" xfId="0" applyFont="true" applyBorder="true" applyAlignment="false" applyProtection="false">
      <alignment horizontal="general" vertical="bottom" textRotation="0" wrapText="false" indent="0" shrinkToFit="false"/>
      <protection locked="true" hidden="false"/>
    </xf>
    <xf numFmtId="176" fontId="4" fillId="6" borderId="15" xfId="0" applyFont="true" applyBorder="true" applyAlignment="false" applyProtection="false">
      <alignment horizontal="general" vertical="bottom" textRotation="0" wrapText="false" indent="0" shrinkToFit="false"/>
      <protection locked="true" hidden="false"/>
    </xf>
    <xf numFmtId="164" fontId="13" fillId="0" borderId="2" xfId="0" applyFont="true" applyBorder="true" applyAlignment="true" applyProtection="false">
      <alignment horizontal="right" vertical="bottom" textRotation="0" wrapText="false" indent="0" shrinkToFit="false"/>
      <protection locked="true" hidden="false"/>
    </xf>
    <xf numFmtId="164" fontId="13" fillId="0" borderId="0" xfId="0" applyFont="true" applyBorder="true" applyAlignment="true" applyProtection="false">
      <alignment horizontal="right" vertical="bottom" textRotation="0" wrapText="false" indent="0" shrinkToFit="false"/>
      <protection locked="true" hidden="false"/>
    </xf>
    <xf numFmtId="171" fontId="4" fillId="4" borderId="0" xfId="0" applyFont="true" applyBorder="true" applyAlignment="true" applyProtection="true">
      <alignment horizontal="center" vertical="bottom" textRotation="0" wrapText="false" indent="0" shrinkToFit="false"/>
      <protection locked="false" hidden="false"/>
    </xf>
    <xf numFmtId="171" fontId="4" fillId="6" borderId="24" xfId="0" applyFont="true" applyBorder="true" applyAlignment="false" applyProtection="false">
      <alignment horizontal="general" vertical="bottom" textRotation="0" wrapText="false" indent="0" shrinkToFit="false"/>
      <protection locked="true" hidden="false"/>
    </xf>
    <xf numFmtId="164" fontId="25" fillId="6" borderId="26" xfId="0" applyFont="true" applyBorder="true" applyAlignment="false" applyProtection="false">
      <alignment horizontal="general" vertical="bottom" textRotation="0" wrapText="false" indent="0" shrinkToFit="false"/>
      <protection locked="true" hidden="false"/>
    </xf>
    <xf numFmtId="171" fontId="25" fillId="6" borderId="0" xfId="0" applyFont="true" applyBorder="true" applyAlignment="false" applyProtection="false">
      <alignment horizontal="general" vertical="bottom" textRotation="0" wrapText="false" indent="0" shrinkToFit="false"/>
      <protection locked="true" hidden="false"/>
    </xf>
    <xf numFmtId="164" fontId="4" fillId="6" borderId="27" xfId="0" applyFont="true" applyBorder="true" applyAlignment="false" applyProtection="false">
      <alignment horizontal="general" vertical="bottom" textRotation="0" wrapText="false" indent="0" shrinkToFit="false"/>
      <protection locked="true" hidden="false"/>
    </xf>
    <xf numFmtId="164" fontId="4" fillId="6" borderId="31" xfId="0" applyFont="true" applyBorder="true" applyAlignment="false" applyProtection="false">
      <alignment horizontal="general" vertical="bottom" textRotation="0" wrapText="false" indent="0" shrinkToFit="false"/>
      <protection locked="true" hidden="false"/>
    </xf>
    <xf numFmtId="164" fontId="4" fillId="6" borderId="29" xfId="0" applyFont="true" applyBorder="true" applyAlignment="false" applyProtection="false">
      <alignment horizontal="general" vertical="bottom" textRotation="0" wrapText="false" indent="0" shrinkToFit="false"/>
      <protection locked="true" hidden="false"/>
    </xf>
    <xf numFmtId="171" fontId="4" fillId="0" borderId="0" xfId="0" applyFont="true" applyBorder="true" applyAlignment="true" applyProtection="true">
      <alignment horizontal="center" vertical="bottom" textRotation="0" wrapText="false" indent="0" shrinkToFit="false"/>
      <protection locked="false" hidden="false"/>
    </xf>
    <xf numFmtId="171" fontId="4" fillId="0" borderId="1" xfId="0" applyFont="true" applyBorder="true" applyAlignment="true" applyProtection="true">
      <alignment horizontal="center" vertical="bottom" textRotation="0" wrapText="false" indent="0" shrinkToFit="false"/>
      <protection locked="false" hidden="false"/>
    </xf>
    <xf numFmtId="164" fontId="34" fillId="0" borderId="4" xfId="0" applyFont="true" applyBorder="true" applyAlignment="false" applyProtection="false">
      <alignment horizontal="general" vertical="bottom" textRotation="0" wrapText="false" indent="0" shrinkToFit="false"/>
      <protection locked="true" hidden="false"/>
    </xf>
    <xf numFmtId="173" fontId="34" fillId="0" borderId="4" xfId="0" applyFont="true" applyBorder="true" applyAlignment="false" applyProtection="false">
      <alignment horizontal="general" vertical="bottom" textRotation="0" wrapText="false" indent="0" shrinkToFit="false"/>
      <protection locked="true" hidden="false"/>
    </xf>
    <xf numFmtId="164" fontId="34" fillId="0" borderId="5" xfId="0" applyFont="true" applyBorder="true" applyAlignment="false" applyProtection="false">
      <alignment horizontal="general" vertical="bottom" textRotation="0" wrapText="false" indent="0" shrinkToFit="false"/>
      <protection locked="true" hidden="false"/>
    </xf>
    <xf numFmtId="170" fontId="33" fillId="0" borderId="0" xfId="19" applyFont="true" applyBorder="true" applyAlignment="true" applyProtection="true">
      <alignment horizontal="general" vertical="bottom" textRotation="0" wrapText="false" indent="0" shrinkToFit="false"/>
      <protection locked="true" hidden="false"/>
    </xf>
    <xf numFmtId="164" fontId="25" fillId="0" borderId="2" xfId="0" applyFont="tru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false" applyProtection="true">
      <alignment horizontal="general" vertical="bottom" textRotation="0" wrapText="false" indent="0" shrinkToFit="false"/>
      <protection locked="false" hidden="false"/>
    </xf>
    <xf numFmtId="164" fontId="25" fillId="0" borderId="10" xfId="0" applyFont="true" applyBorder="true" applyAlignment="false" applyProtection="false">
      <alignment horizontal="general" vertical="bottom" textRotation="0" wrapText="false" indent="0" shrinkToFit="false"/>
      <protection locked="true" hidden="false"/>
    </xf>
    <xf numFmtId="164" fontId="85" fillId="6" borderId="3" xfId="0" applyFont="true" applyBorder="true" applyAlignment="false" applyProtection="false">
      <alignment horizontal="general" vertical="bottom" textRotation="0" wrapText="false" indent="0" shrinkToFit="false"/>
      <protection locked="true" hidden="false"/>
    </xf>
    <xf numFmtId="173" fontId="85" fillId="6" borderId="4" xfId="0" applyFont="true" applyBorder="true" applyAlignment="false" applyProtection="false">
      <alignment horizontal="general" vertical="bottom" textRotation="0" wrapText="false" indent="0" shrinkToFit="false"/>
      <protection locked="true" hidden="false"/>
    </xf>
    <xf numFmtId="164" fontId="85" fillId="6" borderId="5" xfId="0" applyFont="true" applyBorder="true" applyAlignment="false" applyProtection="false">
      <alignment horizontal="general" vertical="bottom" textRotation="0" wrapText="false" indent="0" shrinkToFit="false"/>
      <protection locked="true" hidden="false"/>
    </xf>
    <xf numFmtId="164" fontId="4" fillId="6" borderId="1" xfId="0" applyFont="true" applyBorder="true" applyAlignment="true" applyProtection="false">
      <alignment horizontal="right" vertical="bottom" textRotation="0" wrapText="false" indent="0" shrinkToFit="false"/>
      <protection locked="true" hidden="false"/>
    </xf>
    <xf numFmtId="176" fontId="4" fillId="6" borderId="2" xfId="0" applyFont="true" applyBorder="true" applyAlignment="false" applyProtection="false">
      <alignment horizontal="general" vertical="bottom" textRotation="0" wrapText="false" indent="0" shrinkToFit="false"/>
      <protection locked="true" hidden="false"/>
    </xf>
    <xf numFmtId="176" fontId="4" fillId="6" borderId="0" xfId="0" applyFont="true" applyBorder="true" applyAlignment="false" applyProtection="false">
      <alignment horizontal="general" vertical="bottom" textRotation="0" wrapText="false" indent="0" shrinkToFit="false"/>
      <protection locked="true" hidden="false"/>
    </xf>
    <xf numFmtId="176" fontId="4" fillId="6" borderId="10" xfId="0" applyFont="true" applyBorder="true" applyAlignment="false" applyProtection="false">
      <alignment horizontal="general" vertical="bottom" textRotation="0" wrapText="false" indent="0" shrinkToFit="false"/>
      <protection locked="true" hidden="false"/>
    </xf>
    <xf numFmtId="176" fontId="4" fillId="6" borderId="8" xfId="0" applyFont="true" applyBorder="true" applyAlignment="false" applyProtection="false">
      <alignment horizontal="general" vertical="bottom" textRotation="0" wrapText="false" indent="0" shrinkToFit="false"/>
      <protection locked="true" hidden="false"/>
    </xf>
    <xf numFmtId="164" fontId="24" fillId="0" borderId="1" xfId="0" applyFont="true" applyBorder="true" applyAlignment="false" applyProtection="false">
      <alignment horizontal="general" vertical="bottom" textRotation="0" wrapText="false" indent="0" shrinkToFit="false"/>
      <protection locked="true" hidden="false"/>
    </xf>
    <xf numFmtId="164" fontId="24" fillId="0" borderId="9" xfId="0" applyFont="true" applyBorder="true" applyAlignment="false" applyProtection="false">
      <alignment horizontal="general" vertical="bottom" textRotation="0" wrapText="false" indent="0" shrinkToFit="false"/>
      <protection locked="true" hidden="false"/>
    </xf>
    <xf numFmtId="164" fontId="25" fillId="6" borderId="9" xfId="0" applyFont="true" applyBorder="true" applyAlignment="false" applyProtection="false">
      <alignment horizontal="general" vertical="bottom" textRotation="0" wrapText="false" indent="0" shrinkToFit="false"/>
      <protection locked="true" hidden="false"/>
    </xf>
    <xf numFmtId="176" fontId="25" fillId="6" borderId="10" xfId="0" applyFont="true" applyBorder="true" applyAlignment="false" applyProtection="false">
      <alignment horizontal="general" vertical="bottom" textRotation="0" wrapText="false" indent="0" shrinkToFit="false"/>
      <protection locked="true" hidden="false"/>
    </xf>
    <xf numFmtId="164" fontId="25" fillId="6" borderId="8" xfId="0" applyFont="true" applyBorder="true" applyAlignment="false" applyProtection="false">
      <alignment horizontal="general" vertical="bottom" textRotation="0" wrapText="false" indent="0" shrinkToFit="false"/>
      <protection locked="true" hidden="false"/>
    </xf>
    <xf numFmtId="176" fontId="25" fillId="6" borderId="8" xfId="0" applyFont="true" applyBorder="true" applyAlignment="false" applyProtection="false">
      <alignment horizontal="general" vertical="bottom" textRotation="0" wrapText="false" indent="0" shrinkToFit="false"/>
      <protection locked="true" hidden="false"/>
    </xf>
    <xf numFmtId="164" fontId="4" fillId="6" borderId="3" xfId="0" applyFont="true" applyBorder="true" applyAlignment="true" applyProtection="false">
      <alignment horizontal="right" vertical="bottom" textRotation="0" wrapText="false" indent="0" shrinkToFit="false"/>
      <protection locked="true" hidden="false"/>
    </xf>
    <xf numFmtId="164" fontId="90" fillId="0" borderId="1" xfId="0" applyFont="true" applyBorder="true" applyAlignment="false" applyProtection="false">
      <alignment horizontal="general" vertical="bottom" textRotation="0" wrapText="false" indent="0" shrinkToFit="false"/>
      <protection locked="true" hidden="false"/>
    </xf>
    <xf numFmtId="164" fontId="34" fillId="5" borderId="33" xfId="0" applyFont="true" applyBorder="true" applyAlignment="false" applyProtection="false">
      <alignment horizontal="general" vertical="bottom" textRotation="0" wrapText="false" indent="0" shrinkToFit="false"/>
      <protection locked="true" hidden="false"/>
    </xf>
    <xf numFmtId="164" fontId="4" fillId="5" borderId="36" xfId="0" applyFont="true" applyBorder="true" applyAlignment="false" applyProtection="false">
      <alignment horizontal="general" vertical="bottom" textRotation="0" wrapText="false" indent="0" shrinkToFit="false"/>
      <protection locked="true" hidden="false"/>
    </xf>
    <xf numFmtId="173" fontId="34" fillId="5" borderId="33" xfId="0" applyFont="true" applyBorder="true" applyAlignment="false" applyProtection="false">
      <alignment horizontal="general" vertical="bottom" textRotation="0" wrapText="false" indent="0" shrinkToFit="false"/>
      <protection locked="true" hidden="false"/>
    </xf>
    <xf numFmtId="164" fontId="34" fillId="5" borderId="34" xfId="0" applyFont="true" applyBorder="true" applyAlignment="false" applyProtection="false">
      <alignment horizontal="general" vertical="bottom" textRotation="0" wrapText="false" indent="0" shrinkToFit="false"/>
      <protection locked="true" hidden="false"/>
    </xf>
    <xf numFmtId="164" fontId="4" fillId="6" borderId="19" xfId="0" applyFont="true" applyBorder="true" applyAlignment="false" applyProtection="false">
      <alignment horizontal="general" vertical="bottom" textRotation="0" wrapText="false" indent="0" shrinkToFit="false"/>
      <protection locked="true" hidden="false"/>
    </xf>
    <xf numFmtId="176" fontId="4" fillId="6" borderId="19" xfId="0" applyFont="true" applyBorder="true" applyAlignment="false" applyProtection="false">
      <alignment horizontal="general" vertical="bottom" textRotation="0" wrapText="false" indent="0" shrinkToFit="false"/>
      <protection locked="true" hidden="false"/>
    </xf>
    <xf numFmtId="164" fontId="4" fillId="6" borderId="37" xfId="0" applyFont="true" applyBorder="true" applyAlignment="false" applyProtection="false">
      <alignment horizontal="general" vertical="bottom" textRotation="0" wrapText="false" indent="0" shrinkToFit="false"/>
      <protection locked="true" hidden="false"/>
    </xf>
    <xf numFmtId="169" fontId="4" fillId="0" borderId="0" xfId="0" applyFont="true" applyBorder="true" applyAlignment="true" applyProtection="false">
      <alignment horizontal="right" vertical="bottom" textRotation="0" wrapText="false" indent="0" shrinkToFit="false"/>
      <protection locked="true" hidden="false"/>
    </xf>
    <xf numFmtId="174" fontId="9" fillId="0" borderId="0" xfId="0" applyFont="true" applyBorder="true" applyAlignment="true" applyProtection="false">
      <alignment horizontal="right" vertical="bottom" textRotation="0" wrapText="false" indent="0" shrinkToFit="false"/>
      <protection locked="true" hidden="false"/>
    </xf>
    <xf numFmtId="164" fontId="43" fillId="0" borderId="2" xfId="0" applyFont="true" applyBorder="true" applyAlignment="true" applyProtection="false">
      <alignment horizontal="left" vertical="bottom" textRotation="0" wrapText="false" indent="0" shrinkToFit="false"/>
      <protection locked="true" hidden="false"/>
    </xf>
    <xf numFmtId="164" fontId="34" fillId="0" borderId="8" xfId="0" applyFont="true" applyBorder="true" applyAlignment="true" applyProtection="false">
      <alignment horizontal="right" vertical="bottom" textRotation="0" wrapText="false" indent="0" shrinkToFit="false"/>
      <protection locked="true" hidden="false"/>
    </xf>
    <xf numFmtId="164" fontId="34" fillId="0" borderId="10" xfId="0" applyFont="true" applyBorder="true" applyAlignment="true" applyProtection="false">
      <alignment horizontal="right" vertical="bottom" textRotation="0" wrapText="false" indent="0" shrinkToFit="false"/>
      <protection locked="true" hidden="false"/>
    </xf>
    <xf numFmtId="164" fontId="23" fillId="0" borderId="13" xfId="0" applyFont="true" applyBorder="true" applyAlignment="true" applyProtection="false">
      <alignment horizontal="right" vertical="bottom" textRotation="0" wrapText="false" indent="0" shrinkToFit="false"/>
      <protection locked="true" hidden="false"/>
    </xf>
    <xf numFmtId="164" fontId="23" fillId="0" borderId="4" xfId="0" applyFont="true" applyBorder="true" applyAlignment="true" applyProtection="false">
      <alignment horizontal="right" vertical="bottom" textRotation="0" wrapText="false" indent="0" shrinkToFit="false"/>
      <protection locked="true" hidden="false"/>
    </xf>
    <xf numFmtId="164" fontId="38" fillId="0" borderId="0" xfId="0" applyFont="true" applyBorder="false" applyAlignment="true" applyProtection="false">
      <alignment horizontal="right" vertical="bottom" textRotation="0" wrapText="false" indent="0" shrinkToFit="false"/>
      <protection locked="true" hidden="false"/>
    </xf>
    <xf numFmtId="164" fontId="38" fillId="0" borderId="4" xfId="0" applyFont="true" applyBorder="true" applyAlignment="true" applyProtection="false">
      <alignment horizontal="right" vertical="bottom" textRotation="0" wrapText="false" indent="0" shrinkToFit="false"/>
      <protection locked="true" hidden="false"/>
    </xf>
    <xf numFmtId="164" fontId="38" fillId="0" borderId="5" xfId="0" applyFont="true" applyBorder="true" applyAlignment="true" applyProtection="false">
      <alignment horizontal="right" vertical="bottom" textRotation="0" wrapText="false" indent="0" shrinkToFit="false"/>
      <protection locked="true" hidden="false"/>
    </xf>
    <xf numFmtId="164" fontId="45" fillId="0" borderId="1" xfId="0" applyFont="true" applyBorder="true" applyAlignment="false" applyProtection="false">
      <alignment horizontal="general" vertical="bottom" textRotation="0" wrapText="false" indent="0" shrinkToFit="false"/>
      <protection locked="true" hidden="false"/>
    </xf>
    <xf numFmtId="164" fontId="45" fillId="5" borderId="38" xfId="0" applyFont="true" applyBorder="true" applyAlignment="true" applyProtection="false">
      <alignment horizontal="right" vertical="bottom" textRotation="0" wrapText="false" indent="0" shrinkToFit="false"/>
      <protection locked="true" hidden="false"/>
    </xf>
    <xf numFmtId="164" fontId="45" fillId="5" borderId="39" xfId="0" applyFont="true" applyBorder="true" applyAlignment="true" applyProtection="false">
      <alignment horizontal="right" vertical="bottom" textRotation="0" wrapText="false" indent="0" shrinkToFit="false"/>
      <protection locked="true" hidden="false"/>
    </xf>
    <xf numFmtId="164" fontId="45" fillId="5" borderId="40" xfId="0" applyFont="true" applyBorder="true" applyAlignment="true" applyProtection="false">
      <alignment horizontal="right" vertical="bottom" textRotation="0" wrapText="false" indent="0" shrinkToFit="false"/>
      <protection locked="true" hidden="false"/>
    </xf>
    <xf numFmtId="164" fontId="45" fillId="5" borderId="25" xfId="0" applyFont="true" applyBorder="true" applyAlignment="true" applyProtection="false">
      <alignment horizontal="right" vertical="bottom" textRotation="0" wrapText="false" indent="0" shrinkToFit="false"/>
      <protection locked="true" hidden="false"/>
    </xf>
    <xf numFmtId="164" fontId="4" fillId="6" borderId="41" xfId="0" applyFont="true" applyBorder="true" applyAlignment="true" applyProtection="false">
      <alignment horizontal="right" vertical="bottom" textRotation="0" wrapText="false" indent="0" shrinkToFit="false"/>
      <protection locked="true" hidden="false"/>
    </xf>
    <xf numFmtId="164" fontId="4" fillId="6" borderId="6" xfId="0" applyFont="true" applyBorder="true" applyAlignment="true" applyProtection="false">
      <alignment horizontal="right" vertical="bottom" textRotation="0" wrapText="false" indent="0" shrinkToFit="false"/>
      <protection locked="true" hidden="false"/>
    </xf>
    <xf numFmtId="164" fontId="4" fillId="6" borderId="42" xfId="0" applyFont="true" applyBorder="true" applyAlignment="true" applyProtection="false">
      <alignment horizontal="right" vertical="bottom" textRotation="0" wrapText="false" indent="0" shrinkToFit="false"/>
      <protection locked="true" hidden="false"/>
    </xf>
    <xf numFmtId="164" fontId="4" fillId="6" borderId="22" xfId="0" applyFont="true" applyBorder="true" applyAlignment="true" applyProtection="false">
      <alignment horizontal="right" vertical="bottom" textRotation="0" wrapText="false" indent="0" shrinkToFit="false"/>
      <protection locked="true" hidden="false"/>
    </xf>
    <xf numFmtId="164" fontId="4" fillId="6" borderId="43" xfId="0" applyFont="true" applyBorder="true" applyAlignment="true" applyProtection="false">
      <alignment horizontal="right" vertical="bottom" textRotation="0" wrapText="false" indent="0" shrinkToFit="false"/>
      <protection locked="true" hidden="false"/>
    </xf>
    <xf numFmtId="164" fontId="4" fillId="6" borderId="11" xfId="0" applyFont="true" applyBorder="true" applyAlignment="true" applyProtection="false">
      <alignment horizontal="right" vertical="bottom" textRotation="0" wrapText="false" indent="0" shrinkToFit="false"/>
      <protection locked="true" hidden="false"/>
    </xf>
    <xf numFmtId="164" fontId="4" fillId="6" borderId="44" xfId="0" applyFont="true" applyBorder="true" applyAlignment="true" applyProtection="false">
      <alignment horizontal="right" vertical="bottom" textRotation="0" wrapText="false" indent="0" shrinkToFit="false"/>
      <protection locked="true" hidden="false"/>
    </xf>
    <xf numFmtId="164" fontId="4" fillId="6" borderId="19" xfId="0" applyFont="true" applyBorder="true" applyAlignment="true" applyProtection="false">
      <alignment horizontal="right" vertical="bottom" textRotation="0" wrapText="false" indent="0" shrinkToFit="false"/>
      <protection locked="true" hidden="false"/>
    </xf>
    <xf numFmtId="176" fontId="4" fillId="6" borderId="43" xfId="0" applyFont="true" applyBorder="true" applyAlignment="true" applyProtection="false">
      <alignment horizontal="right" vertical="bottom" textRotation="0" wrapText="false" indent="0" shrinkToFit="false"/>
      <protection locked="true" hidden="false"/>
    </xf>
    <xf numFmtId="176" fontId="4" fillId="6" borderId="11" xfId="0" applyFont="true" applyBorder="true" applyAlignment="true" applyProtection="false">
      <alignment horizontal="right" vertical="bottom" textRotation="0" wrapText="false" indent="0" shrinkToFit="false"/>
      <protection locked="true" hidden="false"/>
    </xf>
    <xf numFmtId="176" fontId="4" fillId="6" borderId="19" xfId="0" applyFont="true" applyBorder="true" applyAlignment="true" applyProtection="false">
      <alignment horizontal="right" vertical="bottom" textRotation="0" wrapText="false" indent="0" shrinkToFit="false"/>
      <protection locked="true" hidden="false"/>
    </xf>
    <xf numFmtId="176" fontId="4" fillId="6" borderId="45" xfId="0" applyFont="true" applyBorder="true" applyAlignment="true" applyProtection="false">
      <alignment horizontal="right" vertical="bottom" textRotation="0" wrapText="false" indent="0" shrinkToFit="false"/>
      <protection locked="true" hidden="false"/>
    </xf>
    <xf numFmtId="164" fontId="4" fillId="6" borderId="17" xfId="0" applyFont="true" applyBorder="true" applyAlignment="true" applyProtection="false">
      <alignment horizontal="right" vertical="bottom" textRotation="0" wrapText="false" indent="0" shrinkToFit="false"/>
      <protection locked="true" hidden="false"/>
    </xf>
    <xf numFmtId="176" fontId="4" fillId="6" borderId="17" xfId="0" applyFont="true" applyBorder="true" applyAlignment="true" applyProtection="false">
      <alignment horizontal="right" vertical="bottom" textRotation="0" wrapText="false" indent="0" shrinkToFit="false"/>
      <protection locked="true" hidden="false"/>
    </xf>
    <xf numFmtId="164" fontId="4" fillId="6" borderId="46" xfId="0" applyFont="true" applyBorder="true" applyAlignment="true" applyProtection="false">
      <alignment horizontal="right" vertical="bottom" textRotation="0" wrapText="false" indent="0" shrinkToFit="false"/>
      <protection locked="true" hidden="false"/>
    </xf>
    <xf numFmtId="176" fontId="4" fillId="6" borderId="20" xfId="0" applyFont="true" applyBorder="true" applyAlignment="true" applyProtection="false">
      <alignment horizontal="right" vertical="bottom" textRotation="0" wrapText="false" indent="0" shrinkToFit="false"/>
      <protection locked="true" hidden="false"/>
    </xf>
    <xf numFmtId="176" fontId="25" fillId="6" borderId="43" xfId="0" applyFont="true" applyBorder="true" applyAlignment="true" applyProtection="false">
      <alignment horizontal="right" vertical="bottom" textRotation="0" wrapText="false" indent="0" shrinkToFit="false"/>
      <protection locked="true" hidden="false"/>
    </xf>
    <xf numFmtId="176" fontId="25" fillId="6" borderId="11" xfId="0" applyFont="true" applyBorder="true" applyAlignment="true" applyProtection="false">
      <alignment horizontal="right" vertical="bottom" textRotation="0" wrapText="false" indent="0" shrinkToFit="false"/>
      <protection locked="true" hidden="false"/>
    </xf>
    <xf numFmtId="176" fontId="25" fillId="6" borderId="44" xfId="0" applyFont="true" applyBorder="true" applyAlignment="true" applyProtection="false">
      <alignment horizontal="right" vertical="bottom" textRotation="0" wrapText="false" indent="0" shrinkToFit="false"/>
      <protection locked="true" hidden="false"/>
    </xf>
    <xf numFmtId="176" fontId="25" fillId="6" borderId="19" xfId="0" applyFont="true" applyBorder="true" applyAlignment="true" applyProtection="false">
      <alignment horizontal="right" vertical="bottom" textRotation="0" wrapText="false" indent="0" shrinkToFit="false"/>
      <protection locked="true" hidden="false"/>
    </xf>
    <xf numFmtId="164" fontId="25" fillId="0" borderId="47" xfId="0" applyFont="true" applyBorder="true" applyAlignment="false" applyProtection="false">
      <alignment horizontal="general" vertical="bottom" textRotation="0" wrapText="false" indent="0" shrinkToFit="false"/>
      <protection locked="true" hidden="false"/>
    </xf>
    <xf numFmtId="176" fontId="25" fillId="6" borderId="45" xfId="0" applyFont="true" applyBorder="true" applyAlignment="true" applyProtection="false">
      <alignment horizontal="right" vertical="bottom" textRotation="0" wrapText="false" indent="0" shrinkToFit="false"/>
      <protection locked="true" hidden="false"/>
    </xf>
    <xf numFmtId="176" fontId="25" fillId="6" borderId="17" xfId="0" applyFont="true" applyBorder="true" applyAlignment="true" applyProtection="false">
      <alignment horizontal="right" vertical="bottom" textRotation="0" wrapText="false" indent="0" shrinkToFit="false"/>
      <protection locked="true" hidden="false"/>
    </xf>
    <xf numFmtId="176" fontId="25" fillId="6" borderId="46" xfId="0" applyFont="true" applyBorder="true" applyAlignment="true" applyProtection="false">
      <alignment horizontal="right" vertical="bottom" textRotation="0" wrapText="false" indent="0" shrinkToFit="false"/>
      <protection locked="true" hidden="false"/>
    </xf>
    <xf numFmtId="176" fontId="25" fillId="6" borderId="20" xfId="0" applyFont="true" applyBorder="true" applyAlignment="true" applyProtection="false">
      <alignment horizontal="right" vertical="bottom" textRotation="0" wrapText="false" indent="0" shrinkToFit="false"/>
      <protection locked="true" hidden="false"/>
    </xf>
    <xf numFmtId="164" fontId="4" fillId="0" borderId="48" xfId="0" applyFont="true" applyBorder="true" applyAlignment="false" applyProtection="false">
      <alignment horizontal="general" vertical="bottom" textRotation="0" wrapText="false" indent="0" shrinkToFit="false"/>
      <protection locked="true" hidden="false"/>
    </xf>
    <xf numFmtId="164" fontId="25" fillId="6" borderId="44" xfId="0" applyFont="true" applyBorder="true" applyAlignment="true" applyProtection="false">
      <alignment horizontal="right" vertical="bottom" textRotation="0" wrapText="false" indent="0" shrinkToFit="false"/>
      <protection locked="true" hidden="false"/>
    </xf>
    <xf numFmtId="164" fontId="25" fillId="6" borderId="46" xfId="0" applyFont="true" applyBorder="true" applyAlignment="true" applyProtection="false">
      <alignment horizontal="right" vertical="bottom" textRotation="0" wrapText="false" indent="0" shrinkToFit="false"/>
      <protection locked="true" hidden="false"/>
    </xf>
    <xf numFmtId="164" fontId="25" fillId="6" borderId="45" xfId="0" applyFont="true" applyBorder="true" applyAlignment="true" applyProtection="false">
      <alignment horizontal="right" vertical="bottom" textRotation="0" wrapText="false" indent="0" shrinkToFit="false"/>
      <protection locked="true" hidden="false"/>
    </xf>
    <xf numFmtId="176" fontId="4" fillId="6" borderId="44" xfId="0" applyFont="true" applyBorder="true" applyAlignment="true" applyProtection="false">
      <alignment horizontal="right" vertical="bottom" textRotation="0" wrapText="false" indent="0" shrinkToFit="false"/>
      <protection locked="true" hidden="false"/>
    </xf>
    <xf numFmtId="176" fontId="4" fillId="6" borderId="46" xfId="0" applyFont="true" applyBorder="true" applyAlignment="true" applyProtection="false">
      <alignment horizontal="right" vertical="bottom" textRotation="0" wrapText="false" indent="0" shrinkToFit="false"/>
      <protection locked="true" hidden="false"/>
    </xf>
    <xf numFmtId="176" fontId="25" fillId="6" borderId="41" xfId="0" applyFont="true" applyBorder="true" applyAlignment="true" applyProtection="false">
      <alignment horizontal="right" vertical="bottom" textRotation="0" wrapText="false" indent="0" shrinkToFit="false"/>
      <protection locked="true" hidden="false"/>
    </xf>
    <xf numFmtId="176" fontId="25" fillId="6" borderId="6" xfId="0" applyFont="true" applyBorder="true" applyAlignment="true" applyProtection="false">
      <alignment horizontal="right" vertical="bottom" textRotation="0" wrapText="false" indent="0" shrinkToFit="false"/>
      <protection locked="true" hidden="false"/>
    </xf>
    <xf numFmtId="176" fontId="25" fillId="6" borderId="42" xfId="0" applyFont="true" applyBorder="true" applyAlignment="true" applyProtection="false">
      <alignment horizontal="right" vertical="bottom" textRotation="0" wrapText="false" indent="0" shrinkToFit="false"/>
      <protection locked="true" hidden="false"/>
    </xf>
    <xf numFmtId="164" fontId="4" fillId="0" borderId="47" xfId="0" applyFont="true" applyBorder="true" applyAlignment="false" applyProtection="false">
      <alignment horizontal="general" vertical="bottom" textRotation="0" wrapText="false" indent="0" shrinkToFit="false"/>
      <protection locked="true" hidden="false"/>
    </xf>
    <xf numFmtId="164" fontId="25" fillId="0" borderId="48" xfId="0" applyFont="true" applyBorder="true" applyAlignment="false" applyProtection="false">
      <alignment horizontal="general" vertical="bottom" textRotation="0" wrapText="false" indent="0" shrinkToFit="false"/>
      <protection locked="true" hidden="false"/>
    </xf>
    <xf numFmtId="164" fontId="45" fillId="0" borderId="4" xfId="0" applyFont="true" applyBorder="true" applyAlignment="false" applyProtection="false">
      <alignment horizontal="general" vertical="bottom" textRotation="0" wrapText="false" indent="0" shrinkToFit="false"/>
      <protection locked="true" hidden="false"/>
    </xf>
    <xf numFmtId="176" fontId="25" fillId="6" borderId="2" xfId="0" applyFont="true" applyBorder="true" applyAlignment="true" applyProtection="false">
      <alignment horizontal="right" vertical="bottom" textRotation="0" wrapText="false" indent="0" shrinkToFit="false"/>
      <protection locked="true" hidden="false"/>
    </xf>
    <xf numFmtId="176" fontId="25" fillId="6" borderId="0" xfId="0" applyFont="true" applyBorder="true" applyAlignment="true" applyProtection="false">
      <alignment horizontal="right" vertical="bottom" textRotation="0" wrapText="false" indent="0" shrinkToFit="false"/>
      <protection locked="true" hidden="false"/>
    </xf>
    <xf numFmtId="164" fontId="4" fillId="0" borderId="14" xfId="0" applyFont="true" applyBorder="true" applyAlignment="true" applyProtection="false">
      <alignment horizontal="right" vertical="bottom" textRotation="0" wrapText="false" indent="0" shrinkToFit="false"/>
      <protection locked="true" hidden="false"/>
    </xf>
    <xf numFmtId="164" fontId="4" fillId="0" borderId="19" xfId="0" applyFont="true" applyBorder="true" applyAlignment="true" applyProtection="false">
      <alignment horizontal="right" vertical="bottom" textRotation="0" wrapText="false" indent="0" shrinkToFit="false"/>
      <protection locked="true" hidden="false"/>
    </xf>
    <xf numFmtId="164" fontId="9" fillId="0" borderId="26" xfId="0" applyFont="true" applyBorder="true" applyAlignment="false" applyProtection="false">
      <alignment horizontal="general" vertical="bottom" textRotation="0" wrapText="false" indent="0" shrinkToFit="false"/>
      <protection locked="true" hidden="false"/>
    </xf>
    <xf numFmtId="164" fontId="44" fillId="0" borderId="0" xfId="0" applyFont="true" applyBorder="true" applyAlignment="true" applyProtection="false">
      <alignment horizontal="right" vertical="bottom" textRotation="0" wrapText="false" indent="0" shrinkToFit="false"/>
      <protection locked="true" hidden="false"/>
    </xf>
    <xf numFmtId="164" fontId="43" fillId="0" borderId="19" xfId="0" applyFont="true" applyBorder="true" applyAlignment="true" applyProtection="false">
      <alignment horizontal="left" vertical="bottom" textRotation="0" wrapText="false" indent="0" shrinkToFit="false"/>
      <protection locked="true" hidden="false"/>
    </xf>
    <xf numFmtId="164" fontId="34" fillId="0" borderId="20" xfId="0" applyFont="true" applyBorder="true" applyAlignment="true" applyProtection="false">
      <alignment horizontal="right" vertical="bottom" textRotation="0" wrapText="false" indent="0" shrinkToFit="false"/>
      <protection locked="true" hidden="false"/>
    </xf>
    <xf numFmtId="164" fontId="23" fillId="0" borderId="49" xfId="0" applyFont="true" applyBorder="true" applyAlignment="true" applyProtection="false">
      <alignment horizontal="right" vertical="bottom" textRotation="0" wrapText="false" indent="0" shrinkToFit="false"/>
      <protection locked="true" hidden="false"/>
    </xf>
    <xf numFmtId="164" fontId="38" fillId="0" borderId="22" xfId="0" applyFont="true" applyBorder="true" applyAlignment="true" applyProtection="false">
      <alignment horizontal="right" vertical="bottom" textRotation="0" wrapText="false" indent="0" shrinkToFit="false"/>
      <protection locked="true" hidden="false"/>
    </xf>
    <xf numFmtId="164" fontId="45" fillId="0" borderId="26" xfId="0" applyFont="true" applyBorder="true" applyAlignment="false" applyProtection="false">
      <alignment horizontal="general" vertical="bottom" textRotation="0" wrapText="false" indent="0" shrinkToFit="false"/>
      <protection locked="true" hidden="false"/>
    </xf>
    <xf numFmtId="176" fontId="4" fillId="6" borderId="42" xfId="0" applyFont="true" applyBorder="true" applyAlignment="true" applyProtection="false">
      <alignment horizontal="right" vertical="bottom" textRotation="0" wrapText="false" indent="0" shrinkToFit="false"/>
      <protection locked="true" hidden="false"/>
    </xf>
    <xf numFmtId="176" fontId="4" fillId="6" borderId="41" xfId="0" applyFont="true" applyBorder="true" applyAlignment="true" applyProtection="false">
      <alignment horizontal="right" vertical="bottom" textRotation="0" wrapText="false" indent="0" shrinkToFit="false"/>
      <protection locked="true" hidden="false"/>
    </xf>
    <xf numFmtId="164" fontId="4" fillId="6" borderId="50" xfId="0" applyFont="true" applyBorder="true" applyAlignment="true" applyProtection="false">
      <alignment horizontal="right" vertical="bottom" textRotation="0" wrapText="false" indent="0" shrinkToFit="false"/>
      <protection locked="true" hidden="false"/>
    </xf>
    <xf numFmtId="164" fontId="4" fillId="6" borderId="51" xfId="0" applyFont="true" applyBorder="true" applyAlignment="true" applyProtection="false">
      <alignment horizontal="right" vertical="bottom" textRotation="0" wrapText="false" indent="0" shrinkToFit="false"/>
      <protection locked="true" hidden="false"/>
    </xf>
    <xf numFmtId="164" fontId="4" fillId="6" borderId="52" xfId="0" applyFont="true" applyBorder="true" applyAlignment="true" applyProtection="false">
      <alignment horizontal="right" vertical="bottom" textRotation="0" wrapText="false" indent="0" shrinkToFit="false"/>
      <protection locked="true" hidden="false"/>
    </xf>
    <xf numFmtId="176" fontId="25" fillId="6" borderId="22" xfId="0" applyFont="true" applyBorder="true" applyAlignment="true" applyProtection="false">
      <alignment horizontal="right" vertical="bottom" textRotation="0" wrapText="false" indent="0" shrinkToFit="false"/>
      <protection locked="true" hidden="false"/>
    </xf>
    <xf numFmtId="164" fontId="25" fillId="0" borderId="53" xfId="0" applyFont="true" applyBorder="true" applyAlignment="false" applyProtection="false">
      <alignment horizontal="general" vertical="bottom" textRotation="0" wrapText="false" indent="0" shrinkToFit="false"/>
      <protection locked="true" hidden="false"/>
    </xf>
    <xf numFmtId="176" fontId="4" fillId="6" borderId="6" xfId="0" applyFont="true" applyBorder="true" applyAlignment="true" applyProtection="false">
      <alignment horizontal="right" vertical="bottom" textRotation="0" wrapText="false" indent="0" shrinkToFit="false"/>
      <protection locked="true" hidden="false"/>
    </xf>
    <xf numFmtId="176" fontId="4" fillId="6" borderId="22" xfId="0" applyFont="true" applyBorder="true" applyAlignment="true" applyProtection="false">
      <alignment horizontal="right" vertical="bottom" textRotation="0" wrapText="false" indent="0" shrinkToFit="false"/>
      <protection locked="true" hidden="false"/>
    </xf>
    <xf numFmtId="164" fontId="25" fillId="6" borderId="17" xfId="0" applyFont="true" applyBorder="true" applyAlignment="true" applyProtection="false">
      <alignment horizontal="right" vertical="bottom" textRotation="0" wrapText="false" indent="0" shrinkToFit="false"/>
      <protection locked="true" hidden="false"/>
    </xf>
    <xf numFmtId="164" fontId="25" fillId="6" borderId="43" xfId="0" applyFont="true" applyBorder="true" applyAlignment="true" applyProtection="false">
      <alignment horizontal="right" vertical="bottom" textRotation="0" wrapText="false" indent="0" shrinkToFit="false"/>
      <protection locked="true" hidden="false"/>
    </xf>
    <xf numFmtId="176" fontId="25" fillId="6" borderId="5" xfId="0" applyFont="true" applyBorder="true" applyAlignment="true" applyProtection="false">
      <alignment horizontal="right" vertical="bottom" textRotation="0" wrapText="false" indent="0" shrinkToFit="false"/>
      <protection locked="true" hidden="false"/>
    </xf>
    <xf numFmtId="176" fontId="25" fillId="6" borderId="53" xfId="0" applyFont="true" applyBorder="true" applyAlignment="true" applyProtection="false">
      <alignment horizontal="right" vertical="bottom" textRotation="0" wrapText="false" indent="0" shrinkToFit="false"/>
      <protection locked="true" hidden="false"/>
    </xf>
    <xf numFmtId="176" fontId="25" fillId="6" borderId="38" xfId="0" applyFont="true" applyBorder="true" applyAlignment="true" applyProtection="false">
      <alignment horizontal="right" vertical="bottom" textRotation="0" wrapText="false" indent="0" shrinkToFit="false"/>
      <protection locked="true" hidden="false"/>
    </xf>
    <xf numFmtId="176" fontId="25" fillId="6" borderId="30" xfId="0" applyFont="true" applyBorder="true" applyAlignment="true" applyProtection="false">
      <alignment horizontal="right" vertical="bottom" textRotation="0" wrapText="false" indent="0" shrinkToFit="false"/>
      <protection locked="true" hidden="false"/>
    </xf>
    <xf numFmtId="176" fontId="25" fillId="6" borderId="39" xfId="0" applyFont="true" applyBorder="true" applyAlignment="true" applyProtection="false">
      <alignment horizontal="right" vertical="bottom" textRotation="0" wrapText="false" indent="0" shrinkToFit="false"/>
      <protection locked="true" hidden="false"/>
    </xf>
    <xf numFmtId="176" fontId="25" fillId="6" borderId="25" xfId="0" applyFont="true" applyBorder="true" applyAlignment="true" applyProtection="false">
      <alignment horizontal="right" vertical="bottom" textRotation="0" wrapText="false" indent="0" shrinkToFit="false"/>
      <protection locked="true" hidden="false"/>
    </xf>
    <xf numFmtId="176" fontId="4" fillId="6" borderId="2" xfId="0" applyFont="true" applyBorder="true" applyAlignment="true" applyProtection="false">
      <alignment horizontal="right" vertical="bottom" textRotation="0" wrapText="false" indent="0" shrinkToFit="false"/>
      <protection locked="true" hidden="false"/>
    </xf>
    <xf numFmtId="164" fontId="25" fillId="6" borderId="11" xfId="0" applyFont="true" applyBorder="true" applyAlignment="false" applyProtection="false">
      <alignment horizontal="general" vertical="bottom" textRotation="0" wrapText="false" indent="0" shrinkToFit="false"/>
      <protection locked="true" hidden="false"/>
    </xf>
    <xf numFmtId="164" fontId="4" fillId="0" borderId="26" xfId="0" applyFont="true" applyBorder="true" applyAlignment="false" applyProtection="false">
      <alignment horizontal="general" vertical="bottom" textRotation="0" wrapText="false" indent="0" shrinkToFit="false"/>
      <protection locked="true" hidden="false"/>
    </xf>
    <xf numFmtId="164" fontId="5" fillId="2" borderId="23" xfId="0" applyFont="true" applyBorder="true" applyAlignment="false" applyProtection="false">
      <alignment horizontal="general" vertical="bottom" textRotation="0" wrapText="false" indent="0" shrinkToFit="false"/>
      <protection locked="true" hidden="false"/>
    </xf>
    <xf numFmtId="164" fontId="5" fillId="2" borderId="24" xfId="0" applyFont="true" applyBorder="true" applyAlignment="false" applyProtection="false">
      <alignment horizontal="general" vertical="bottom" textRotation="0" wrapText="false" indent="0" shrinkToFit="false"/>
      <protection locked="true" hidden="false"/>
    </xf>
    <xf numFmtId="164" fontId="5" fillId="2" borderId="24" xfId="0" applyFont="true" applyBorder="true" applyAlignment="true" applyProtection="false">
      <alignment horizontal="right" vertical="bottom" textRotation="0" wrapText="false" indent="0" shrinkToFit="false"/>
      <protection locked="true" hidden="false"/>
    </xf>
    <xf numFmtId="164" fontId="5" fillId="2" borderId="54" xfId="0" applyFont="true" applyBorder="true" applyAlignment="false" applyProtection="false">
      <alignment horizontal="general" vertical="bottom" textRotation="0" wrapText="false" indent="0" shrinkToFit="false"/>
      <protection locked="true" hidden="false"/>
    </xf>
    <xf numFmtId="164" fontId="5" fillId="2" borderId="25" xfId="0" applyFont="true" applyBorder="true" applyAlignment="true" applyProtection="false">
      <alignment horizontal="right" vertical="bottom" textRotation="0" wrapText="false" indent="0" shrinkToFit="false"/>
      <protection locked="true" hidden="false"/>
    </xf>
    <xf numFmtId="164" fontId="43" fillId="0" borderId="19" xfId="0" applyFont="true" applyBorder="true" applyAlignment="false" applyProtection="false">
      <alignment horizontal="general" vertical="bottom" textRotation="0" wrapText="false" indent="0" shrinkToFit="false"/>
      <protection locked="true" hidden="false"/>
    </xf>
    <xf numFmtId="164" fontId="45" fillId="0" borderId="47" xfId="0" applyFont="true" applyBorder="true" applyAlignment="true" applyProtection="false">
      <alignment horizontal="right" vertical="bottom" textRotation="0" wrapText="false" indent="0" shrinkToFit="false"/>
      <protection locked="true" hidden="false"/>
    </xf>
    <xf numFmtId="164" fontId="45" fillId="5" borderId="55" xfId="0" applyFont="true" applyBorder="true" applyAlignment="true" applyProtection="false">
      <alignment horizontal="center" vertical="bottom" textRotation="0" wrapText="false" indent="0" shrinkToFit="false"/>
      <protection locked="true" hidden="false"/>
    </xf>
    <xf numFmtId="164" fontId="76" fillId="3" borderId="0" xfId="0" applyFont="true" applyBorder="false" applyAlignment="false" applyProtection="false">
      <alignment horizontal="general" vertical="bottom" textRotation="0" wrapText="false" indent="0"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64" fontId="45" fillId="0" borderId="26" xfId="0" applyFont="true" applyBorder="true" applyAlignment="false" applyProtection="false">
      <alignment horizontal="general" vertical="bottom" textRotation="0" wrapText="false" indent="0" shrinkToFit="false"/>
      <protection locked="true" hidden="false"/>
    </xf>
    <xf numFmtId="164" fontId="45" fillId="5" borderId="56" xfId="0" applyFont="true" applyBorder="true" applyAlignment="true" applyProtection="false">
      <alignment horizontal="right" vertical="bottom" textRotation="0" wrapText="false" indent="0" shrinkToFit="false"/>
      <protection locked="true" hidden="false"/>
    </xf>
    <xf numFmtId="164" fontId="45" fillId="5" borderId="12" xfId="0" applyFont="true" applyBorder="true" applyAlignment="true" applyProtection="false">
      <alignment horizontal="right" vertical="bottom" textRotation="0" wrapText="false" indent="0" shrinkToFit="false"/>
      <protection locked="true" hidden="false"/>
    </xf>
    <xf numFmtId="164" fontId="45" fillId="5" borderId="57" xfId="0" applyFont="true" applyBorder="true" applyAlignment="true" applyProtection="false">
      <alignment horizontal="right" vertical="bottom" textRotation="0" wrapText="false" indent="0" shrinkToFit="false"/>
      <protection locked="true" hidden="false"/>
    </xf>
    <xf numFmtId="164" fontId="4" fillId="0" borderId="48" xfId="0" applyFont="true" applyBorder="true" applyAlignment="false" applyProtection="false">
      <alignment horizontal="general" vertical="bottom" textRotation="0" wrapText="false" indent="0" shrinkToFit="false"/>
      <protection locked="true" hidden="false"/>
    </xf>
    <xf numFmtId="164" fontId="25" fillId="0" borderId="26" xfId="0" applyFont="true" applyBorder="true" applyAlignment="false" applyProtection="false">
      <alignment horizontal="general" vertical="bottom" textRotation="0" wrapText="false" indent="0" shrinkToFit="false"/>
      <protection locked="true" hidden="false"/>
    </xf>
    <xf numFmtId="164" fontId="4" fillId="6" borderId="43" xfId="0" applyFont="true" applyBorder="true" applyAlignment="false" applyProtection="false">
      <alignment horizontal="general" vertical="bottom" textRotation="0" wrapText="false" indent="0" shrinkToFit="false"/>
      <protection locked="true" hidden="false"/>
    </xf>
    <xf numFmtId="164" fontId="4" fillId="6" borderId="11" xfId="0" applyFont="true" applyBorder="true" applyAlignment="false" applyProtection="false">
      <alignment horizontal="general" vertical="bottom" textRotation="0" wrapText="false" indent="0" shrinkToFit="false"/>
      <protection locked="true" hidden="false"/>
    </xf>
    <xf numFmtId="164" fontId="4" fillId="6" borderId="44" xfId="0" applyFont="true" applyBorder="true" applyAlignment="false" applyProtection="false">
      <alignment horizontal="general" vertical="bottom" textRotation="0" wrapText="false" indent="0" shrinkToFit="false"/>
      <protection locked="true" hidden="false"/>
    </xf>
    <xf numFmtId="176" fontId="4" fillId="6" borderId="43" xfId="0" applyFont="true" applyBorder="true" applyAlignment="false" applyProtection="false">
      <alignment horizontal="general" vertical="bottom" textRotation="0" wrapText="false" indent="0" shrinkToFit="false"/>
      <protection locked="true" hidden="false"/>
    </xf>
    <xf numFmtId="176" fontId="4" fillId="6" borderId="11" xfId="0" applyFont="true" applyBorder="true" applyAlignment="false" applyProtection="false">
      <alignment horizontal="general" vertical="bottom" textRotation="0" wrapText="false" indent="0" shrinkToFit="false"/>
      <protection locked="true" hidden="false"/>
    </xf>
    <xf numFmtId="176" fontId="4" fillId="6" borderId="44" xfId="0" applyFont="true" applyBorder="true" applyAlignment="false" applyProtection="false">
      <alignment horizontal="general" vertical="bottom" textRotation="0" wrapText="false" indent="0" shrinkToFit="false"/>
      <protection locked="true" hidden="false"/>
    </xf>
    <xf numFmtId="176" fontId="4" fillId="6" borderId="45" xfId="0" applyFont="true" applyBorder="true" applyAlignment="false" applyProtection="false">
      <alignment horizontal="general" vertical="bottom" textRotation="0" wrapText="false" indent="0" shrinkToFit="false"/>
      <protection locked="true" hidden="false"/>
    </xf>
    <xf numFmtId="176" fontId="4" fillId="6" borderId="17" xfId="0" applyFont="true" applyBorder="true" applyAlignment="false" applyProtection="false">
      <alignment horizontal="general" vertical="bottom" textRotation="0" wrapText="false" indent="0" shrinkToFit="false"/>
      <protection locked="true" hidden="false"/>
    </xf>
    <xf numFmtId="176" fontId="4" fillId="6" borderId="46" xfId="0" applyFont="true" applyBorder="true" applyAlignment="false" applyProtection="false">
      <alignment horizontal="general" vertical="bottom" textRotation="0" wrapText="false" indent="0" shrinkToFit="false"/>
      <protection locked="true" hidden="false"/>
    </xf>
    <xf numFmtId="164" fontId="4" fillId="6" borderId="45" xfId="0" applyFont="true" applyBorder="true" applyAlignment="false" applyProtection="false">
      <alignment horizontal="general" vertical="bottom" textRotation="0" wrapText="false" indent="0" shrinkToFit="false"/>
      <protection locked="true" hidden="false"/>
    </xf>
    <xf numFmtId="164" fontId="4" fillId="6" borderId="17" xfId="0" applyFont="true" applyBorder="true" applyAlignment="false" applyProtection="false">
      <alignment horizontal="general" vertical="bottom" textRotation="0" wrapText="false" indent="0" shrinkToFit="false"/>
      <protection locked="true" hidden="false"/>
    </xf>
    <xf numFmtId="164" fontId="4" fillId="6" borderId="46" xfId="0" applyFont="true" applyBorder="true" applyAlignment="false" applyProtection="false">
      <alignment horizontal="general" vertical="bottom" textRotation="0" wrapText="false" indent="0" shrinkToFit="false"/>
      <protection locked="true" hidden="false"/>
    </xf>
    <xf numFmtId="176" fontId="25" fillId="6" borderId="43" xfId="0" applyFont="true" applyBorder="true" applyAlignment="false" applyProtection="false">
      <alignment horizontal="general" vertical="bottom" textRotation="0" wrapText="false" indent="0" shrinkToFit="false"/>
      <protection locked="true" hidden="false"/>
    </xf>
    <xf numFmtId="176" fontId="25" fillId="6" borderId="11" xfId="0" applyFont="true" applyBorder="true" applyAlignment="false" applyProtection="false">
      <alignment horizontal="general" vertical="bottom" textRotation="0" wrapText="false" indent="0" shrinkToFit="false"/>
      <protection locked="true" hidden="false"/>
    </xf>
    <xf numFmtId="176" fontId="25" fillId="6" borderId="44" xfId="0" applyFont="true" applyBorder="true" applyAlignment="false" applyProtection="false">
      <alignment horizontal="general" vertical="bottom" textRotation="0" wrapText="false" indent="0" shrinkToFit="false"/>
      <protection locked="true" hidden="false"/>
    </xf>
    <xf numFmtId="176" fontId="25" fillId="3" borderId="0" xfId="0" applyFont="true" applyBorder="false" applyAlignment="false" applyProtection="false">
      <alignment horizontal="general" vertical="bottom"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5" fillId="0" borderId="47" xfId="0" applyFont="true" applyBorder="true" applyAlignment="false" applyProtection="false">
      <alignment horizontal="general" vertical="bottom" textRotation="0" wrapText="false" indent="0" shrinkToFit="false"/>
      <protection locked="true" hidden="false"/>
    </xf>
    <xf numFmtId="176" fontId="25" fillId="6" borderId="45" xfId="0" applyFont="true" applyBorder="true" applyAlignment="false" applyProtection="false">
      <alignment horizontal="general" vertical="bottom" textRotation="0" wrapText="false" indent="0" shrinkToFit="false"/>
      <protection locked="true" hidden="false"/>
    </xf>
    <xf numFmtId="176" fontId="25" fillId="6" borderId="17" xfId="0" applyFont="true" applyBorder="true" applyAlignment="false" applyProtection="false">
      <alignment horizontal="general" vertical="bottom" textRotation="0" wrapText="false" indent="0" shrinkToFit="false"/>
      <protection locked="true" hidden="false"/>
    </xf>
    <xf numFmtId="176" fontId="25" fillId="6" borderId="46" xfId="0" applyFont="true" applyBorder="true" applyAlignment="false" applyProtection="false">
      <alignment horizontal="general" vertical="bottom" textRotation="0" wrapText="false" indent="0" shrinkToFit="false"/>
      <protection locked="true" hidden="false"/>
    </xf>
    <xf numFmtId="164" fontId="4" fillId="6" borderId="41" xfId="0" applyFont="true" applyBorder="true" applyAlignment="false" applyProtection="false">
      <alignment horizontal="general" vertical="bottom" textRotation="0" wrapText="false" indent="0" shrinkToFit="false"/>
      <protection locked="true" hidden="false"/>
    </xf>
    <xf numFmtId="164" fontId="4" fillId="6" borderId="6" xfId="0" applyFont="true" applyBorder="true" applyAlignment="false" applyProtection="false">
      <alignment horizontal="general" vertical="bottom" textRotation="0" wrapText="false" indent="0" shrinkToFit="false"/>
      <protection locked="true" hidden="false"/>
    </xf>
    <xf numFmtId="164" fontId="4" fillId="6" borderId="42" xfId="0" applyFont="true" applyBorder="true" applyAlignment="false" applyProtection="false">
      <alignment horizontal="general" vertical="bottom" textRotation="0" wrapText="false" indent="0" shrinkToFit="false"/>
      <protection locked="true" hidden="false"/>
    </xf>
    <xf numFmtId="177" fontId="25" fillId="0" borderId="26" xfId="0" applyFont="true" applyBorder="true" applyAlignment="false" applyProtection="false">
      <alignment horizontal="general" vertical="bottom" textRotation="0" wrapText="false" indent="0" shrinkToFit="false"/>
      <protection locked="true" hidden="false"/>
    </xf>
    <xf numFmtId="177" fontId="25" fillId="6" borderId="43" xfId="0" applyFont="true" applyBorder="true" applyAlignment="true" applyProtection="false">
      <alignment horizontal="right" vertical="bottom" textRotation="0" wrapText="false" indent="0" shrinkToFit="false"/>
      <protection locked="true" hidden="false"/>
    </xf>
    <xf numFmtId="177" fontId="25" fillId="6" borderId="11" xfId="0" applyFont="true" applyBorder="true" applyAlignment="true" applyProtection="false">
      <alignment horizontal="right" vertical="bottom" textRotation="0" wrapText="false" indent="0" shrinkToFit="false"/>
      <protection locked="true" hidden="false"/>
    </xf>
    <xf numFmtId="177" fontId="25" fillId="6" borderId="44" xfId="0" applyFont="true" applyBorder="true" applyAlignment="true" applyProtection="false">
      <alignment horizontal="right" vertical="bottom" textRotation="0" wrapText="false" indent="0" shrinkToFit="false"/>
      <protection locked="true" hidden="false"/>
    </xf>
    <xf numFmtId="177" fontId="25" fillId="3" borderId="0" xfId="0" applyFont="true" applyBorder="false" applyAlignment="false" applyProtection="false">
      <alignment horizontal="general" vertical="bottom" textRotation="0" wrapText="false" indent="0" shrinkToFit="false"/>
      <protection locked="true" hidden="false"/>
    </xf>
    <xf numFmtId="177" fontId="25" fillId="6" borderId="0" xfId="0" applyFont="true" applyBorder="false" applyAlignment="false" applyProtection="false">
      <alignment horizontal="general" vertical="bottom" textRotation="0" wrapText="false" indent="0" shrinkToFit="false"/>
      <protection locked="true" hidden="false"/>
    </xf>
    <xf numFmtId="164" fontId="25" fillId="0" borderId="26" xfId="0" applyFont="true" applyBorder="true" applyAlignment="true" applyProtection="false">
      <alignment horizontal="left" vertical="bottom" textRotation="0" wrapText="false" indent="0" shrinkToFit="false"/>
      <protection locked="true" hidden="false"/>
    </xf>
    <xf numFmtId="164" fontId="25" fillId="6" borderId="11" xfId="0" applyFont="true" applyBorder="true" applyAlignment="true" applyProtection="false">
      <alignment horizontal="right" vertical="bottom" textRotation="0" wrapText="false" indent="0" shrinkToFit="false"/>
      <protection locked="true" hidden="false"/>
    </xf>
    <xf numFmtId="164" fontId="25" fillId="3" borderId="0" xfId="0" applyFont="true" applyBorder="false" applyAlignment="true" applyProtection="false">
      <alignment horizontal="right" vertical="bottom" textRotation="0" wrapText="false" indent="0" shrinkToFit="false"/>
      <protection locked="true" hidden="false"/>
    </xf>
    <xf numFmtId="164" fontId="25" fillId="6" borderId="0" xfId="0" applyFont="true" applyBorder="false" applyAlignment="true" applyProtection="false">
      <alignment horizontal="right" vertical="bottom" textRotation="0" wrapText="false" indent="0" shrinkToFit="false"/>
      <protection locked="true" hidden="false"/>
    </xf>
    <xf numFmtId="164" fontId="4" fillId="0" borderId="26" xfId="0" applyFont="true" applyBorder="true" applyAlignment="true" applyProtection="false">
      <alignment horizontal="left" vertical="bottom" textRotation="0" wrapText="false" indent="0" shrinkToFit="false"/>
      <protection locked="true" hidden="false"/>
    </xf>
    <xf numFmtId="164" fontId="45" fillId="3" borderId="0" xfId="0" applyFont="true" applyBorder="true" applyAlignment="true" applyProtection="false">
      <alignment horizontal="right" vertical="bottom" textRotation="0" wrapText="false" indent="0" shrinkToFit="false"/>
      <protection locked="true" hidden="false"/>
    </xf>
    <xf numFmtId="164" fontId="4" fillId="6" borderId="0" xfId="0" applyFont="true" applyBorder="true" applyAlignment="true" applyProtection="false">
      <alignment horizontal="right" vertical="bottom" textRotation="0" wrapText="false" indent="0" shrinkToFit="false"/>
      <protection locked="true" hidden="false"/>
    </xf>
    <xf numFmtId="164" fontId="45" fillId="6" borderId="0" xfId="0" applyFont="true" applyBorder="true" applyAlignment="true" applyProtection="false">
      <alignment horizontal="right" vertical="bottom" textRotation="0" wrapText="false" indent="0" shrinkToFit="false"/>
      <protection locked="true" hidden="false"/>
    </xf>
    <xf numFmtId="176" fontId="25" fillId="6" borderId="41" xfId="0" applyFont="true" applyBorder="true" applyAlignment="false" applyProtection="false">
      <alignment horizontal="general" vertical="bottom" textRotation="0" wrapText="false" indent="0" shrinkToFit="false"/>
      <protection locked="true" hidden="false"/>
    </xf>
    <xf numFmtId="176" fontId="25" fillId="6" borderId="6" xfId="0" applyFont="true" applyBorder="true" applyAlignment="false" applyProtection="false">
      <alignment horizontal="general" vertical="bottom" textRotation="0" wrapText="false" indent="0" shrinkToFit="false"/>
      <protection locked="true" hidden="false"/>
    </xf>
    <xf numFmtId="176" fontId="25" fillId="6" borderId="42" xfId="0" applyFont="true" applyBorder="true" applyAlignment="false" applyProtection="false">
      <alignment horizontal="general" vertical="bottom" textRotation="0" wrapText="false" indent="0" shrinkToFit="false"/>
      <protection locked="true" hidden="false"/>
    </xf>
    <xf numFmtId="164" fontId="4" fillId="0" borderId="47" xfId="0" applyFont="true" applyBorder="true" applyAlignment="false" applyProtection="false">
      <alignment horizontal="general" vertical="bottom" textRotation="0" wrapText="false" indent="0" shrinkToFit="false"/>
      <protection locked="true" hidden="false"/>
    </xf>
    <xf numFmtId="164" fontId="4" fillId="6" borderId="50" xfId="0" applyFont="true" applyBorder="true" applyAlignment="false" applyProtection="false">
      <alignment horizontal="general" vertical="bottom" textRotation="0" wrapText="false" indent="0" shrinkToFit="false"/>
      <protection locked="true" hidden="false"/>
    </xf>
    <xf numFmtId="164" fontId="4" fillId="6" borderId="51" xfId="0" applyFont="true" applyBorder="true" applyAlignment="false" applyProtection="false">
      <alignment horizontal="general" vertical="bottom" textRotation="0" wrapText="false" indent="0" shrinkToFit="false"/>
      <protection locked="true" hidden="false"/>
    </xf>
    <xf numFmtId="164" fontId="4" fillId="6" borderId="52" xfId="0" applyFont="true" applyBorder="true" applyAlignment="false" applyProtection="false">
      <alignment horizontal="general" vertical="bottom" textRotation="0" wrapText="false" indent="0" shrinkToFit="false"/>
      <protection locked="true" hidden="false"/>
    </xf>
    <xf numFmtId="164" fontId="5" fillId="2" borderId="48" xfId="0" applyFont="true" applyBorder="true" applyAlignment="false" applyProtection="false">
      <alignment horizontal="general" vertical="bottom" textRotation="0" wrapText="false" indent="0" shrinkToFit="false"/>
      <protection locked="true" hidden="false"/>
    </xf>
    <xf numFmtId="164" fontId="5" fillId="2" borderId="22" xfId="0" applyFont="true" applyBorder="true" applyAlignment="true" applyProtection="false">
      <alignment horizontal="right" vertical="bottom" textRotation="0" wrapText="false" indent="0" shrinkToFit="false"/>
      <protection locked="true" hidden="false"/>
    </xf>
    <xf numFmtId="176" fontId="25" fillId="3" borderId="0" xfId="0" applyFont="true" applyBorder="false" applyAlignment="true" applyProtection="false">
      <alignment horizontal="right"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4" fillId="3" borderId="0" xfId="0" applyFont="true" applyBorder="false" applyAlignment="true" applyProtection="false">
      <alignment horizontal="right"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true" applyAlignment="true" applyProtection="true">
      <alignment horizontal="right" vertical="bottom" textRotation="0" wrapText="false" indent="0" shrinkToFit="false"/>
      <protection locked="true" hidden="false"/>
    </xf>
    <xf numFmtId="164" fontId="43" fillId="0" borderId="0" xfId="0" applyFont="true" applyBorder="true" applyAlignment="true" applyProtection="true">
      <alignment horizontal="left" vertical="bottom" textRotation="0" wrapText="false" indent="0" shrinkToFit="false"/>
      <protection locked="true" hidden="false"/>
    </xf>
    <xf numFmtId="169" fontId="9" fillId="0" borderId="0" xfId="0" applyFont="true" applyBorder="true" applyAlignment="true" applyProtection="true">
      <alignment horizontal="right" vertical="bottom" textRotation="0" wrapText="false" indent="0" shrinkToFit="false"/>
      <protection locked="true" hidden="false"/>
    </xf>
    <xf numFmtId="164" fontId="9" fillId="0" borderId="0" xfId="0" applyFont="true" applyBorder="true" applyAlignment="true" applyProtection="true">
      <alignment horizontal="right" vertical="bottom" textRotation="0" wrapText="false" indent="0" shrinkToFit="false"/>
      <protection locked="true" hidden="false"/>
    </xf>
    <xf numFmtId="164" fontId="43" fillId="0" borderId="2" xfId="0" applyFont="true" applyBorder="true" applyAlignment="true" applyProtection="true">
      <alignment horizontal="left" vertical="bottom" textRotation="0" wrapText="false" indent="0" shrinkToFit="false"/>
      <protection locked="true" hidden="false"/>
    </xf>
    <xf numFmtId="173" fontId="34" fillId="0" borderId="0" xfId="0" applyFont="true" applyBorder="true" applyAlignment="true" applyProtection="true">
      <alignment horizontal="right" vertical="bottom" textRotation="0" wrapText="false" indent="0" shrinkToFit="false"/>
      <protection locked="true" hidden="false"/>
    </xf>
    <xf numFmtId="164" fontId="34" fillId="0" borderId="2" xfId="0" applyFont="true" applyBorder="true" applyAlignment="true" applyProtection="true">
      <alignment horizontal="right" vertical="bottom" textRotation="0" wrapText="false" indent="0" shrinkToFit="false"/>
      <protection locked="true" hidden="false"/>
    </xf>
    <xf numFmtId="164" fontId="84" fillId="0" borderId="0" xfId="0" applyFont="true" applyBorder="true" applyAlignment="false" applyProtection="true">
      <alignment horizontal="general" vertical="bottom" textRotation="0" wrapText="false" indent="0" shrinkToFit="false"/>
      <protection locked="true" hidden="false"/>
    </xf>
    <xf numFmtId="164" fontId="44" fillId="0" borderId="6" xfId="0" applyFont="true" applyBorder="true" applyAlignment="true" applyProtection="true">
      <alignment horizontal="right" vertical="bottom" textRotation="0" wrapText="false" indent="0" shrinkToFit="false"/>
      <protection locked="true" hidden="false"/>
    </xf>
    <xf numFmtId="164" fontId="24" fillId="0" borderId="0" xfId="0" applyFont="true" applyBorder="true" applyAlignment="false" applyProtection="true">
      <alignment horizontal="general" vertical="bottom" textRotation="0" wrapText="false" indent="0" shrinkToFit="false"/>
      <protection locked="true" hidden="false"/>
    </xf>
    <xf numFmtId="164" fontId="44" fillId="0" borderId="0" xfId="0" applyFont="true" applyBorder="true" applyAlignment="false" applyProtection="true">
      <alignment horizontal="general" vertical="bottom" textRotation="0" wrapText="false" indent="0" shrinkToFit="false"/>
      <protection locked="true" hidden="false"/>
    </xf>
    <xf numFmtId="164" fontId="44" fillId="0" borderId="0" xfId="0" applyFont="true" applyBorder="true" applyAlignment="false" applyProtection="true">
      <alignment horizontal="general" vertical="bottom" textRotation="0" wrapText="false" indent="0" shrinkToFit="false"/>
      <protection locked="true" hidden="false"/>
    </xf>
    <xf numFmtId="164" fontId="9" fillId="6" borderId="3" xfId="0" applyFont="true" applyBorder="true" applyAlignment="false" applyProtection="true">
      <alignment horizontal="general" vertical="bottom" textRotation="0" wrapText="false" indent="0" shrinkToFit="false"/>
      <protection locked="true" hidden="false"/>
    </xf>
    <xf numFmtId="164" fontId="9" fillId="6" borderId="4" xfId="0" applyFont="true" applyBorder="true" applyAlignment="false" applyProtection="true">
      <alignment horizontal="general" vertical="bottom" textRotation="0" wrapText="false" indent="0" shrinkToFit="false"/>
      <protection locked="true" hidden="false"/>
    </xf>
    <xf numFmtId="164" fontId="9" fillId="6" borderId="5" xfId="0" applyFont="true" applyBorder="true" applyAlignment="true" applyProtection="true">
      <alignment horizontal="right" vertical="bottom" textRotation="0" wrapText="false" indent="0" shrinkToFit="false"/>
      <protection locked="true" hidden="false"/>
    </xf>
    <xf numFmtId="164" fontId="9" fillId="6" borderId="4" xfId="0" applyFont="true" applyBorder="true" applyAlignment="true" applyProtection="true">
      <alignment horizontal="right" vertical="bottom" textRotation="0" wrapText="false" indent="0" shrinkToFit="false"/>
      <protection locked="true" hidden="false"/>
    </xf>
    <xf numFmtId="164" fontId="24" fillId="6" borderId="1" xfId="0" applyFont="true" applyBorder="true" applyAlignment="false" applyProtection="true">
      <alignment horizontal="general" vertical="bottom" textRotation="0" wrapText="false" indent="0" shrinkToFit="false"/>
      <protection locked="true" hidden="false"/>
    </xf>
    <xf numFmtId="164" fontId="9" fillId="6" borderId="0" xfId="0" applyFont="true" applyBorder="true" applyAlignment="false" applyProtection="true">
      <alignment horizontal="general" vertical="bottom" textRotation="0" wrapText="false" indent="0" shrinkToFit="false"/>
      <protection locked="true" hidden="false"/>
    </xf>
    <xf numFmtId="176" fontId="9" fillId="6" borderId="2" xfId="0" applyFont="true" applyBorder="true" applyAlignment="true" applyProtection="true">
      <alignment horizontal="right" vertical="bottom" textRotation="0" wrapText="false" indent="0" shrinkToFit="false"/>
      <protection locked="true" hidden="false"/>
    </xf>
    <xf numFmtId="176" fontId="9" fillId="6" borderId="0" xfId="0" applyFont="true" applyBorder="true" applyAlignment="true" applyProtection="true">
      <alignment horizontal="right" vertical="bottom" textRotation="0" wrapText="false" indent="0" shrinkToFit="false"/>
      <protection locked="true" hidden="false"/>
    </xf>
    <xf numFmtId="164" fontId="24" fillId="6" borderId="9" xfId="0" applyFont="true" applyBorder="true" applyAlignment="false" applyProtection="true">
      <alignment horizontal="general" vertical="bottom" textRotation="0" wrapText="false" indent="0" shrinkToFit="false"/>
      <protection locked="true" hidden="false"/>
    </xf>
    <xf numFmtId="164" fontId="9" fillId="6" borderId="8" xfId="0" applyFont="true" applyBorder="true" applyAlignment="false" applyProtection="true">
      <alignment horizontal="general" vertical="bottom" textRotation="0" wrapText="false" indent="0" shrinkToFit="false"/>
      <protection locked="true" hidden="false"/>
    </xf>
    <xf numFmtId="176" fontId="9" fillId="6" borderId="10" xfId="0" applyFont="true" applyBorder="true" applyAlignment="true" applyProtection="true">
      <alignment horizontal="right" vertical="bottom" textRotation="0" wrapText="false" indent="0" shrinkToFit="false"/>
      <protection locked="true" hidden="false"/>
    </xf>
    <xf numFmtId="176" fontId="9" fillId="6" borderId="8" xfId="0" applyFont="true" applyBorder="true" applyAlignment="true" applyProtection="true">
      <alignment horizontal="right" vertical="bottom" textRotation="0" wrapText="false" indent="0" shrinkToFit="false"/>
      <protection locked="true" hidden="false"/>
    </xf>
    <xf numFmtId="164" fontId="24" fillId="0" borderId="1" xfId="0" applyFont="true" applyBorder="true" applyAlignment="false" applyProtection="true">
      <alignment horizontal="general" vertical="bottom" textRotation="0" wrapText="false" indent="0" shrinkToFit="false"/>
      <protection locked="true" hidden="false"/>
    </xf>
    <xf numFmtId="176" fontId="9" fillId="0" borderId="2" xfId="0" applyFont="true" applyBorder="true" applyAlignment="true" applyProtection="true">
      <alignment horizontal="right" vertical="bottom" textRotation="0" wrapText="false" indent="0" shrinkToFit="false"/>
      <protection locked="true" hidden="false"/>
    </xf>
    <xf numFmtId="176" fontId="9" fillId="0" borderId="0" xfId="0" applyFont="true" applyBorder="true" applyAlignment="true" applyProtection="true">
      <alignment horizontal="right" vertical="bottom" textRotation="0" wrapText="false" indent="0" shrinkToFit="false"/>
      <protection locked="true" hidden="false"/>
    </xf>
    <xf numFmtId="164" fontId="9" fillId="0" borderId="2" xfId="0" applyFont="true" applyBorder="true" applyAlignment="true" applyProtection="true">
      <alignment horizontal="right" vertical="bottom" textRotation="0" wrapText="false" indent="0" shrinkToFit="false"/>
      <protection locked="true" hidden="false"/>
    </xf>
    <xf numFmtId="164" fontId="9" fillId="0" borderId="0" xfId="0" applyFont="true" applyBorder="true" applyAlignment="true" applyProtection="true">
      <alignment horizontal="right" vertical="bottom" textRotation="0" wrapText="false" indent="0" shrinkToFit="false"/>
      <protection locked="true" hidden="false"/>
    </xf>
    <xf numFmtId="164" fontId="76" fillId="3" borderId="0" xfId="0" applyFont="true" applyBorder="false" applyAlignment="false" applyProtection="true">
      <alignment horizontal="general" vertical="bottom" textRotation="0" wrapText="false" indent="0" shrinkToFit="false"/>
      <protection locked="true" hidden="false"/>
    </xf>
    <xf numFmtId="164" fontId="76" fillId="0" borderId="0" xfId="0" applyFont="true" applyBorder="false" applyAlignment="false" applyProtection="true">
      <alignment horizontal="general" vertical="bottom" textRotation="0" wrapText="false" indent="0" shrinkToFit="false"/>
      <protection locked="true" hidden="false"/>
    </xf>
    <xf numFmtId="164" fontId="9" fillId="6" borderId="9" xfId="0" applyFont="true" applyBorder="true" applyAlignment="false" applyProtection="true">
      <alignment horizontal="general" vertical="bottom" textRotation="0" wrapText="false" indent="0" shrinkToFit="false"/>
      <protection locked="true" hidden="false"/>
    </xf>
    <xf numFmtId="164" fontId="9" fillId="6" borderId="10" xfId="0" applyFont="true" applyBorder="true" applyAlignment="true" applyProtection="true">
      <alignment horizontal="right" vertical="bottom" textRotation="0" wrapText="false" indent="0" shrinkToFit="false"/>
      <protection locked="true" hidden="false"/>
    </xf>
    <xf numFmtId="164" fontId="9" fillId="6" borderId="8" xfId="0" applyFont="true" applyBorder="true" applyAlignment="true" applyProtection="true">
      <alignment horizontal="right" vertical="bottom" textRotation="0" wrapText="false" indent="0" shrinkToFit="false"/>
      <protection locked="true" hidden="false"/>
    </xf>
    <xf numFmtId="176" fontId="9" fillId="6" borderId="1" xfId="0" applyFont="true" applyBorder="true" applyAlignment="true" applyProtection="true">
      <alignment horizontal="right" vertical="bottom" textRotation="0" wrapText="false" indent="0" shrinkToFit="false"/>
      <protection locked="true" hidden="false"/>
    </xf>
    <xf numFmtId="164" fontId="9" fillId="0" borderId="4" xfId="0" applyFont="true" applyBorder="true" applyAlignment="false" applyProtection="true">
      <alignment horizontal="general" vertical="bottom" textRotation="0" wrapText="false" indent="0" shrinkToFit="false"/>
      <protection locked="true" hidden="false"/>
    </xf>
    <xf numFmtId="176" fontId="9" fillId="0" borderId="5" xfId="0" applyFont="true" applyBorder="true" applyAlignment="true" applyProtection="true">
      <alignment horizontal="right" vertical="bottom" textRotation="0" wrapText="false" indent="0" shrinkToFit="false"/>
      <protection locked="false" hidden="false"/>
    </xf>
    <xf numFmtId="164" fontId="9" fillId="0" borderId="4" xfId="0" applyFont="true" applyBorder="true" applyAlignment="false" applyProtection="true">
      <alignment horizontal="general" vertical="bottom" textRotation="0" wrapText="false" indent="0" shrinkToFit="false"/>
      <protection locked="false" hidden="false"/>
    </xf>
    <xf numFmtId="176" fontId="9" fillId="0" borderId="4" xfId="0" applyFont="true" applyBorder="true" applyAlignment="true" applyProtection="true">
      <alignment horizontal="right" vertical="bottom" textRotation="0" wrapText="false" indent="0" shrinkToFit="false"/>
      <protection locked="false" hidden="false"/>
    </xf>
    <xf numFmtId="176" fontId="9" fillId="0" borderId="4" xfId="0" applyFont="true" applyBorder="true" applyAlignment="true" applyProtection="true">
      <alignment horizontal="right" vertical="bottom" textRotation="0" wrapText="false" indent="0" shrinkToFit="false"/>
      <protection locked="false" hidden="false"/>
    </xf>
    <xf numFmtId="164" fontId="9" fillId="0" borderId="4" xfId="0" applyFont="true" applyBorder="true" applyAlignment="false" applyProtection="true">
      <alignment horizontal="general" vertical="bottom" textRotation="0" wrapText="false" indent="0" shrinkToFit="false"/>
      <protection locked="false" hidden="false"/>
    </xf>
    <xf numFmtId="176" fontId="9" fillId="0" borderId="5" xfId="0" applyFont="true" applyBorder="true" applyAlignment="true" applyProtection="true">
      <alignment horizontal="right" vertical="bottom" textRotation="0" wrapText="false" indent="0" shrinkToFit="false"/>
      <protection locked="false" hidden="false"/>
    </xf>
    <xf numFmtId="164" fontId="76" fillId="3" borderId="0" xfId="0" applyFont="true" applyBorder="true" applyAlignment="false" applyProtection="true">
      <alignment horizontal="general" vertical="bottom" textRotation="0" wrapText="false" indent="0" shrinkToFit="false"/>
      <protection locked="true" hidden="false"/>
    </xf>
    <xf numFmtId="164" fontId="76" fillId="0" borderId="0" xfId="0" applyFont="true" applyBorder="true" applyAlignment="false" applyProtection="true">
      <alignment horizontal="general" vertical="bottom" textRotation="0" wrapText="false" indent="0" shrinkToFit="false"/>
      <protection locked="true" hidden="false"/>
    </xf>
    <xf numFmtId="176" fontId="9" fillId="0" borderId="2" xfId="0" applyFont="true" applyBorder="true" applyAlignment="true" applyProtection="true">
      <alignment horizontal="right" vertical="bottom" textRotation="0" wrapText="false" indent="0" shrinkToFit="false"/>
      <protection locked="false" hidden="false"/>
    </xf>
    <xf numFmtId="164" fontId="9" fillId="0" borderId="1" xfId="0" applyFont="true" applyBorder="true" applyAlignment="false" applyProtection="true">
      <alignment horizontal="general" vertical="bottom" textRotation="0" wrapText="false" indent="0" shrinkToFit="false"/>
      <protection locked="false" hidden="false"/>
    </xf>
    <xf numFmtId="176" fontId="9" fillId="0" borderId="0" xfId="0" applyFont="true" applyBorder="true" applyAlignment="true" applyProtection="true">
      <alignment horizontal="right" vertical="bottom" textRotation="0" wrapText="false" indent="0" shrinkToFit="false"/>
      <protection locked="false" hidden="false"/>
    </xf>
    <xf numFmtId="164" fontId="9" fillId="0" borderId="0" xfId="0" applyFont="true" applyBorder="true" applyAlignment="false" applyProtection="true">
      <alignment horizontal="general" vertical="bottom" textRotation="0" wrapText="false" indent="0" shrinkToFit="false"/>
      <protection locked="false" hidden="false"/>
    </xf>
    <xf numFmtId="176" fontId="9" fillId="0" borderId="0" xfId="0" applyFont="true" applyBorder="true" applyAlignment="true" applyProtection="true">
      <alignment horizontal="right" vertical="bottom" textRotation="0" wrapText="false" indent="0" shrinkToFit="false"/>
      <protection locked="false" hidden="false"/>
    </xf>
    <xf numFmtId="164" fontId="9" fillId="0" borderId="0" xfId="0" applyFont="true" applyBorder="true" applyAlignment="false" applyProtection="true">
      <alignment horizontal="general" vertical="bottom" textRotation="0" wrapText="false" indent="0" shrinkToFit="false"/>
      <protection locked="false" hidden="false"/>
    </xf>
    <xf numFmtId="176" fontId="9" fillId="0" borderId="2" xfId="0" applyFont="true" applyBorder="true" applyAlignment="true" applyProtection="true">
      <alignment horizontal="right" vertical="bottom" textRotation="0" wrapText="false" indent="0" shrinkToFit="false"/>
      <protection locked="false" hidden="false"/>
    </xf>
    <xf numFmtId="164" fontId="24" fillId="6" borderId="3" xfId="0" applyFont="true" applyBorder="true" applyAlignment="false" applyProtection="true">
      <alignment horizontal="general" vertical="bottom" textRotation="0" wrapText="false" indent="0" shrinkToFit="false"/>
      <protection locked="true" hidden="false"/>
    </xf>
    <xf numFmtId="176" fontId="9" fillId="6" borderId="5" xfId="0" applyFont="true" applyBorder="true" applyAlignment="true" applyProtection="true">
      <alignment horizontal="right" vertical="bottom" textRotation="0" wrapText="false" indent="0" shrinkToFit="false"/>
      <protection locked="false" hidden="false"/>
    </xf>
    <xf numFmtId="176" fontId="9" fillId="6" borderId="4" xfId="0" applyFont="true" applyBorder="true" applyAlignment="true" applyProtection="true">
      <alignment horizontal="right" vertical="bottom" textRotation="0" wrapText="false" indent="0" shrinkToFit="false"/>
      <protection locked="false" hidden="false"/>
    </xf>
    <xf numFmtId="164" fontId="76" fillId="0" borderId="0" xfId="0" applyFont="true" applyBorder="false" applyAlignment="false" applyProtection="true">
      <alignment horizontal="general" vertical="bottom" textRotation="0" wrapText="false" indent="0" shrinkToFit="false"/>
      <protection locked="true" hidden="false"/>
    </xf>
    <xf numFmtId="171" fontId="9" fillId="0" borderId="0" xfId="0" applyFont="true" applyBorder="true" applyAlignment="false" applyProtection="true">
      <alignment horizontal="general" vertical="bottom" textRotation="0" wrapText="false" indent="0" shrinkToFit="false"/>
      <protection locked="true" hidden="false"/>
    </xf>
    <xf numFmtId="176" fontId="9" fillId="4" borderId="2" xfId="0" applyFont="true" applyBorder="true" applyAlignment="true" applyProtection="true">
      <alignment horizontal="right" vertical="bottom" textRotation="0" wrapText="false" indent="0" shrinkToFit="false"/>
      <protection locked="false" hidden="false"/>
    </xf>
    <xf numFmtId="176" fontId="9" fillId="0" borderId="0" xfId="0" applyFont="true" applyBorder="true" applyAlignment="false" applyProtection="true">
      <alignment horizontal="general" vertical="bottom" textRotation="0" wrapText="false" indent="0" shrinkToFit="false"/>
      <protection locked="true" hidden="false"/>
    </xf>
    <xf numFmtId="176" fontId="9" fillId="4" borderId="0" xfId="0" applyFont="true" applyBorder="true" applyAlignment="true" applyProtection="true">
      <alignment horizontal="right" vertical="bottom" textRotation="0" wrapText="false" indent="0" shrinkToFit="false"/>
      <protection locked="false" hidden="false"/>
    </xf>
    <xf numFmtId="164" fontId="9" fillId="4" borderId="2" xfId="0" applyFont="true" applyBorder="true" applyAlignment="true" applyProtection="true">
      <alignment horizontal="right" vertical="bottom" textRotation="0" wrapText="false" indent="0" shrinkToFit="false"/>
      <protection locked="false" hidden="false"/>
    </xf>
    <xf numFmtId="164" fontId="9" fillId="4" borderId="0" xfId="0" applyFont="true" applyBorder="true" applyAlignment="true" applyProtection="true">
      <alignment horizontal="right" vertical="bottom" textRotation="0" wrapText="false" indent="0" shrinkToFit="false"/>
      <protection locked="false" hidden="false"/>
    </xf>
    <xf numFmtId="164" fontId="9" fillId="0" borderId="2" xfId="0" applyFont="true" applyBorder="true" applyAlignment="true" applyProtection="true">
      <alignment horizontal="right" vertical="bottom" textRotation="0" wrapText="false" indent="0" shrinkToFit="false"/>
      <protection locked="true" hidden="false"/>
    </xf>
    <xf numFmtId="177" fontId="9" fillId="4" borderId="0" xfId="0" applyFont="true" applyBorder="true" applyAlignment="true" applyProtection="true">
      <alignment horizontal="center" vertical="bottom" textRotation="0" wrapText="false" indent="0" shrinkToFit="false"/>
      <protection locked="false" hidden="false"/>
    </xf>
    <xf numFmtId="176" fontId="24" fillId="6" borderId="2" xfId="0" applyFont="true" applyBorder="true" applyAlignment="true" applyProtection="true">
      <alignment horizontal="right" vertical="bottom" textRotation="0" wrapText="false" indent="0" shrinkToFit="false"/>
      <protection locked="true" hidden="false"/>
    </xf>
    <xf numFmtId="164" fontId="24" fillId="6" borderId="0" xfId="0" applyFont="true" applyBorder="true" applyAlignment="false" applyProtection="true">
      <alignment horizontal="general" vertical="bottom" textRotation="0" wrapText="false" indent="0" shrinkToFit="false"/>
      <protection locked="true" hidden="false"/>
    </xf>
    <xf numFmtId="176" fontId="24" fillId="6" borderId="0" xfId="0" applyFont="true" applyBorder="true" applyAlignment="true" applyProtection="true">
      <alignment horizontal="right" vertical="bottom" textRotation="0" wrapText="false" indent="0" shrinkToFit="false"/>
      <protection locked="true" hidden="false"/>
    </xf>
    <xf numFmtId="164" fontId="9" fillId="0" borderId="0" xfId="0" applyFont="true" applyBorder="false" applyAlignment="fals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right" vertical="bottom" textRotation="0" wrapText="false" indent="0" shrinkToFit="false"/>
      <protection locked="true" hidden="false"/>
    </xf>
    <xf numFmtId="164" fontId="24" fillId="5" borderId="13" xfId="0" applyFont="true" applyBorder="true" applyAlignment="false" applyProtection="true">
      <alignment horizontal="general" vertical="bottom" textRotation="0" wrapText="false" indent="0" shrinkToFit="false"/>
      <protection locked="true" hidden="false"/>
    </xf>
    <xf numFmtId="164" fontId="84" fillId="5" borderId="14" xfId="0" applyFont="true" applyBorder="true" applyAlignment="false" applyProtection="true">
      <alignment horizontal="general" vertical="bottom" textRotation="0" wrapText="false" indent="0" shrinkToFit="false"/>
      <protection locked="true" hidden="false"/>
    </xf>
    <xf numFmtId="164" fontId="9" fillId="5" borderId="14" xfId="0" applyFont="true" applyBorder="true" applyAlignment="true" applyProtection="true">
      <alignment horizontal="right" vertical="bottom" textRotation="0" wrapText="false" indent="0" shrinkToFit="false"/>
      <protection locked="true" hidden="false"/>
    </xf>
    <xf numFmtId="164" fontId="9" fillId="5" borderId="14" xfId="0" applyFont="true" applyBorder="true" applyAlignment="false" applyProtection="true">
      <alignment horizontal="general" vertical="bottom" textRotation="0" wrapText="false" indent="0" shrinkToFit="false"/>
      <protection locked="true" hidden="false"/>
    </xf>
    <xf numFmtId="173" fontId="84" fillId="5" borderId="14" xfId="0" applyFont="true" applyBorder="true" applyAlignment="true" applyProtection="true">
      <alignment horizontal="right" vertical="bottom" textRotation="0" wrapText="false" indent="0" shrinkToFit="false"/>
      <protection locked="true" hidden="false"/>
    </xf>
    <xf numFmtId="164" fontId="84" fillId="5" borderId="15" xfId="0" applyFont="true" applyBorder="true" applyAlignment="true" applyProtection="true">
      <alignment horizontal="right" vertical="bottom" textRotation="0" wrapText="false" indent="0" shrinkToFit="false"/>
      <protection locked="true" hidden="false"/>
    </xf>
    <xf numFmtId="164" fontId="9" fillId="0" borderId="3" xfId="0" applyFont="true" applyBorder="true" applyAlignment="false" applyProtection="true">
      <alignment horizontal="general" vertical="bottom" textRotation="0" wrapText="false" indent="0" shrinkToFit="false"/>
      <protection locked="true" hidden="false"/>
    </xf>
    <xf numFmtId="164" fontId="9" fillId="0" borderId="5" xfId="0" applyFont="true" applyBorder="true" applyAlignment="true" applyProtection="true">
      <alignment horizontal="right" vertical="bottom" textRotation="0" wrapText="false" indent="0" shrinkToFit="false"/>
      <protection locked="true" hidden="false"/>
    </xf>
    <xf numFmtId="164" fontId="9" fillId="0" borderId="4" xfId="0" applyFont="true" applyBorder="true" applyAlignment="true" applyProtection="true">
      <alignment horizontal="right" vertical="bottom" textRotation="0" wrapText="false" indent="0" shrinkToFit="false"/>
      <protection locked="true" hidden="false"/>
    </xf>
    <xf numFmtId="176" fontId="9" fillId="0" borderId="0" xfId="0" applyFont="true" applyBorder="true" applyAlignment="false" applyProtection="true">
      <alignment horizontal="general" vertical="bottom" textRotation="0" wrapText="false" indent="0" shrinkToFit="false"/>
      <protection locked="true" hidden="false"/>
    </xf>
    <xf numFmtId="176" fontId="9" fillId="4" borderId="10" xfId="0" applyFont="true" applyBorder="true" applyAlignment="true" applyProtection="true">
      <alignment horizontal="right" vertical="bottom" textRotation="0" wrapText="false" indent="0" shrinkToFit="false"/>
      <protection locked="false" hidden="false"/>
    </xf>
    <xf numFmtId="176" fontId="9" fillId="4" borderId="8" xfId="0" applyFont="true" applyBorder="true" applyAlignment="true" applyProtection="true">
      <alignment horizontal="right" vertical="bottom" textRotation="0" wrapText="false" indent="0" shrinkToFit="false"/>
      <protection locked="false" hidden="false"/>
    </xf>
    <xf numFmtId="176" fontId="9" fillId="0" borderId="2" xfId="0" applyFont="true" applyBorder="true" applyAlignment="true" applyProtection="true">
      <alignment horizontal="right" vertical="bottom" textRotation="0" wrapText="false" indent="0" shrinkToFit="false"/>
      <protection locked="true" hidden="false"/>
    </xf>
    <xf numFmtId="176" fontId="9" fillId="0" borderId="0" xfId="0" applyFont="true" applyBorder="true" applyAlignment="true" applyProtection="true">
      <alignment horizontal="right" vertical="bottom" textRotation="0" wrapText="false" indent="0" shrinkToFit="false"/>
      <protection locked="true" hidden="false"/>
    </xf>
    <xf numFmtId="164" fontId="9" fillId="0" borderId="9" xfId="0" applyFont="true" applyBorder="true" applyAlignment="false" applyProtection="true">
      <alignment horizontal="general" vertical="bottom" textRotation="0" wrapText="false" indent="0" shrinkToFit="false"/>
      <protection locked="true" hidden="false"/>
    </xf>
    <xf numFmtId="164" fontId="9" fillId="0" borderId="8" xfId="0" applyFont="true" applyBorder="true" applyAlignment="false" applyProtection="true">
      <alignment horizontal="general" vertical="bottom" textRotation="0" wrapText="false" indent="0" shrinkToFit="false"/>
      <protection locked="true" hidden="false"/>
    </xf>
    <xf numFmtId="176" fontId="9" fillId="0" borderId="10" xfId="0" applyFont="true" applyBorder="true" applyAlignment="true" applyProtection="true">
      <alignment horizontal="right" vertical="bottom" textRotation="0" wrapText="false" indent="0" shrinkToFit="false"/>
      <protection locked="true" hidden="false"/>
    </xf>
    <xf numFmtId="176" fontId="9" fillId="0" borderId="8" xfId="0" applyFont="true" applyBorder="true" applyAlignment="false" applyProtection="true">
      <alignment horizontal="general" vertical="bottom" textRotation="0" wrapText="false" indent="0" shrinkToFit="false"/>
      <protection locked="true" hidden="false"/>
    </xf>
    <xf numFmtId="176" fontId="9" fillId="0" borderId="8" xfId="0" applyFont="true" applyBorder="true" applyAlignment="true" applyProtection="true">
      <alignment horizontal="right" vertical="bottom" textRotation="0" wrapText="false" indent="0" shrinkToFit="false"/>
      <protection locked="true" hidden="false"/>
    </xf>
    <xf numFmtId="173" fontId="4" fillId="0" borderId="0" xfId="0" applyFont="true" applyBorder="true" applyAlignment="true" applyProtection="false">
      <alignment horizontal="right" vertical="bottom" textRotation="0" wrapText="false" indent="0" shrinkToFit="false"/>
      <protection locked="true" hidden="false"/>
    </xf>
    <xf numFmtId="164" fontId="4" fillId="0" borderId="6"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76" fontId="12" fillId="6" borderId="0" xfId="0" applyFont="true" applyBorder="true" applyAlignment="false" applyProtection="false">
      <alignment horizontal="general" vertical="bottom" textRotation="0" wrapText="false" indent="0" shrinkToFit="false"/>
      <protection locked="true" hidden="false"/>
    </xf>
    <xf numFmtId="164" fontId="12" fillId="6"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true" applyProtection="false">
      <alignment horizontal="general" vertical="bottom" textRotation="0" wrapText="false" indent="0" shrinkToFit="false" readingOrder="1"/>
      <protection locked="true" hidden="false"/>
    </xf>
    <xf numFmtId="164" fontId="4" fillId="0" borderId="11" xfId="0" applyFont="true" applyBorder="true" applyAlignment="true" applyProtection="false">
      <alignment horizontal="general" vertical="bottom" textRotation="0" wrapText="false" indent="0" shrinkToFit="true"/>
      <protection locked="true" hidden="false"/>
    </xf>
    <xf numFmtId="176" fontId="4" fillId="6" borderId="0" xfId="0" applyFont="true" applyBorder="true" applyAlignment="true" applyProtection="false">
      <alignment horizontal="right" vertical="bottom" textRotation="0" wrapText="false" indent="0" shrinkToFit="false"/>
      <protection locked="true" hidden="false"/>
    </xf>
    <xf numFmtId="164" fontId="4" fillId="6" borderId="2" xfId="0" applyFont="true" applyBorder="true" applyAlignment="true" applyProtection="false">
      <alignment horizontal="right" vertical="bottom" textRotation="0" wrapText="false" indent="0" shrinkToFit="false"/>
      <protection locked="true" hidden="false"/>
    </xf>
    <xf numFmtId="164" fontId="12" fillId="6" borderId="4" xfId="0" applyFont="true" applyBorder="true" applyAlignment="false" applyProtection="false">
      <alignment horizontal="general" vertical="bottom" textRotation="0" wrapText="false" indent="0" shrinkToFit="false"/>
      <protection locked="true" hidden="false"/>
    </xf>
    <xf numFmtId="164" fontId="4" fillId="6" borderId="5" xfId="0" applyFont="true" applyBorder="true" applyAlignment="true" applyProtection="false">
      <alignment horizontal="right" vertical="bottom" textRotation="0" wrapText="false" indent="0" shrinkToFit="false"/>
      <protection locked="true" hidden="false"/>
    </xf>
    <xf numFmtId="164" fontId="4" fillId="6" borderId="4" xfId="0" applyFont="true" applyBorder="true" applyAlignment="true" applyProtection="false">
      <alignment horizontal="right" vertical="bottom" textRotation="0" wrapText="false" indent="0" shrinkToFit="false"/>
      <protection locked="true" hidden="false"/>
    </xf>
    <xf numFmtId="164" fontId="25" fillId="0" borderId="11" xfId="0" applyFont="true" applyBorder="true" applyAlignment="false" applyProtection="false">
      <alignment horizontal="general" vertical="bottom" textRotation="0" wrapText="false" indent="0" shrinkToFit="false"/>
      <protection locked="true" hidden="false"/>
    </xf>
    <xf numFmtId="176" fontId="77" fillId="6" borderId="0" xfId="0" applyFont="true" applyBorder="true" applyAlignment="false" applyProtection="false">
      <alignment horizontal="general" vertical="bottom" textRotation="0" wrapText="false" indent="0" shrinkToFit="false"/>
      <protection locked="true" hidden="false"/>
    </xf>
    <xf numFmtId="164" fontId="25" fillId="6" borderId="1" xfId="0" applyFont="true" applyBorder="true" applyAlignment="true" applyProtection="false">
      <alignment horizontal="right" vertical="bottom" textRotation="0" wrapText="false" indent="0" shrinkToFit="false"/>
      <protection locked="true" hidden="false"/>
    </xf>
    <xf numFmtId="164" fontId="25" fillId="6" borderId="0" xfId="0" applyFont="true" applyBorder="true" applyAlignment="true" applyProtection="false">
      <alignment horizontal="right" vertical="bottom" textRotation="0" wrapText="false" indent="0" shrinkToFit="false"/>
      <protection locked="true" hidden="false"/>
    </xf>
    <xf numFmtId="164" fontId="12" fillId="0" borderId="4"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34" fillId="5" borderId="8" xfId="0" applyFont="true" applyBorder="true" applyAlignment="false" applyProtection="false">
      <alignment horizontal="general" vertical="bottom" textRotation="0" wrapText="false" indent="0" shrinkToFit="false"/>
      <protection locked="true" hidden="false"/>
    </xf>
    <xf numFmtId="173" fontId="34" fillId="5" borderId="8" xfId="0" applyFont="true" applyBorder="true" applyAlignment="false" applyProtection="false">
      <alignment horizontal="general" vertical="bottom" textRotation="0" wrapText="false" indent="0" shrinkToFit="false"/>
      <protection locked="true" hidden="false"/>
    </xf>
    <xf numFmtId="164" fontId="34" fillId="5" borderId="10" xfId="0" applyFont="true" applyBorder="true" applyAlignment="false" applyProtection="false">
      <alignment horizontal="general" vertical="bottom" textRotation="0" wrapText="false" indent="0" shrinkToFit="false"/>
      <protection locked="true" hidden="false"/>
    </xf>
    <xf numFmtId="164" fontId="4" fillId="0" borderId="38" xfId="0" applyFont="true" applyBorder="true" applyAlignment="false" applyProtection="false">
      <alignment horizontal="general" vertical="bottom" textRotation="0" wrapText="false" indent="0" shrinkToFit="false"/>
      <protection locked="true" hidden="false"/>
    </xf>
    <xf numFmtId="164" fontId="12" fillId="6" borderId="24" xfId="0" applyFont="true" applyBorder="true" applyAlignment="false" applyProtection="false">
      <alignment horizontal="general" vertical="bottom" textRotation="0" wrapText="false" indent="0" shrinkToFit="false"/>
      <protection locked="true" hidden="false"/>
    </xf>
    <xf numFmtId="164" fontId="4" fillId="6" borderId="30" xfId="0" applyFont="true" applyBorder="true" applyAlignment="false" applyProtection="false">
      <alignment horizontal="general" vertical="bottom" textRotation="0" wrapText="false" indent="0" shrinkToFit="false"/>
      <protection locked="true" hidden="false"/>
    </xf>
    <xf numFmtId="164" fontId="4" fillId="6" borderId="25" xfId="0" applyFont="true" applyBorder="true" applyAlignment="false" applyProtection="false">
      <alignment horizontal="general" vertical="bottom" textRotation="0" wrapText="false" indent="0" shrinkToFit="false"/>
      <protection locked="true" hidden="false"/>
    </xf>
    <xf numFmtId="164" fontId="25" fillId="0" borderId="43" xfId="0" applyFont="true" applyBorder="true" applyAlignment="false" applyProtection="false">
      <alignment horizontal="general" vertical="bottom" textRotation="0" wrapText="false" indent="0" shrinkToFit="false"/>
      <protection locked="true" hidden="false"/>
    </xf>
    <xf numFmtId="164" fontId="4" fillId="0" borderId="50" xfId="0" applyFont="true" applyBorder="true" applyAlignment="false" applyProtection="false">
      <alignment horizontal="general" vertical="bottom" textRotation="0" wrapText="false" indent="0" shrinkToFit="false"/>
      <protection locked="true" hidden="false"/>
    </xf>
    <xf numFmtId="164" fontId="12" fillId="6" borderId="28" xfId="0" applyFont="true" applyBorder="true" applyAlignment="false" applyProtection="false">
      <alignment horizontal="general" vertical="bottom" textRotation="0" wrapText="false" indent="0" shrinkToFit="false"/>
      <protection locked="true" hidden="false"/>
    </xf>
    <xf numFmtId="164" fontId="4" fillId="6" borderId="31" xfId="0" applyFont="true" applyBorder="true" applyAlignment="true" applyProtection="false">
      <alignment horizontal="right" vertical="bottom" textRotation="0" wrapText="false" indent="0" shrinkToFit="false"/>
      <protection locked="true" hidden="false"/>
    </xf>
    <xf numFmtId="164" fontId="4" fillId="6" borderId="28" xfId="0" applyFont="true" applyBorder="true" applyAlignment="true" applyProtection="false">
      <alignment horizontal="right" vertical="bottom" textRotation="0" wrapText="false" indent="0" shrinkToFit="false"/>
      <protection locked="true" hidden="false"/>
    </xf>
    <xf numFmtId="164" fontId="4" fillId="6" borderId="29" xfId="0" applyFont="true" applyBorder="true" applyAlignment="true" applyProtection="false">
      <alignment horizontal="right"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73" fontId="34" fillId="5" borderId="14" xfId="0" applyFont="true" applyBorder="true" applyAlignment="true" applyProtection="false">
      <alignment horizontal="right" vertical="bottom" textRotation="0" wrapText="false" indent="0" shrinkToFit="false"/>
      <protection locked="true" hidden="false"/>
    </xf>
    <xf numFmtId="164" fontId="34" fillId="5" borderId="15" xfId="0" applyFont="true" applyBorder="true" applyAlignment="true" applyProtection="false">
      <alignment horizontal="right" vertical="bottom" textRotation="0" wrapText="false" indent="0" shrinkToFit="false"/>
      <protection locked="true" hidden="false"/>
    </xf>
    <xf numFmtId="164" fontId="4" fillId="6" borderId="30" xfId="0" applyFont="true" applyBorder="true" applyAlignment="true" applyProtection="false">
      <alignment horizontal="right" vertical="bottom" textRotation="0" wrapText="false" indent="0" shrinkToFit="false"/>
      <protection locked="true" hidden="false"/>
    </xf>
    <xf numFmtId="164" fontId="4" fillId="6" borderId="24" xfId="0" applyFont="true" applyBorder="true" applyAlignment="true" applyProtection="false">
      <alignment horizontal="right" vertical="bottom" textRotation="0" wrapText="false" indent="0" shrinkToFit="false"/>
      <protection locked="true" hidden="false"/>
    </xf>
    <xf numFmtId="164" fontId="4" fillId="6" borderId="25" xfId="0" applyFont="true" applyBorder="true" applyAlignment="true" applyProtection="false">
      <alignment horizontal="right" vertical="bottom" textRotation="0" wrapText="false" indent="0" shrinkToFit="false"/>
      <protection locked="true" hidden="false"/>
    </xf>
    <xf numFmtId="164" fontId="4" fillId="0" borderId="24"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4" fillId="0" borderId="24" xfId="0" applyFont="true" applyBorder="true" applyAlignment="true" applyProtection="false">
      <alignment horizontal="right"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right" vertical="bottom" textRotation="0" wrapText="false" indent="0" shrinkToFit="false"/>
      <protection locked="true" hidden="false"/>
    </xf>
    <xf numFmtId="164" fontId="45" fillId="0" borderId="43" xfId="0" applyFont="true" applyBorder="true" applyAlignment="false" applyProtection="false">
      <alignment horizontal="general" vertical="bottom" textRotation="0" wrapText="false" indent="0" shrinkToFit="false"/>
      <protection locked="true" hidden="false"/>
    </xf>
    <xf numFmtId="176" fontId="93" fillId="6" borderId="0" xfId="0" applyFont="true" applyBorder="true" applyAlignment="false" applyProtection="false">
      <alignment horizontal="general" vertical="bottom" textRotation="0" wrapText="false" indent="0" shrinkToFit="false"/>
      <protection locked="true" hidden="false"/>
    </xf>
    <xf numFmtId="176" fontId="45" fillId="6" borderId="2" xfId="0" applyFont="true" applyBorder="true" applyAlignment="true" applyProtection="false">
      <alignment horizontal="right" vertical="bottom" textRotation="0" wrapText="false" indent="0" shrinkToFit="false"/>
      <protection locked="true" hidden="false"/>
    </xf>
    <xf numFmtId="176" fontId="45" fillId="6" borderId="0" xfId="0" applyFont="true" applyBorder="true" applyAlignment="true" applyProtection="false">
      <alignment horizontal="right" vertical="bottom" textRotation="0" wrapText="false" indent="0" shrinkToFit="false"/>
      <protection locked="true" hidden="false"/>
    </xf>
    <xf numFmtId="176" fontId="45" fillId="6" borderId="19" xfId="0" applyFont="true" applyBorder="true" applyAlignment="true" applyProtection="false">
      <alignment horizontal="right" vertical="bottom" textRotation="0" wrapText="false" indent="0" shrinkToFit="false"/>
      <protection locked="true" hidden="false"/>
    </xf>
    <xf numFmtId="176" fontId="4" fillId="0" borderId="14" xfId="0" applyFont="true" applyBorder="true" applyAlignment="false" applyProtection="false">
      <alignment horizontal="general" vertical="bottom" textRotation="0" wrapText="false" indent="0" shrinkToFit="false"/>
      <protection locked="true" hidden="false"/>
    </xf>
    <xf numFmtId="176" fontId="4" fillId="0" borderId="14" xfId="0" applyFont="true" applyBorder="true" applyAlignment="true" applyProtection="false">
      <alignment horizontal="right" vertical="bottom" textRotation="0" wrapText="false" indent="0" shrinkToFit="false"/>
      <protection locked="true" hidden="false"/>
    </xf>
    <xf numFmtId="176" fontId="4" fillId="0" borderId="15" xfId="0" applyFont="true" applyBorder="true" applyAlignment="true" applyProtection="false">
      <alignment horizontal="right" vertical="bottom" textRotation="0" wrapText="false" indent="0" shrinkToFit="false"/>
      <protection locked="true" hidden="false"/>
    </xf>
    <xf numFmtId="164" fontId="23" fillId="5" borderId="13" xfId="0" applyFont="true" applyBorder="true" applyAlignment="false" applyProtection="false">
      <alignment horizontal="general" vertical="bottom" textRotation="0" wrapText="false" indent="0" shrinkToFit="false"/>
      <protection locked="true" hidden="false"/>
    </xf>
    <xf numFmtId="177" fontId="4" fillId="6" borderId="11" xfId="0" applyFont="true" applyBorder="true" applyAlignment="false" applyProtection="false">
      <alignment horizontal="general" vertical="bottom" textRotation="0" wrapText="false" indent="0" shrinkToFit="false"/>
      <protection locked="true" hidden="false"/>
    </xf>
    <xf numFmtId="177" fontId="4" fillId="6" borderId="0" xfId="0" applyFont="true" applyBorder="true" applyAlignment="false" applyProtection="false">
      <alignment horizontal="general" vertical="bottom" textRotation="0" wrapText="false" indent="0" shrinkToFit="false"/>
      <protection locked="true" hidden="false"/>
    </xf>
    <xf numFmtId="177" fontId="4" fillId="6" borderId="0" xfId="19" applyFont="true" applyBorder="true" applyAlignment="true" applyProtection="true">
      <alignment horizontal="right" vertical="bottom" textRotation="0" wrapText="false" indent="0" shrinkToFit="false"/>
      <protection locked="true" hidden="false"/>
    </xf>
    <xf numFmtId="177" fontId="4" fillId="6" borderId="0" xfId="0" applyFont="true" applyBorder="true" applyAlignment="true" applyProtection="false">
      <alignment horizontal="right" vertical="bottom" textRotation="0" wrapText="false" indent="0" shrinkToFit="false"/>
      <protection locked="true" hidden="false"/>
    </xf>
    <xf numFmtId="177" fontId="4" fillId="6" borderId="2" xfId="0" applyFont="true" applyBorder="true" applyAlignment="true" applyProtection="false">
      <alignment horizontal="right" vertical="bottom" textRotation="0" wrapText="false" indent="0" shrinkToFit="false"/>
      <protection locked="true" hidden="false"/>
    </xf>
    <xf numFmtId="177" fontId="4" fillId="6" borderId="11" xfId="0" applyFont="true" applyBorder="true" applyAlignment="true" applyProtection="false">
      <alignment horizontal="right" vertical="bottom" textRotation="0" wrapText="false" indent="0" shrinkToFit="false"/>
      <protection locked="true" hidden="false"/>
    </xf>
    <xf numFmtId="177" fontId="33" fillId="6" borderId="0" xfId="0" applyFont="true" applyBorder="true" applyAlignment="true" applyProtection="false">
      <alignment horizontal="right" vertical="bottom" textRotation="0" wrapText="false" indent="0" shrinkToFit="false"/>
      <protection locked="true" hidden="false"/>
    </xf>
    <xf numFmtId="177" fontId="33" fillId="6" borderId="2" xfId="0" applyFont="true" applyBorder="true" applyAlignment="true" applyProtection="false">
      <alignment horizontal="right" vertical="bottom" textRotation="0" wrapText="false" indent="0" shrinkToFit="false"/>
      <protection locked="true" hidden="false"/>
    </xf>
    <xf numFmtId="183" fontId="4" fillId="6" borderId="11" xfId="19" applyFont="true" applyBorder="true" applyAlignment="true" applyProtection="true">
      <alignment horizontal="right" vertical="bottom" textRotation="0" wrapText="false" indent="0" shrinkToFit="false"/>
      <protection locked="true" hidden="false"/>
    </xf>
    <xf numFmtId="183" fontId="4" fillId="6" borderId="0" xfId="0" applyFont="true" applyBorder="true" applyAlignment="true" applyProtection="false">
      <alignment horizontal="right" vertical="bottom" textRotation="0" wrapText="false" indent="0" shrinkToFit="false"/>
      <protection locked="true" hidden="false"/>
    </xf>
    <xf numFmtId="183" fontId="4" fillId="6" borderId="0" xfId="19" applyFont="true" applyBorder="true" applyAlignment="true" applyProtection="true">
      <alignment horizontal="right" vertical="bottom" textRotation="0" wrapText="false" indent="0" shrinkToFit="false"/>
      <protection locked="true" hidden="false"/>
    </xf>
    <xf numFmtId="183" fontId="4" fillId="6" borderId="2" xfId="19" applyFont="true" applyBorder="true" applyAlignment="true" applyProtection="true">
      <alignment horizontal="right" vertical="bottom" textRotation="0" wrapText="false" indent="0" shrinkToFit="false"/>
      <protection locked="true" hidden="false"/>
    </xf>
    <xf numFmtId="183" fontId="4" fillId="6" borderId="11" xfId="0" applyFont="true" applyBorder="true" applyAlignment="true" applyProtection="false">
      <alignment horizontal="right" vertical="bottom" textRotation="0" wrapText="false" indent="0" shrinkToFit="false"/>
      <protection locked="true" hidden="false"/>
    </xf>
    <xf numFmtId="183" fontId="4" fillId="6" borderId="2" xfId="0" applyFont="true" applyBorder="true" applyAlignment="true" applyProtection="false">
      <alignment horizontal="right" vertical="bottom" textRotation="0" wrapText="false" indent="0" shrinkToFit="false"/>
      <protection locked="true" hidden="false"/>
    </xf>
    <xf numFmtId="172" fontId="4" fillId="6" borderId="11" xfId="0" applyFont="true" applyBorder="true" applyAlignment="true" applyProtection="false">
      <alignment horizontal="right" vertical="bottom" textRotation="0" wrapText="false" indent="0" shrinkToFit="false"/>
      <protection locked="true" hidden="false"/>
    </xf>
    <xf numFmtId="172" fontId="4" fillId="6" borderId="0" xfId="0" applyFont="true" applyBorder="true" applyAlignment="true" applyProtection="false">
      <alignment horizontal="right" vertical="bottom" textRotation="0" wrapText="false" indent="0" shrinkToFit="false"/>
      <protection locked="true" hidden="false"/>
    </xf>
    <xf numFmtId="172" fontId="4" fillId="6" borderId="2" xfId="0" applyFont="true" applyBorder="true" applyAlignment="true" applyProtection="false">
      <alignment horizontal="right" vertical="bottom" textRotation="0" wrapText="false" indent="0" shrinkToFit="false"/>
      <protection locked="true" hidden="false"/>
    </xf>
    <xf numFmtId="184" fontId="4" fillId="6" borderId="11" xfId="0" applyFont="true" applyBorder="true" applyAlignment="true" applyProtection="false">
      <alignment horizontal="right" vertical="bottom" textRotation="0" wrapText="false" indent="0" shrinkToFit="false"/>
      <protection locked="true" hidden="false"/>
    </xf>
    <xf numFmtId="184" fontId="4" fillId="6" borderId="0" xfId="0" applyFont="true" applyBorder="true" applyAlignment="true" applyProtection="false">
      <alignment horizontal="right" vertical="bottom" textRotation="0" wrapText="false" indent="0" shrinkToFit="false"/>
      <protection locked="true" hidden="false"/>
    </xf>
    <xf numFmtId="184" fontId="4" fillId="6" borderId="2" xfId="0" applyFont="true" applyBorder="true" applyAlignment="true" applyProtection="false">
      <alignment horizontal="right" vertical="bottom" textRotation="0" wrapText="false" indent="0" shrinkToFit="false"/>
      <protection locked="true" hidden="false"/>
    </xf>
    <xf numFmtId="164" fontId="4" fillId="6" borderId="8" xfId="0" applyFont="true" applyBorder="true" applyAlignment="true" applyProtection="false">
      <alignment horizontal="right" vertical="bottom" textRotation="0" wrapText="false" indent="0" shrinkToFit="false"/>
      <protection locked="true" hidden="false"/>
    </xf>
    <xf numFmtId="164" fontId="4" fillId="6" borderId="10" xfId="0" applyFont="true" applyBorder="true" applyAlignment="true" applyProtection="false">
      <alignment horizontal="right" vertical="bottom" textRotation="0" wrapText="false" indent="0" shrinkToFit="false"/>
      <protection locked="true" hidden="false"/>
    </xf>
    <xf numFmtId="164" fontId="23" fillId="5" borderId="9" xfId="0" applyFont="true" applyBorder="true" applyAlignment="false" applyProtection="false">
      <alignment horizontal="general" vertical="bottom" textRotation="0" wrapText="false" indent="0" shrinkToFit="false"/>
      <protection locked="true" hidden="false"/>
    </xf>
    <xf numFmtId="173" fontId="34" fillId="5" borderId="8" xfId="0" applyFont="true" applyBorder="true" applyAlignment="true" applyProtection="false">
      <alignment horizontal="right" vertical="bottom" textRotation="0" wrapText="false" indent="0" shrinkToFit="false"/>
      <protection locked="true" hidden="false"/>
    </xf>
    <xf numFmtId="164" fontId="34" fillId="5" borderId="10" xfId="0" applyFont="true" applyBorder="true" applyAlignment="true" applyProtection="false">
      <alignment horizontal="right" vertical="bottom" textRotation="0" wrapText="false" indent="0" shrinkToFit="false"/>
      <protection locked="true" hidden="false"/>
    </xf>
    <xf numFmtId="176" fontId="4" fillId="6" borderId="10" xfId="0" applyFont="true" applyBorder="true" applyAlignment="true" applyProtection="false">
      <alignment horizontal="right" vertical="bottom" textRotation="0" wrapText="false" indent="0" shrinkToFit="false"/>
      <protection locked="true" hidden="false"/>
    </xf>
    <xf numFmtId="176" fontId="25" fillId="6" borderId="7" xfId="0" applyFont="true" applyBorder="true" applyAlignment="true" applyProtection="false">
      <alignment horizontal="right" vertical="bottom" textRotation="0" wrapText="false" indent="0" shrinkToFit="false"/>
      <protection locked="true" hidden="false"/>
    </xf>
    <xf numFmtId="171" fontId="4" fillId="6" borderId="11" xfId="19" applyFont="true" applyBorder="true" applyAlignment="true" applyProtection="true">
      <alignment horizontal="right" vertical="bottom" textRotation="0" wrapText="false" indent="0" shrinkToFit="false"/>
      <protection locked="true" hidden="false"/>
    </xf>
    <xf numFmtId="171" fontId="4" fillId="6" borderId="0" xfId="19" applyFont="true" applyBorder="true" applyAlignment="true" applyProtection="true">
      <alignment horizontal="right" vertical="bottom" textRotation="0" wrapText="false" indent="0" shrinkToFit="false"/>
      <protection locked="true" hidden="false"/>
    </xf>
    <xf numFmtId="171" fontId="4" fillId="6" borderId="2" xfId="19" applyFont="true" applyBorder="true" applyAlignment="true" applyProtection="true">
      <alignment horizontal="right" vertical="bottom" textRotation="0" wrapText="false" indent="0" shrinkToFit="false"/>
      <protection locked="true" hidden="false"/>
    </xf>
    <xf numFmtId="164" fontId="34" fillId="0" borderId="0" xfId="0" applyFont="true" applyBorder="true" applyAlignment="true" applyProtection="true">
      <alignment horizontal="center" vertical="bottom" textRotation="0" wrapText="false" indent="0" shrinkToFit="false"/>
      <protection locked="true" hidden="false"/>
    </xf>
    <xf numFmtId="164" fontId="34" fillId="0" borderId="7" xfId="0" applyFont="true" applyBorder="true" applyAlignment="false" applyProtection="true">
      <alignment horizontal="general" vertical="bottom" textRotation="0" wrapText="false" indent="0" shrinkToFit="false"/>
      <protection locked="true" hidden="false"/>
    </xf>
    <xf numFmtId="164" fontId="77" fillId="5" borderId="14" xfId="0" applyFont="true" applyBorder="true" applyAlignment="false" applyProtection="true">
      <alignment horizontal="general" vertical="bottom" textRotation="0" wrapText="false" indent="0" shrinkToFit="false"/>
      <protection locked="true" hidden="false"/>
    </xf>
    <xf numFmtId="164" fontId="60" fillId="5" borderId="14" xfId="0" applyFont="true" applyBorder="true" applyAlignment="false" applyProtection="true">
      <alignment horizontal="general" vertical="bottom" textRotation="0" wrapText="false" indent="0" shrinkToFit="false"/>
      <protection locked="true" hidden="false"/>
    </xf>
    <xf numFmtId="164" fontId="60" fillId="5" borderId="15" xfId="0" applyFont="true" applyBorder="true" applyAlignment="false" applyProtection="true">
      <alignment horizontal="general" vertical="bottom" textRotation="0" wrapText="false" indent="0" shrinkToFit="false"/>
      <protection locked="true" hidden="false"/>
    </xf>
    <xf numFmtId="164" fontId="25" fillId="0" borderId="0" xfId="0" applyFont="true" applyBorder="false" applyAlignment="false" applyProtection="true">
      <alignment horizontal="general" vertical="bottom" textRotation="0" wrapText="false" indent="0" shrinkToFit="false"/>
      <protection locked="true" hidden="false"/>
    </xf>
    <xf numFmtId="164" fontId="12" fillId="6" borderId="0" xfId="0" applyFont="true" applyBorder="true" applyAlignment="false" applyProtection="true">
      <alignment horizontal="general" vertical="bottom" textRotation="0" wrapText="false" indent="0" shrinkToFit="false"/>
      <protection locked="true" hidden="false"/>
    </xf>
    <xf numFmtId="164" fontId="33" fillId="6" borderId="0" xfId="0" applyFont="true" applyBorder="true" applyAlignment="false" applyProtection="true">
      <alignment horizontal="general" vertical="bottom" textRotation="0" wrapText="false" indent="0" shrinkToFit="false"/>
      <protection locked="true" hidden="false"/>
    </xf>
    <xf numFmtId="164" fontId="33" fillId="6" borderId="5" xfId="0" applyFont="true" applyBorder="true" applyAlignment="false" applyProtection="true">
      <alignment horizontal="general" vertical="bottom" textRotation="0" wrapText="false" indent="0" shrinkToFit="false"/>
      <protection locked="true" hidden="false"/>
    </xf>
    <xf numFmtId="176" fontId="12" fillId="6" borderId="0" xfId="0" applyFont="true" applyBorder="true" applyAlignment="false" applyProtection="true">
      <alignment horizontal="general" vertical="bottom" textRotation="0" wrapText="false" indent="0" shrinkToFit="false"/>
      <protection locked="true" hidden="false"/>
    </xf>
    <xf numFmtId="176" fontId="4" fillId="6" borderId="0" xfId="0" applyFont="true" applyBorder="true" applyAlignment="false" applyProtection="true">
      <alignment horizontal="general" vertical="bottom" textRotation="0" wrapText="false" indent="0" shrinkToFit="false"/>
      <protection locked="true" hidden="false"/>
    </xf>
    <xf numFmtId="176" fontId="4" fillId="6" borderId="2" xfId="0" applyFont="true" applyBorder="true" applyAlignment="false" applyProtection="true">
      <alignment horizontal="general" vertical="bottom" textRotation="0" wrapText="false" indent="0" shrinkToFit="false"/>
      <protection locked="true" hidden="false"/>
    </xf>
    <xf numFmtId="164" fontId="25" fillId="0" borderId="2" xfId="0" applyFont="true" applyBorder="true" applyAlignment="false" applyProtection="true">
      <alignment horizontal="general" vertical="bottom" textRotation="0" wrapText="false" indent="0" shrinkToFit="false"/>
      <protection locked="true" hidden="false"/>
    </xf>
    <xf numFmtId="176" fontId="77" fillId="6" borderId="0" xfId="0" applyFont="true" applyBorder="true" applyAlignment="false" applyProtection="true">
      <alignment horizontal="general" vertical="bottom" textRotation="0" wrapText="false" indent="0" shrinkToFit="false"/>
      <protection locked="true" hidden="false"/>
    </xf>
    <xf numFmtId="164" fontId="4" fillId="0" borderId="2" xfId="0" applyFont="true" applyBorder="true" applyAlignment="false" applyProtection="true">
      <alignment horizontal="general" vertical="bottom" textRotation="0" wrapText="false" indent="0" shrinkToFit="false"/>
      <protection locked="true" hidden="false"/>
    </xf>
    <xf numFmtId="176" fontId="12" fillId="6" borderId="8" xfId="0" applyFont="true" applyBorder="true" applyAlignment="false" applyProtection="true">
      <alignment horizontal="general" vertical="bottom" textRotation="0" wrapText="false" indent="0" shrinkToFit="false"/>
      <protection locked="true" hidden="false"/>
    </xf>
    <xf numFmtId="164" fontId="25" fillId="6" borderId="13" xfId="0" applyFont="true" applyBorder="true" applyAlignment="false" applyProtection="true">
      <alignment horizontal="general" vertical="bottom" textRotation="0" wrapText="false" indent="0" shrinkToFit="false"/>
      <protection locked="true" hidden="false"/>
    </xf>
    <xf numFmtId="164" fontId="25" fillId="6" borderId="15" xfId="0" applyFont="true" applyBorder="true" applyAlignment="false" applyProtection="true">
      <alignment horizontal="general" vertical="bottom" textRotation="0" wrapText="false" indent="0" shrinkToFit="false"/>
      <protection locked="true" hidden="false"/>
    </xf>
    <xf numFmtId="176" fontId="77" fillId="6" borderId="14" xfId="0" applyFont="true" applyBorder="true" applyAlignment="false" applyProtection="true">
      <alignment horizontal="general" vertical="bottom" textRotation="0" wrapText="false" indent="0" shrinkToFit="false"/>
      <protection locked="true" hidden="false"/>
    </xf>
    <xf numFmtId="176" fontId="25" fillId="6" borderId="14" xfId="0" applyFont="true" applyBorder="true" applyAlignment="false" applyProtection="true">
      <alignment horizontal="general" vertical="bottom" textRotation="0" wrapText="false" indent="0" shrinkToFit="false"/>
      <protection locked="true" hidden="false"/>
    </xf>
    <xf numFmtId="164" fontId="25" fillId="6" borderId="14" xfId="0" applyFont="true" applyBorder="true" applyAlignment="false" applyProtection="true">
      <alignment horizontal="general" vertical="bottom" textRotation="0" wrapText="false" indent="0" shrinkToFit="false"/>
      <protection locked="true" hidden="false"/>
    </xf>
    <xf numFmtId="176" fontId="25" fillId="6" borderId="15" xfId="0" applyFont="true" applyBorder="true" applyAlignment="false" applyProtection="true">
      <alignment horizontal="general" vertical="bottom" textRotation="0" wrapText="false" indent="0" shrinkToFit="false"/>
      <protection locked="true" hidden="false"/>
    </xf>
    <xf numFmtId="164" fontId="25" fillId="0" borderId="9" xfId="0" applyFont="true" applyBorder="true" applyAlignment="false" applyProtection="true">
      <alignment horizontal="general" vertical="bottom" textRotation="0" wrapText="false" indent="0" shrinkToFit="false"/>
      <protection locked="true" hidden="false"/>
    </xf>
    <xf numFmtId="164" fontId="25" fillId="0" borderId="10" xfId="0" applyFont="true" applyBorder="true" applyAlignment="false" applyProtection="true">
      <alignment horizontal="general" vertical="bottom" textRotation="0" wrapText="false" indent="0" shrinkToFit="false"/>
      <protection locked="true" hidden="false"/>
    </xf>
    <xf numFmtId="176" fontId="77" fillId="0" borderId="8" xfId="0" applyFont="true" applyBorder="true" applyAlignment="false" applyProtection="true">
      <alignment horizontal="general" vertical="bottom" textRotation="0" wrapText="false" indent="0" shrinkToFit="false"/>
      <protection locked="true" hidden="false"/>
    </xf>
    <xf numFmtId="164" fontId="25" fillId="0" borderId="8" xfId="0" applyFont="true" applyBorder="true" applyAlignment="false" applyProtection="true">
      <alignment horizontal="general" vertical="bottom" textRotation="0" wrapText="false" indent="0" shrinkToFit="false"/>
      <protection locked="true" hidden="false"/>
    </xf>
    <xf numFmtId="176" fontId="25" fillId="0" borderId="10" xfId="0" applyFont="true" applyBorder="true" applyAlignment="false" applyProtection="true">
      <alignment horizontal="general" vertical="bottom" textRotation="0" wrapText="false" indent="0" shrinkToFit="false"/>
      <protection locked="true" hidden="false"/>
    </xf>
    <xf numFmtId="164" fontId="12" fillId="6" borderId="4" xfId="0" applyFont="true" applyBorder="true" applyAlignment="false" applyProtection="true">
      <alignment horizontal="general" vertical="bottom" textRotation="0" wrapText="false" indent="0" shrinkToFit="false"/>
      <protection locked="true" hidden="false"/>
    </xf>
    <xf numFmtId="164" fontId="25" fillId="6" borderId="2" xfId="0" applyFont="true" applyBorder="true" applyAlignment="false" applyProtection="true">
      <alignment horizontal="general" vertical="bottom" textRotation="0" wrapText="false" indent="0" shrinkToFit="false"/>
      <protection locked="true" hidden="false"/>
    </xf>
    <xf numFmtId="164" fontId="25" fillId="6" borderId="9" xfId="0" applyFont="true" applyBorder="true" applyAlignment="false" applyProtection="true">
      <alignment horizontal="general" vertical="bottom" textRotation="0" wrapText="false" indent="0" shrinkToFit="false"/>
      <protection locked="true" hidden="false"/>
    </xf>
    <xf numFmtId="164" fontId="12" fillId="6" borderId="8" xfId="0" applyFont="true" applyBorder="true" applyAlignment="false" applyProtection="true">
      <alignment horizontal="general" vertical="bottom" textRotation="0" wrapText="false" indent="0" shrinkToFit="false"/>
      <protection locked="true" hidden="false"/>
    </xf>
    <xf numFmtId="164" fontId="12" fillId="0" borderId="0" xfId="0" applyFont="true" applyBorder="true" applyAlignment="false" applyProtection="true">
      <alignment horizontal="general" vertical="bottom" textRotation="0" wrapText="false" indent="0" shrinkToFit="false"/>
      <protection locked="true" hidden="false"/>
    </xf>
    <xf numFmtId="164" fontId="12" fillId="5" borderId="14" xfId="0" applyFont="true" applyBorder="true" applyAlignment="false" applyProtection="true">
      <alignment horizontal="general" vertical="bottom" textRotation="0" wrapText="false" indent="0" shrinkToFit="false"/>
      <protection locked="true" hidden="false"/>
    </xf>
    <xf numFmtId="164" fontId="4" fillId="6" borderId="0" xfId="0" applyFont="true" applyBorder="false" applyAlignment="false" applyProtection="true">
      <alignment horizontal="general" vertical="bottom" textRotation="0" wrapText="false" indent="0" shrinkToFit="false"/>
      <protection locked="true" hidden="false"/>
    </xf>
    <xf numFmtId="164" fontId="4" fillId="6" borderId="14" xfId="0" applyFont="true" applyBorder="true" applyAlignment="false" applyProtection="true">
      <alignment horizontal="general" vertical="bottom" textRotation="0" wrapText="false" indent="0" shrinkToFit="false"/>
      <protection locked="true" hidden="false"/>
    </xf>
    <xf numFmtId="164" fontId="45" fillId="6" borderId="1" xfId="0" applyFont="true" applyBorder="true" applyAlignment="false" applyProtection="true">
      <alignment horizontal="general" vertical="bottom" textRotation="0" wrapText="false" indent="0" shrinkToFit="false"/>
      <protection locked="true" hidden="false"/>
    </xf>
    <xf numFmtId="164" fontId="12" fillId="0" borderId="0" xfId="0" applyFont="true" applyBorder="false" applyAlignment="false" applyProtection="true">
      <alignment horizontal="general" vertical="bottom" textRotation="0" wrapText="false" indent="0" shrinkToFit="false"/>
      <protection locked="true" hidden="false"/>
    </xf>
    <xf numFmtId="164" fontId="4" fillId="6" borderId="13" xfId="0" applyFont="true" applyBorder="true" applyAlignment="true" applyProtection="true">
      <alignment horizontal="left" vertical="top" textRotation="0" wrapText="false" indent="0" shrinkToFit="false"/>
      <protection locked="false" hidden="false"/>
    </xf>
    <xf numFmtId="164" fontId="4" fillId="6" borderId="14" xfId="0" applyFont="true" applyBorder="true" applyAlignment="true" applyProtection="true">
      <alignment horizontal="left" vertical="top" textRotation="0" wrapText="true" indent="0" shrinkToFit="false"/>
      <protection locked="false" hidden="false"/>
    </xf>
    <xf numFmtId="164" fontId="4" fillId="6" borderId="15" xfId="0" applyFont="true" applyBorder="true" applyAlignment="true" applyProtection="true">
      <alignment horizontal="left" vertical="top" textRotation="0" wrapText="true" indent="0" shrinkToFit="false"/>
      <protection locked="false" hidden="false"/>
    </xf>
    <xf numFmtId="164" fontId="4" fillId="6" borderId="1" xfId="0" applyFont="true" applyBorder="true" applyAlignment="true" applyProtection="true">
      <alignment horizontal="left" vertical="top" textRotation="0" wrapText="false" indent="0" shrinkToFit="false"/>
      <protection locked="false" hidden="false"/>
    </xf>
    <xf numFmtId="164" fontId="4" fillId="6" borderId="0" xfId="0" applyFont="true" applyBorder="true" applyAlignment="true" applyProtection="true">
      <alignment horizontal="left" vertical="top" textRotation="0" wrapText="true" indent="0" shrinkToFit="false"/>
      <protection locked="false" hidden="false"/>
    </xf>
    <xf numFmtId="164" fontId="4" fillId="6" borderId="2" xfId="0" applyFont="true" applyBorder="true" applyAlignment="true" applyProtection="true">
      <alignment horizontal="left" vertical="top" textRotation="0" wrapText="true" indent="0" shrinkToFit="false"/>
      <protection locked="false" hidden="false"/>
    </xf>
    <xf numFmtId="164" fontId="4" fillId="6" borderId="9" xfId="0" applyFont="true" applyBorder="true" applyAlignment="true" applyProtection="true">
      <alignment horizontal="left" vertical="top" textRotation="0" wrapText="false" indent="0" shrinkToFit="false"/>
      <protection locked="false" hidden="false"/>
    </xf>
    <xf numFmtId="164" fontId="4" fillId="6" borderId="8" xfId="0" applyFont="true" applyBorder="true" applyAlignment="true" applyProtection="true">
      <alignment horizontal="left" vertical="top" textRotation="0" wrapText="true" indent="0" shrinkToFit="false"/>
      <protection locked="false" hidden="false"/>
    </xf>
    <xf numFmtId="164" fontId="4" fillId="6" borderId="10" xfId="0" applyFont="true" applyBorder="true" applyAlignment="true" applyProtection="true">
      <alignment horizontal="left" vertical="top" textRotation="0" wrapText="true" indent="0" shrinkToFit="false"/>
      <protection locked="false" hidden="false"/>
    </xf>
    <xf numFmtId="164" fontId="4" fillId="0" borderId="0" xfId="0" applyFont="true" applyBorder="true" applyAlignment="true" applyProtection="false">
      <alignment horizontal="left" vertical="bottom" textRotation="0" wrapText="true" indent="0" shrinkToFit="false"/>
      <protection locked="true" hidden="false"/>
    </xf>
    <xf numFmtId="164" fontId="4" fillId="6" borderId="3" xfId="0" applyFont="true" applyBorder="true" applyAlignment="true" applyProtection="true">
      <alignment horizontal="left" vertical="top" textRotation="0" wrapText="false" indent="0" shrinkToFit="false"/>
      <protection locked="false" hidden="false"/>
    </xf>
    <xf numFmtId="164" fontId="4" fillId="6" borderId="4" xfId="0" applyFont="true" applyBorder="true" applyAlignment="true" applyProtection="true">
      <alignment horizontal="left" vertical="top" textRotation="0" wrapText="true" indent="0" shrinkToFit="false"/>
      <protection locked="false" hidden="false"/>
    </xf>
    <xf numFmtId="164" fontId="4" fillId="6" borderId="5" xfId="0" applyFont="true" applyBorder="true" applyAlignment="true" applyProtection="true">
      <alignment horizontal="left" vertical="top" textRotation="0" wrapText="true" indent="0" shrinkToFit="false"/>
      <protection locked="false" hidden="false"/>
    </xf>
    <xf numFmtId="164" fontId="77" fillId="0" borderId="0" xfId="0" applyFont="true" applyBorder="false" applyAlignment="false" applyProtection="false">
      <alignment horizontal="general" vertical="bottom" textRotation="0" wrapText="false" indent="0" shrinkToFit="false"/>
      <protection locked="true" hidden="false"/>
    </xf>
    <xf numFmtId="170" fontId="30" fillId="10" borderId="0" xfId="0" applyFont="true" applyBorder="false" applyAlignment="false" applyProtection="true">
      <alignment horizontal="general" vertical="bottom" textRotation="0" wrapText="false" indent="0" shrinkToFit="false"/>
      <protection locked="false" hidden="false"/>
    </xf>
    <xf numFmtId="164" fontId="60" fillId="0" borderId="0" xfId="0" applyFont="true" applyBorder="true" applyAlignment="false" applyProtection="false">
      <alignment horizontal="general" vertical="bottom" textRotation="0" wrapText="false" indent="0" shrinkToFit="false"/>
      <protection locked="true" hidden="false"/>
    </xf>
    <xf numFmtId="164" fontId="60" fillId="0" borderId="0" xfId="0" applyFont="true" applyBorder="true" applyAlignment="false" applyProtection="false">
      <alignment horizontal="general" vertical="bottom" textRotation="0" wrapText="false" indent="0" shrinkToFit="false"/>
      <protection locked="true" hidden="false"/>
    </xf>
    <xf numFmtId="164" fontId="60" fillId="0" borderId="7" xfId="0" applyFont="true" applyBorder="true" applyAlignment="false" applyProtection="false">
      <alignment horizontal="general" vertical="bottom" textRotation="0" wrapText="false" indent="0" shrinkToFit="false"/>
      <protection locked="true" hidden="false"/>
    </xf>
    <xf numFmtId="164" fontId="77" fillId="5" borderId="13" xfId="0" applyFont="true" applyBorder="true" applyAlignment="false" applyProtection="false">
      <alignment horizontal="general" vertical="bottom" textRotation="0" wrapText="false" indent="0" shrinkToFit="false"/>
      <protection locked="true" hidden="false"/>
    </xf>
    <xf numFmtId="164" fontId="60" fillId="5" borderId="14" xfId="0" applyFont="true" applyBorder="true" applyAlignment="false" applyProtection="false">
      <alignment horizontal="general" vertical="bottom" textRotation="0" wrapText="false" indent="0" shrinkToFit="false"/>
      <protection locked="true" hidden="false"/>
    </xf>
    <xf numFmtId="164" fontId="60" fillId="5" borderId="15" xfId="0" applyFont="true" applyBorder="true" applyAlignment="false" applyProtection="false">
      <alignment horizontal="general" vertical="bottom" textRotation="0" wrapText="false" indent="0" shrinkToFit="false"/>
      <protection locked="true" hidden="false"/>
    </xf>
    <xf numFmtId="164" fontId="33" fillId="6" borderId="4" xfId="0" applyFont="true" applyBorder="true" applyAlignment="false" applyProtection="false">
      <alignment horizontal="general" vertical="bottom" textRotation="0" wrapText="false" indent="0" shrinkToFit="false"/>
      <protection locked="true" hidden="false"/>
    </xf>
    <xf numFmtId="164" fontId="33" fillId="6" borderId="5" xfId="0" applyFont="true" applyBorder="true" applyAlignment="false" applyProtection="false">
      <alignment horizontal="general" vertical="bottom" textRotation="0" wrapText="false" indent="0" shrinkToFit="false"/>
      <protection locked="true" hidden="false"/>
    </xf>
    <xf numFmtId="176" fontId="4" fillId="6" borderId="1" xfId="0" applyFont="true" applyBorder="true" applyAlignment="false" applyProtection="false">
      <alignment horizontal="general" vertical="bottom" textRotation="0" wrapText="false" indent="0" shrinkToFit="false"/>
      <protection locked="true" hidden="false"/>
    </xf>
    <xf numFmtId="177" fontId="4" fillId="6" borderId="1" xfId="0" applyFont="true" applyBorder="true" applyAlignment="false" applyProtection="false">
      <alignment horizontal="general" vertical="bottom" textRotation="0" wrapText="false" indent="0" shrinkToFit="false"/>
      <protection locked="true" hidden="false"/>
    </xf>
    <xf numFmtId="177" fontId="4" fillId="6" borderId="2" xfId="0" applyFont="true" applyBorder="true" applyAlignment="false" applyProtection="false">
      <alignment horizontal="general" vertical="bottom" textRotation="0" wrapText="false" indent="0" shrinkToFit="false"/>
      <protection locked="true" hidden="false"/>
    </xf>
    <xf numFmtId="164" fontId="33" fillId="5" borderId="14" xfId="0" applyFont="true" applyBorder="true" applyAlignment="false" applyProtection="false">
      <alignment horizontal="general" vertical="bottom" textRotation="0" wrapText="false" indent="0" shrinkToFit="false"/>
      <protection locked="true" hidden="false"/>
    </xf>
    <xf numFmtId="173" fontId="85" fillId="6" borderId="0" xfId="0" applyFont="true" applyBorder="true" applyAlignment="false" applyProtection="false">
      <alignment horizontal="general" vertical="bottom" textRotation="0" wrapText="false" indent="0" shrinkToFit="false"/>
      <protection locked="true" hidden="false"/>
    </xf>
    <xf numFmtId="164" fontId="85" fillId="6" borderId="2" xfId="0" applyFont="tru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false">
      <alignment horizontal="general" vertical="bottom" textRotation="0" wrapText="false" indent="0" shrinkToFit="false"/>
      <protection locked="true" hidden="false"/>
    </xf>
    <xf numFmtId="164" fontId="4" fillId="6" borderId="11" xfId="0" applyFont="true" applyBorder="true" applyAlignment="true" applyProtection="false">
      <alignment horizontal="right" vertical="bottom" textRotation="0" wrapText="false" indent="0" shrinkToFit="false"/>
      <protection locked="true" hidden="false"/>
    </xf>
    <xf numFmtId="172" fontId="4" fillId="6" borderId="10" xfId="0" applyFont="true" applyBorder="true" applyAlignment="true" applyProtection="false">
      <alignment horizontal="right" vertical="bottom" textRotation="0" wrapText="false" indent="0" shrinkToFit="false"/>
      <protection locked="true" hidden="false"/>
    </xf>
    <xf numFmtId="164" fontId="4" fillId="0" borderId="14" xfId="0" applyFont="true" applyBorder="true" applyAlignment="true" applyProtection="false">
      <alignment horizontal="right" vertical="bottom" textRotation="0" wrapText="false" indent="0" shrinkToFit="false"/>
      <protection locked="true" hidden="false"/>
    </xf>
    <xf numFmtId="164" fontId="33" fillId="5" borderId="8" xfId="0" applyFont="true" applyBorder="true" applyAlignment="false" applyProtection="false">
      <alignment horizontal="general" vertical="bottom" textRotation="0" wrapText="false" indent="0" shrinkToFit="false"/>
      <protection locked="true" hidden="false"/>
    </xf>
    <xf numFmtId="170" fontId="4" fillId="0" borderId="0" xfId="0" applyFont="true" applyBorder="false" applyAlignment="false" applyProtection="true">
      <alignment horizontal="general" vertical="bottom" textRotation="0" wrapText="false" indent="0" shrinkToFit="false"/>
      <protection locked="false" hidden="false"/>
    </xf>
    <xf numFmtId="164" fontId="70" fillId="10" borderId="3" xfId="0" applyFont="true" applyBorder="true" applyAlignment="false" applyProtection="true">
      <alignment horizontal="general" vertical="bottom" textRotation="0" wrapText="false" indent="0" shrinkToFit="false"/>
      <protection locked="true" hidden="false"/>
    </xf>
    <xf numFmtId="164" fontId="70" fillId="10" borderId="4" xfId="0" applyFont="true" applyBorder="true" applyAlignment="false" applyProtection="true">
      <alignment horizontal="general" vertical="bottom" textRotation="0" wrapText="false" indent="0" shrinkToFit="false"/>
      <protection locked="true" hidden="false"/>
    </xf>
    <xf numFmtId="164" fontId="70" fillId="10" borderId="6" xfId="0" applyFont="true" applyBorder="true" applyAlignment="true" applyProtection="true">
      <alignment horizontal="center" vertical="bottom" textRotation="0" wrapText="false" indent="0" shrinkToFit="false"/>
      <protection locked="true" hidden="false"/>
    </xf>
    <xf numFmtId="164" fontId="4" fillId="5" borderId="11" xfId="0" applyFont="true" applyBorder="true" applyAlignment="true" applyProtection="true">
      <alignment horizontal="center" vertical="bottom" textRotation="0" wrapText="false" indent="0" shrinkToFit="false"/>
      <protection locked="true" hidden="false"/>
    </xf>
    <xf numFmtId="164" fontId="70" fillId="10" borderId="1" xfId="0" applyFont="true" applyBorder="true" applyAlignment="false" applyProtection="true">
      <alignment horizontal="general" vertical="bottom" textRotation="0" wrapText="false" indent="0" shrinkToFit="false"/>
      <protection locked="true" hidden="false"/>
    </xf>
    <xf numFmtId="164" fontId="30" fillId="10" borderId="0" xfId="0" applyFont="true" applyBorder="true" applyAlignment="false" applyProtection="true">
      <alignment horizontal="general" vertical="bottom" textRotation="0" wrapText="false" indent="0" shrinkToFit="false"/>
      <protection locked="true" hidden="false"/>
    </xf>
    <xf numFmtId="164" fontId="30" fillId="10" borderId="11" xfId="0" applyFont="true" applyBorder="true" applyAlignment="true" applyProtection="true">
      <alignment horizontal="center" vertical="bottom" textRotation="0" wrapText="false" indent="0" shrinkToFit="false"/>
      <protection locked="true" hidden="false"/>
    </xf>
    <xf numFmtId="164" fontId="4" fillId="5" borderId="11" xfId="0" applyFont="true" applyBorder="true" applyAlignment="true" applyProtection="true">
      <alignment horizontal="center" vertical="bottom" textRotation="0" wrapText="false" indent="0" shrinkToFit="false"/>
      <protection locked="true" hidden="false"/>
    </xf>
    <xf numFmtId="170" fontId="4" fillId="5" borderId="11" xfId="0" applyFont="true" applyBorder="true" applyAlignment="true" applyProtection="true">
      <alignment horizontal="center"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true" hidden="false"/>
    </xf>
    <xf numFmtId="171" fontId="4" fillId="5" borderId="11" xfId="0" applyFont="true" applyBorder="true" applyAlignment="true" applyProtection="true">
      <alignment horizontal="center" vertical="bottom" textRotation="0" wrapText="false" indent="0" shrinkToFit="false"/>
      <protection locked="true" hidden="false"/>
    </xf>
    <xf numFmtId="164" fontId="4" fillId="5" borderId="6" xfId="0" applyFont="true" applyBorder="true" applyAlignment="true" applyProtection="true">
      <alignment horizontal="center" vertical="bottom" textRotation="0" wrapText="false" indent="0" shrinkToFit="false"/>
      <protection locked="true" hidden="false"/>
    </xf>
    <xf numFmtId="164" fontId="4" fillId="5" borderId="17" xfId="0" applyFont="true" applyBorder="true" applyAlignment="true" applyProtection="true">
      <alignment horizontal="center" vertical="bottom" textRotation="0" wrapText="false" indent="0" shrinkToFit="false"/>
      <protection locked="true" hidden="false"/>
    </xf>
  </cellXfs>
  <cellStyles count="11">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Komma_Action Plan Parts Sales v1 0 Unlocked" xfId="21" builtinId="53" customBuiltin="true"/>
    <cellStyle name="Millares_Potential model Spain hercas" xfId="22" builtinId="53" customBuiltin="true"/>
    <cellStyle name="Moneda_Potential model Spain hercas" xfId="23" builtinId="53" customBuiltin="true"/>
    <cellStyle name="Valuta_Action Plan Parts Sales v1 0 Unlocked" xfId="24" builtinId="53" customBuiltin="true"/>
    <cellStyle name="*unknown*" xfId="20" builtinId="8" customBuiltin="false"/>
  </cellStyles>
  <dxfs count="5">
    <dxf>
      <fill>
        <patternFill>
          <bgColor rgb="FF9BBDE1"/>
        </patternFill>
      </fill>
    </dxf>
    <dxf>
      <fill>
        <patternFill>
          <bgColor rgb="FF00BFF0"/>
        </patternFill>
      </fill>
    </dxf>
    <dxf>
      <fill>
        <patternFill>
          <bgColor rgb="FFDFDFE0"/>
        </patternFill>
      </fill>
    </dxf>
    <dxf>
      <fill>
        <patternFill>
          <bgColor rgb="FF69FFFF"/>
        </patternFill>
      </fill>
    </dxf>
    <dxf>
      <fill>
        <patternFill>
          <bgColor rgb="FFDFDFE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999933"/>
      <rgbColor rgb="FF800080"/>
      <rgbColor rgb="FF008080"/>
      <rgbColor rgb="FFC0C0C0"/>
      <rgbColor rgb="FF808080"/>
      <rgbColor rgb="FF8080FF"/>
      <rgbColor rgb="FF802060"/>
      <rgbColor rgb="FFFFFFC0"/>
      <rgbColor rgb="FFDFDFE0"/>
      <rgbColor rgb="FF600080"/>
      <rgbColor rgb="FFFF8080"/>
      <rgbColor rgb="FF0080C0"/>
      <rgbColor rgb="FFC0C0FF"/>
      <rgbColor rgb="FF000080"/>
      <rgbColor rgb="FFFF00FF"/>
      <rgbColor rgb="FFFFFF00"/>
      <rgbColor rgb="FF00FFFF"/>
      <rgbColor rgb="FF800080"/>
      <rgbColor rgb="FF800000"/>
      <rgbColor rgb="FF008080"/>
      <rgbColor rgb="FF0000FF"/>
      <rgbColor rgb="FF00BFF0"/>
      <rgbColor rgb="FFA0E0E0"/>
      <rgbColor rgb="FFCCFFCC"/>
      <rgbColor rgb="FFFFFF99"/>
      <rgbColor rgb="FFA6CAF0"/>
      <rgbColor rgb="FFFF99CC"/>
      <rgbColor rgb="FFCC9CCC"/>
      <rgbColor rgb="FF9BBDE1"/>
      <rgbColor rgb="FF3366FF"/>
      <rgbColor rgb="FF69FFFF"/>
      <rgbColor rgb="FF99CC00"/>
      <rgbColor rgb="FFFFCC00"/>
      <rgbColor rgb="FFFF9900"/>
      <rgbColor rgb="FFFF6600"/>
      <rgbColor rgb="FF666699"/>
      <rgbColor rgb="FF969696"/>
      <rgbColor rgb="FF003366"/>
      <rgbColor rgb="FF339966"/>
      <rgbColor rgb="FF003300"/>
      <rgbColor rgb="FF333300"/>
      <rgbColor rgb="FF993300"/>
      <rgbColor rgb="FF993366"/>
      <rgbColor rgb="FF3333CC"/>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20" Type="http://schemas.openxmlformats.org/officeDocument/2006/relationships/worksheet" Target="worksheets/sheet19.xml"/><Relationship Id="rId21" Type="http://schemas.openxmlformats.org/officeDocument/2006/relationships/worksheet" Target="worksheets/sheet20.xml"/><Relationship Id="rId22" Type="http://schemas.openxmlformats.org/officeDocument/2006/relationships/worksheet" Target="worksheets/sheet21.xml"/><Relationship Id="rId23" Type="http://schemas.openxmlformats.org/officeDocument/2006/relationships/worksheet" Target="worksheets/sheet22.xml"/><Relationship Id="rId24" Type="http://schemas.openxmlformats.org/officeDocument/2006/relationships/worksheet" Target="worksheets/sheet23.xml"/><Relationship Id="rId25" Type="http://schemas.openxmlformats.org/officeDocument/2006/relationships/worksheet" Target="worksheets/sheet24.xml"/><Relationship Id="rId26" Type="http://schemas.openxmlformats.org/officeDocument/2006/relationships/worksheet" Target="worksheets/sheet25.xml"/><Relationship Id="rId27" Type="http://schemas.openxmlformats.org/officeDocument/2006/relationships/worksheet" Target="worksheets/sheet26.xml"/><Relationship Id="rId28" Type="http://schemas.openxmlformats.org/officeDocument/2006/relationships/worksheet" Target="worksheets/sheet27.xml"/><Relationship Id="rId29" Type="http://schemas.openxmlformats.org/officeDocument/2006/relationships/worksheet" Target="worksheets/sheet28.xml"/><Relationship Id="rId30" Type="http://schemas.openxmlformats.org/officeDocument/2006/relationships/worksheet" Target="worksheets/sheet29.xml"/><Relationship Id="rId31" Type="http://schemas.openxmlformats.org/officeDocument/2006/relationships/worksheet" Target="worksheets/sheet30.xml"/><Relationship Id="rId32" Type="http://schemas.openxmlformats.org/officeDocument/2006/relationships/worksheet" Target="worksheets/sheet31.xml"/><Relationship Id="rId33" Type="http://schemas.openxmlformats.org/officeDocument/2006/relationships/worksheet" Target="worksheets/sheet32.xml"/><Relationship Id="rId34" Type="http://schemas.openxmlformats.org/officeDocument/2006/relationships/worksheet" Target="worksheets/sheet33.xml"/><Relationship Id="rId35" Type="http://schemas.openxmlformats.org/officeDocument/2006/relationships/worksheet" Target="worksheets/sheet34.xml"/><Relationship Id="rId36" Type="http://schemas.openxmlformats.org/officeDocument/2006/relationships/worksheet" Target="worksheets/sheet35.xml"/><Relationship Id="rId37" Type="http://schemas.openxmlformats.org/officeDocument/2006/relationships/worksheet" Target="worksheets/sheet36.xml"/><Relationship Id="rId38" Type="http://schemas.openxmlformats.org/officeDocument/2006/relationships/worksheet" Target="worksheets/sheet37.xml"/><Relationship Id="rId39" Type="http://schemas.openxmlformats.org/officeDocument/2006/relationships/worksheet" Target="worksheets/sheet38.xml"/><Relationship Id="rId40" Type="http://schemas.openxmlformats.org/officeDocument/2006/relationships/worksheet" Target="worksheets/sheet39.xml"/><Relationship Id="rId41" Type="http://schemas.openxmlformats.org/officeDocument/2006/relationships/worksheet" Target="worksheets/sheet42.xml"/><Relationship Id="rId42" Type="http://schemas.openxmlformats.org/officeDocument/2006/relationships/worksheet" Target="worksheets/sheet44.xml"/><Relationship Id="rId43" Type="http://schemas.openxmlformats.org/officeDocument/2006/relationships/worksheet" Target="worksheets/sheet45.xml"/><Relationship Id="rId44" Type="http://schemas.openxmlformats.org/officeDocument/2006/relationships/worksheet" Target="worksheets/sheet46.xml"/><Relationship Id="rId45" Type="http://schemas.openxmlformats.org/officeDocument/2006/relationships/worksheet" Target="worksheets/sheet47.xml"/><Relationship Id="rId46" Type="http://schemas.openxmlformats.org/officeDocument/2006/relationships/worksheet" Target="worksheets/sheet48.xml"/><Relationship Id="rId47" Type="http://schemas.openxmlformats.org/officeDocument/2006/relationships/worksheet" Target="worksheets/sheet49.xml"/><Relationship Id="rId48" Type="http://schemas.openxmlformats.org/officeDocument/2006/relationships/worksheet" Target="worksheets/sheet51.xml"/><Relationship Id="rId49" Type="http://schemas.openxmlformats.org/officeDocument/2006/relationships/worksheet" Target="worksheets/sheet52.xml"/><Relationship Id="rId50" Type="http://schemas.openxmlformats.org/officeDocument/2006/relationships/worksheet" Target="worksheets/sheet53.xml"/><Relationship Id="rId51" Type="http://schemas.openxmlformats.org/officeDocument/2006/relationships/worksheet" Target="worksheets/sheet54.xml"/><Relationship Id="rId52" Type="http://schemas.openxmlformats.org/officeDocument/2006/relationships/worksheet" Target="worksheets/sheet55.xml"/><Relationship Id="rId53" Type="http://schemas.openxmlformats.org/officeDocument/2006/relationships/worksheet" Target="worksheets/sheet56.xml"/><Relationship Id="rId54" Type="http://schemas.openxmlformats.org/officeDocument/2006/relationships/worksheet" Target="worksheets/sheet57.xml"/><Relationship Id="rId55" Type="http://schemas.openxmlformats.org/officeDocument/2006/relationships/worksheet" Target="worksheets/sheet58.xml"/><Relationship Id="rId56" Type="http://schemas.openxmlformats.org/officeDocument/2006/relationships/worksheet" Target="worksheets/sheet59.xml"/><Relationship Id="rId57" Type="http://schemas.openxmlformats.org/officeDocument/2006/relationships/worksheet" Target="worksheets/sheet60.xml"/><Relationship Id="rId58" Type="http://schemas.openxmlformats.org/officeDocument/2006/relationships/worksheet" Target="worksheets/sheet61.xml"/><Relationship Id="rId59" Type="http://schemas.openxmlformats.org/officeDocument/2006/relationships/worksheet" Target="worksheets/sheet62.xml"/><Relationship Id="rId60" Type="http://schemas.openxmlformats.org/officeDocument/2006/relationships/worksheet" Target="worksheets/sheet71.xml"/><Relationship Id="rId61"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363303312471378"/>
          <c:y val="0.0734771009337483"/>
          <c:w val="0.759578690276294"/>
          <c:h val="0.794019564250778"/>
        </c:manualLayout>
      </c:layout>
      <c:barChart>
        <c:barDir val="col"/>
        <c:grouping val="stacked"/>
        <c:varyColors val="0"/>
        <c:ser>
          <c:idx val="0"/>
          <c:order val="0"/>
          <c:tx>
            <c:strRef>
              <c:f>'5.1.1 NewTruck market-Country'!$A$8:$C$8</c:f>
              <c:strCache>
                <c:ptCount val="1"/>
                <c:pt idx="0">
                  <c:v>GVW between 6 - 15 ton</c:v>
                </c:pt>
              </c:strCache>
            </c:strRef>
          </c:tx>
          <c:spPr>
            <a:solidFill>
              <a:srgbClr val="8080ff"/>
            </a:solidFill>
            <a:ln w="12600">
              <a:solidFill>
                <a:srgbClr val="000000"/>
              </a:solidFill>
              <a:round/>
            </a:ln>
          </c:spPr>
          <c:invertIfNegative val="0"/>
          <c:dPt>
            <c:idx val="0"/>
            <c:invertIfNegative val="0"/>
            <c:spPr>
              <a:solidFill>
                <a:srgbClr val="69ffff"/>
              </a:solidFill>
              <a:ln w="12600">
                <a:solidFill>
                  <a:srgbClr val="000000"/>
                </a:solidFill>
                <a:round/>
              </a:ln>
            </c:spPr>
          </c:dPt>
          <c:dPt>
            <c:idx val="1"/>
            <c:invertIfNegative val="0"/>
            <c:spPr>
              <a:solidFill>
                <a:srgbClr val="69ffff"/>
              </a:solidFill>
              <a:ln w="12600">
                <a:solidFill>
                  <a:srgbClr val="000000"/>
                </a:solidFill>
                <a:round/>
              </a:ln>
            </c:spPr>
          </c:dPt>
          <c:dPt>
            <c:idx val="2"/>
            <c:invertIfNegative val="0"/>
            <c:spPr>
              <a:solidFill>
                <a:srgbClr val="69ffff"/>
              </a:solidFill>
              <a:ln w="12600">
                <a:solidFill>
                  <a:srgbClr val="000000"/>
                </a:solidFill>
                <a:round/>
              </a:ln>
            </c:spPr>
          </c:dPt>
          <c:dLbls>
            <c:numFmt formatCode="#,##0" sourceLinked="1"/>
            <c:dLbl>
              <c:idx val="0"/>
              <c:dLblPos val="ctr"/>
              <c:showLegendKey val="0"/>
              <c:showVal val="0"/>
              <c:showCatName val="0"/>
              <c:showSerName val="0"/>
              <c:showPercent val="0"/>
            </c:dLbl>
            <c:dLbl>
              <c:idx val="1"/>
              <c:dLblPos val="ctr"/>
              <c:showLegendKey val="0"/>
              <c:showVal val="0"/>
              <c:showCatName val="0"/>
              <c:showSerName val="0"/>
              <c:showPercent val="0"/>
            </c:dLbl>
            <c:dLbl>
              <c:idx val="2"/>
              <c:dLblPos val="ctr"/>
              <c:showLegendKey val="0"/>
              <c:showVal val="0"/>
              <c:showCatName val="0"/>
              <c:showSerName val="0"/>
              <c:showPercent val="0"/>
            </c:dLbl>
            <c:dLblPos val="ctr"/>
            <c:showLegendKey val="0"/>
            <c:showVal val="0"/>
            <c:showCatName val="0"/>
            <c:showSerName val="0"/>
            <c:showPercent val="0"/>
            <c:showLeaderLines val="0"/>
          </c:dLbls>
          <c:cat>
            <c:strRef>
              <c:f>'5.1.1 NewTruck market-Country'!$D$7:$K$7</c:f>
              <c:strCache>
                <c:ptCount val="8"/>
                <c:pt idx="0">
                  <c:v>2015</c:v>
                </c:pt>
                <c:pt idx="1">
                  <c:v>2016</c:v>
                </c:pt>
                <c:pt idx="2">
                  <c:v>2017</c:v>
                </c:pt>
                <c:pt idx="3">
                  <c:v>2018</c:v>
                </c:pt>
                <c:pt idx="4">
                  <c:v>2019</c:v>
                </c:pt>
                <c:pt idx="5">
                  <c:v>2020</c:v>
                </c:pt>
                <c:pt idx="6">
                  <c:v>2021</c:v>
                </c:pt>
                <c:pt idx="7">
                  <c:v>2022</c:v>
                </c:pt>
              </c:strCache>
            </c:strRef>
          </c:cat>
          <c:val>
            <c:numRef>
              <c:f>'5.1.1 NewTruck market-Country'!$D$8:$K$8</c:f>
              <c:numCache>
                <c:formatCode>General</c:formatCode>
                <c:ptCount val="8"/>
                <c:pt idx="0">
                  <c:v>0</c:v>
                </c:pt>
                <c:pt idx="1">
                  <c:v>0</c:v>
                </c:pt>
                <c:pt idx="2">
                  <c:v>0</c:v>
                </c:pt>
                <c:pt idx="3">
                  <c:v>0</c:v>
                </c:pt>
                <c:pt idx="4">
                  <c:v>0</c:v>
                </c:pt>
                <c:pt idx="5">
                  <c:v>0</c:v>
                </c:pt>
                <c:pt idx="6">
                  <c:v>0</c:v>
                </c:pt>
                <c:pt idx="7">
                  <c:v>0</c:v>
                </c:pt>
              </c:numCache>
            </c:numRef>
          </c:val>
        </c:ser>
        <c:ser>
          <c:idx val="1"/>
          <c:order val="1"/>
          <c:tx>
            <c:strRef>
              <c:f>'5.1.1 NewTruck market-Country'!$A$9:$C$9</c:f>
              <c:strCache>
                <c:ptCount val="1"/>
                <c:pt idx="0">
                  <c:v>GVW over 15 ton</c:v>
                </c:pt>
              </c:strCache>
            </c:strRef>
          </c:tx>
          <c:spPr>
            <a:solidFill>
              <a:srgbClr val="800080"/>
            </a:solidFill>
            <a:ln w="12600">
              <a:solidFill>
                <a:srgbClr val="000000"/>
              </a:solidFill>
              <a:round/>
            </a:ln>
          </c:spPr>
          <c:invertIfNegative val="0"/>
          <c:dLbls>
            <c:numFmt formatCode="#,##0" sourceLinked="1"/>
            <c:dLblPos val="ctr"/>
            <c:showLegendKey val="0"/>
            <c:showVal val="0"/>
            <c:showCatName val="0"/>
            <c:showSerName val="0"/>
            <c:showPercent val="0"/>
            <c:showLeaderLines val="0"/>
          </c:dLbls>
          <c:cat>
            <c:strRef>
              <c:f>'5.1.1 NewTruck market-Country'!$D$7:$K$7</c:f>
              <c:strCache>
                <c:ptCount val="8"/>
                <c:pt idx="0">
                  <c:v>2015</c:v>
                </c:pt>
                <c:pt idx="1">
                  <c:v>2016</c:v>
                </c:pt>
                <c:pt idx="2">
                  <c:v>2017</c:v>
                </c:pt>
                <c:pt idx="3">
                  <c:v>2018</c:v>
                </c:pt>
                <c:pt idx="4">
                  <c:v>2019</c:v>
                </c:pt>
                <c:pt idx="5">
                  <c:v>2020</c:v>
                </c:pt>
                <c:pt idx="6">
                  <c:v>2021</c:v>
                </c:pt>
                <c:pt idx="7">
                  <c:v>2022</c:v>
                </c:pt>
              </c:strCache>
            </c:strRef>
          </c:cat>
          <c:val>
            <c:numRef>
              <c:f>'5.1.1 NewTruck market-Country'!$D$9:$K$9</c:f>
              <c:numCache>
                <c:formatCode>General</c:formatCode>
                <c:ptCount val="8"/>
                <c:pt idx="0">
                  <c:v>0</c:v>
                </c:pt>
                <c:pt idx="1">
                  <c:v>0</c:v>
                </c:pt>
                <c:pt idx="2">
                  <c:v>0</c:v>
                </c:pt>
                <c:pt idx="3">
                  <c:v>0</c:v>
                </c:pt>
                <c:pt idx="4">
                  <c:v>0</c:v>
                </c:pt>
                <c:pt idx="5">
                  <c:v>0</c:v>
                </c:pt>
                <c:pt idx="6">
                  <c:v>0</c:v>
                </c:pt>
                <c:pt idx="7">
                  <c:v>0</c:v>
                </c:pt>
              </c:numCache>
            </c:numRef>
          </c:val>
        </c:ser>
        <c:gapWidth val="150"/>
        <c:overlap val="100"/>
        <c:axId val="33328950"/>
        <c:axId val="96846731"/>
      </c:barChart>
      <c:catAx>
        <c:axId val="33328950"/>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1025" spc="-1" strike="noStrike">
                <a:solidFill>
                  <a:srgbClr val="000000"/>
                </a:solidFill>
                <a:latin typeface="Arial"/>
                <a:ea typeface="Arial"/>
              </a:defRPr>
            </a:pPr>
          </a:p>
        </c:txPr>
        <c:crossAx val="96846731"/>
        <c:crosses val="autoZero"/>
        <c:auto val="1"/>
        <c:lblAlgn val="ctr"/>
        <c:lblOffset val="100"/>
      </c:catAx>
      <c:valAx>
        <c:axId val="96846731"/>
        <c:scaling>
          <c:orientation val="minMax"/>
        </c:scaling>
        <c:delete val="0"/>
        <c:axPos val="l"/>
        <c:majorGridlines>
          <c:spPr>
            <a:ln w="3240">
              <a:solidFill>
                <a:srgbClr val="000000"/>
              </a:solidFill>
              <a:round/>
            </a:ln>
          </c:spPr>
        </c:majorGridlines>
        <c:numFmt formatCode="#,##0" sourceLinked="0"/>
        <c:majorTickMark val="out"/>
        <c:minorTickMark val="none"/>
        <c:tickLblPos val="nextTo"/>
        <c:spPr>
          <a:ln w="3240">
            <a:solidFill>
              <a:srgbClr val="000000"/>
            </a:solidFill>
            <a:round/>
          </a:ln>
        </c:spPr>
        <c:txPr>
          <a:bodyPr/>
          <a:lstStyle/>
          <a:p>
            <a:pPr>
              <a:defRPr b="0" sz="1025" spc="-1" strike="noStrike">
                <a:solidFill>
                  <a:srgbClr val="000000"/>
                </a:solidFill>
                <a:latin typeface="Arial"/>
                <a:ea typeface="Arial"/>
              </a:defRPr>
            </a:pPr>
          </a:p>
        </c:txPr>
        <c:crossAx val="33328950"/>
        <c:crosses val="autoZero"/>
      </c:valAx>
      <c:spPr>
        <a:solidFill>
          <a:srgbClr val="c0c0c0"/>
        </a:solidFill>
        <a:ln w="12600">
          <a:solidFill>
            <a:srgbClr val="808080"/>
          </a:solidFill>
          <a:round/>
        </a:ln>
      </c:spPr>
    </c:plotArea>
    <c:legend>
      <c:layout>
        <c:manualLayout>
          <c:xMode val="edge"/>
          <c:yMode val="edge"/>
          <c:x val="0.806624828947664"/>
          <c:y val="0.467647676393392"/>
          <c:w val="0.189102788433497"/>
          <c:h val="0.132353249961402"/>
        </c:manualLayout>
      </c:layout>
      <c:spPr>
        <a:solidFill>
          <a:srgbClr val="ffffff"/>
        </a:solidFill>
        <a:ln w="3240">
          <a:solidFill>
            <a:srgbClr val="000000"/>
          </a:solidFill>
          <a:round/>
        </a:ln>
      </c:spPr>
      <c:txPr>
        <a:bodyPr/>
        <a:lstStyle/>
        <a:p>
          <a:pPr>
            <a:defRPr b="0" sz="860" spc="-1" strike="noStrike">
              <a:solidFill>
                <a:srgbClr val="000000"/>
              </a:solidFill>
              <a:latin typeface="Arial"/>
              <a:ea typeface="Arial"/>
            </a:defRPr>
          </a:pPr>
        </a:p>
      </c:txPr>
    </c:legend>
    <c:plotVisOnly val="1"/>
    <c:dispBlanksAs val="gap"/>
  </c:chart>
  <c:spPr>
    <a:solidFill>
      <a:srgbClr val="ffffff"/>
    </a:solidFill>
    <a:ln w="3240">
      <a:solidFill>
        <a:srgbClr val="000000"/>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315932664512838"/>
          <c:y val="0.0711673111087888"/>
          <c:w val="0.785410644448223"/>
          <c:h val="0.803323231267635"/>
        </c:manualLayout>
      </c:layout>
      <c:barChart>
        <c:barDir val="col"/>
        <c:grouping val="clustered"/>
        <c:varyColors val="0"/>
        <c:ser>
          <c:idx val="0"/>
          <c:order val="0"/>
          <c:tx>
            <c:strRef>
              <c:f>'5.1.2 NT market-Dealer area'!$A$8:$C$8</c:f>
              <c:strCache>
                <c:ptCount val="1"/>
                <c:pt idx="0">
                  <c:v>GVW between 6 - 15 ton</c:v>
                </c:pt>
              </c:strCache>
            </c:strRef>
          </c:tx>
          <c:spPr>
            <a:solidFill>
              <a:srgbClr val="8080ff"/>
            </a:solidFill>
            <a:ln w="12600">
              <a:solidFill>
                <a:srgbClr val="000000"/>
              </a:solidFill>
              <a:round/>
            </a:ln>
          </c:spPr>
          <c:invertIfNegative val="0"/>
          <c:dLbls>
            <c:numFmt formatCode="#,##0" sourceLinked="1"/>
            <c:dLblPos val="outEnd"/>
            <c:showLegendKey val="0"/>
            <c:showVal val="0"/>
            <c:showCatName val="0"/>
            <c:showSerName val="0"/>
            <c:showPercent val="0"/>
            <c:showLeaderLines val="0"/>
          </c:dLbls>
          <c:cat>
            <c:strRef>
              <c:f>'5.1.2 NT market-Dealer area'!$D$7:$K$7</c:f>
              <c:strCache>
                <c:ptCount val="8"/>
                <c:pt idx="0">
                  <c:v>2015</c:v>
                </c:pt>
                <c:pt idx="1">
                  <c:v>2016</c:v>
                </c:pt>
                <c:pt idx="2">
                  <c:v>2017</c:v>
                </c:pt>
                <c:pt idx="3">
                  <c:v>2018</c:v>
                </c:pt>
                <c:pt idx="4">
                  <c:v>2019</c:v>
                </c:pt>
                <c:pt idx="5">
                  <c:v>2020</c:v>
                </c:pt>
                <c:pt idx="6">
                  <c:v>2021</c:v>
                </c:pt>
                <c:pt idx="7">
                  <c:v>2022</c:v>
                </c:pt>
              </c:strCache>
            </c:strRef>
          </c:cat>
          <c:val>
            <c:numRef>
              <c:f>'5.1.2 NT market-Dealer area'!$D$8:$K$8</c:f>
              <c:numCache>
                <c:formatCode>General</c:formatCode>
                <c:ptCount val="8"/>
                <c:pt idx="0">
                  <c:v>0</c:v>
                </c:pt>
                <c:pt idx="1">
                  <c:v>0</c:v>
                </c:pt>
                <c:pt idx="2">
                  <c:v>0</c:v>
                </c:pt>
                <c:pt idx="3">
                  <c:v>0</c:v>
                </c:pt>
                <c:pt idx="4">
                  <c:v>0</c:v>
                </c:pt>
                <c:pt idx="5">
                  <c:v>0</c:v>
                </c:pt>
                <c:pt idx="6">
                  <c:v>0</c:v>
                </c:pt>
                <c:pt idx="7">
                  <c:v>0</c:v>
                </c:pt>
              </c:numCache>
            </c:numRef>
          </c:val>
        </c:ser>
        <c:ser>
          <c:idx val="1"/>
          <c:order val="1"/>
          <c:tx>
            <c:strRef>
              <c:f>'5.1.2 NT market-Dealer area'!$A$9</c:f>
              <c:strCache>
                <c:ptCount val="1"/>
                <c:pt idx="0">
                  <c:v>GVW over 15 ton</c:v>
                </c:pt>
              </c:strCache>
            </c:strRef>
          </c:tx>
          <c:spPr>
            <a:solidFill>
              <a:srgbClr val="802060"/>
            </a:solidFill>
            <a:ln w="12600">
              <a:solidFill>
                <a:srgbClr val="000000"/>
              </a:solidFill>
              <a:round/>
            </a:ln>
          </c:spPr>
          <c:invertIfNegative val="0"/>
          <c:dLbls>
            <c:numFmt formatCode="#,##0" sourceLinked="1"/>
            <c:dLblPos val="outEnd"/>
            <c:showLegendKey val="0"/>
            <c:showVal val="0"/>
            <c:showCatName val="0"/>
            <c:showSerName val="0"/>
            <c:showPercent val="0"/>
            <c:showLeaderLines val="0"/>
          </c:dLbls>
          <c:cat>
            <c:strRef>
              <c:f>'5.1.2 NT market-Dealer area'!$D$7:$K$7</c:f>
              <c:strCache>
                <c:ptCount val="8"/>
                <c:pt idx="0">
                  <c:v>2015</c:v>
                </c:pt>
                <c:pt idx="1">
                  <c:v>2016</c:v>
                </c:pt>
                <c:pt idx="2">
                  <c:v>2017</c:v>
                </c:pt>
                <c:pt idx="3">
                  <c:v>2018</c:v>
                </c:pt>
                <c:pt idx="4">
                  <c:v>2019</c:v>
                </c:pt>
                <c:pt idx="5">
                  <c:v>2020</c:v>
                </c:pt>
                <c:pt idx="6">
                  <c:v>2021</c:v>
                </c:pt>
                <c:pt idx="7">
                  <c:v>2022</c:v>
                </c:pt>
              </c:strCache>
            </c:strRef>
          </c:cat>
          <c:val>
            <c:numRef>
              <c:f>'5.1.2 NT market-Dealer area'!$D$9:$K$9</c:f>
              <c:numCache>
                <c:formatCode>General</c:formatCode>
                <c:ptCount val="8"/>
                <c:pt idx="0">
                  <c:v>0</c:v>
                </c:pt>
                <c:pt idx="1">
                  <c:v>0</c:v>
                </c:pt>
                <c:pt idx="2">
                  <c:v>0</c:v>
                </c:pt>
                <c:pt idx="3">
                  <c:v>100</c:v>
                </c:pt>
                <c:pt idx="4">
                  <c:v>0</c:v>
                </c:pt>
                <c:pt idx="5">
                  <c:v>0</c:v>
                </c:pt>
                <c:pt idx="6">
                  <c:v>0</c:v>
                </c:pt>
                <c:pt idx="7">
                  <c:v>0</c:v>
                </c:pt>
              </c:numCache>
            </c:numRef>
          </c:val>
        </c:ser>
        <c:ser>
          <c:idx val="2"/>
          <c:order val="2"/>
          <c:tx>
            <c:strRef>
              <c:f>'5.1.2 NT market-Dealer area'!$A$10</c:f>
              <c:strCache>
                <c:ptCount val="1"/>
                <c:pt idx="0">
                  <c:v>Total</c:v>
                </c:pt>
              </c:strCache>
            </c:strRef>
          </c:tx>
          <c:spPr>
            <a:solidFill>
              <a:srgbClr val="ffffc0"/>
            </a:solidFill>
            <a:ln w="12600">
              <a:solidFill>
                <a:srgbClr val="000000"/>
              </a:solidFill>
              <a:round/>
            </a:ln>
          </c:spPr>
          <c:invertIfNegative val="0"/>
          <c:dLbls>
            <c:numFmt formatCode="#,##0" sourceLinked="1"/>
            <c:dLblPos val="outEnd"/>
            <c:showLegendKey val="0"/>
            <c:showVal val="0"/>
            <c:showCatName val="0"/>
            <c:showSerName val="0"/>
            <c:showPercent val="0"/>
            <c:showLeaderLines val="0"/>
          </c:dLbls>
          <c:cat>
            <c:strRef>
              <c:f>'5.1.2 NT market-Dealer area'!$D$7:$K$7</c:f>
              <c:strCache>
                <c:ptCount val="8"/>
                <c:pt idx="0">
                  <c:v>2015</c:v>
                </c:pt>
                <c:pt idx="1">
                  <c:v>2016</c:v>
                </c:pt>
                <c:pt idx="2">
                  <c:v>2017</c:v>
                </c:pt>
                <c:pt idx="3">
                  <c:v>2018</c:v>
                </c:pt>
                <c:pt idx="4">
                  <c:v>2019</c:v>
                </c:pt>
                <c:pt idx="5">
                  <c:v>2020</c:v>
                </c:pt>
                <c:pt idx="6">
                  <c:v>2021</c:v>
                </c:pt>
                <c:pt idx="7">
                  <c:v>2022</c:v>
                </c:pt>
              </c:strCache>
            </c:strRef>
          </c:cat>
          <c:val>
            <c:numRef>
              <c:f>'5.1.2 NT market-Dealer area'!$D$10:$K$10</c:f>
              <c:numCache>
                <c:formatCode>General</c:formatCode>
                <c:ptCount val="8"/>
                <c:pt idx="0">
                  <c:v>0</c:v>
                </c:pt>
                <c:pt idx="1">
                  <c:v>0</c:v>
                </c:pt>
                <c:pt idx="2">
                  <c:v>0</c:v>
                </c:pt>
                <c:pt idx="3">
                  <c:v>100</c:v>
                </c:pt>
                <c:pt idx="4">
                  <c:v>0</c:v>
                </c:pt>
                <c:pt idx="5">
                  <c:v>0</c:v>
                </c:pt>
                <c:pt idx="6">
                  <c:v>0</c:v>
                </c:pt>
                <c:pt idx="7">
                  <c:v>0</c:v>
                </c:pt>
              </c:numCache>
            </c:numRef>
          </c:val>
        </c:ser>
        <c:gapWidth val="150"/>
        <c:overlap val="0"/>
        <c:axId val="73294714"/>
        <c:axId val="90741778"/>
      </c:barChart>
      <c:catAx>
        <c:axId val="73294714"/>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1000" spc="-1" strike="noStrike">
                <a:solidFill>
                  <a:srgbClr val="000000"/>
                </a:solidFill>
                <a:latin typeface="Arial"/>
                <a:ea typeface="Arial"/>
              </a:defRPr>
            </a:pPr>
          </a:p>
        </c:txPr>
        <c:crossAx val="90741778"/>
        <c:crosses val="autoZero"/>
        <c:auto val="1"/>
        <c:lblAlgn val="ctr"/>
        <c:lblOffset val="100"/>
      </c:catAx>
      <c:valAx>
        <c:axId val="90741778"/>
        <c:scaling>
          <c:orientation val="minMax"/>
        </c:scaling>
        <c:delete val="0"/>
        <c:axPos val="l"/>
        <c:majorGridlines>
          <c:spPr>
            <a:ln w="3240">
              <a:solidFill>
                <a:srgbClr val="000000"/>
              </a:solidFill>
              <a:round/>
            </a:ln>
          </c:spPr>
        </c:majorGridlines>
        <c:numFmt formatCode="#,##0" sourceLinked="0"/>
        <c:majorTickMark val="out"/>
        <c:minorTickMark val="none"/>
        <c:tickLblPos val="nextTo"/>
        <c:spPr>
          <a:ln w="3240">
            <a:solidFill>
              <a:srgbClr val="000000"/>
            </a:solidFill>
            <a:round/>
          </a:ln>
        </c:spPr>
        <c:txPr>
          <a:bodyPr/>
          <a:lstStyle/>
          <a:p>
            <a:pPr>
              <a:defRPr b="0" sz="1000" spc="-1" strike="noStrike">
                <a:solidFill>
                  <a:srgbClr val="000000"/>
                </a:solidFill>
                <a:latin typeface="Arial"/>
                <a:ea typeface="Arial"/>
              </a:defRPr>
            </a:pPr>
          </a:p>
        </c:txPr>
        <c:crossAx val="73294714"/>
        <c:crosses val="autoZero"/>
      </c:valAx>
      <c:spPr>
        <a:solidFill>
          <a:srgbClr val="c0c0c0"/>
        </a:solidFill>
        <a:ln w="12600">
          <a:solidFill>
            <a:srgbClr val="808080"/>
          </a:solidFill>
          <a:round/>
        </a:ln>
      </c:spPr>
    </c:plotArea>
    <c:legend>
      <c:layout>
        <c:manualLayout>
          <c:xMode val="edge"/>
          <c:yMode val="edge"/>
          <c:x val="0.831429371328586"/>
          <c:y val="0.401710598141044"/>
          <c:w val="0.155238195225597"/>
          <c:h val="0.182336780552004"/>
        </c:manualLayout>
      </c:layout>
      <c:spPr>
        <a:solidFill>
          <a:srgbClr val="ffffff"/>
        </a:solidFill>
        <a:ln w="3240">
          <a:solidFill>
            <a:srgbClr val="000000"/>
          </a:solidFill>
          <a:round/>
        </a:ln>
      </c:spPr>
      <c:txPr>
        <a:bodyPr/>
        <a:lstStyle/>
        <a:p>
          <a:pPr>
            <a:defRPr b="0" sz="845" spc="-1" strike="noStrike">
              <a:solidFill>
                <a:srgbClr val="000000"/>
              </a:solidFill>
              <a:latin typeface="Arial"/>
              <a:ea typeface="Arial"/>
            </a:defRPr>
          </a:pPr>
        </a:p>
      </c:txPr>
    </c:legend>
    <c:plotVisOnly val="1"/>
    <c:dispBlanksAs val="gap"/>
  </c:chart>
  <c:spPr>
    <a:solidFill>
      <a:srgbClr val="ffffff"/>
    </a:solidFill>
    <a:ln w="3240">
      <a:solidFill>
        <a:srgbClr val="000000"/>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317053896001264"/>
          <c:y val="0.0820317157505663"/>
          <c:w val="0.828165007112376"/>
          <c:h val="0.791701442708954"/>
        </c:manualLayout>
      </c:layout>
      <c:barChart>
        <c:barDir val="col"/>
        <c:grouping val="stacked"/>
        <c:varyColors val="0"/>
        <c:ser>
          <c:idx val="0"/>
          <c:order val="0"/>
          <c:tx>
            <c:strRef>
              <c:f>'5.2 UT market-Dealer area'!$A$8:$C$8</c:f>
              <c:strCache>
                <c:ptCount val="1"/>
                <c:pt idx="0">
                  <c:v>GVW between 6 - 15 ton</c:v>
                </c:pt>
              </c:strCache>
            </c:strRef>
          </c:tx>
          <c:spPr>
            <a:solidFill>
              <a:srgbClr val="8080ff"/>
            </a:solidFill>
            <a:ln w="12600">
              <a:solidFill>
                <a:srgbClr val="000000"/>
              </a:solidFill>
              <a:round/>
            </a:ln>
          </c:spPr>
          <c:invertIfNegative val="0"/>
          <c:dLbls>
            <c:numFmt formatCode="#,##0" sourceLinked="1"/>
            <c:dLblPos val="ctr"/>
            <c:showLegendKey val="0"/>
            <c:showVal val="0"/>
            <c:showCatName val="0"/>
            <c:showSerName val="0"/>
            <c:showPercent val="0"/>
            <c:showLeaderLines val="0"/>
          </c:dLbls>
          <c:cat>
            <c:strRef>
              <c:f>'5.2 UT market-Dealer area'!$D$7:$K$7</c:f>
              <c:strCache>
                <c:ptCount val="8"/>
                <c:pt idx="0">
                  <c:v>2015</c:v>
                </c:pt>
                <c:pt idx="1">
                  <c:v>2016</c:v>
                </c:pt>
                <c:pt idx="2">
                  <c:v>2017</c:v>
                </c:pt>
                <c:pt idx="3">
                  <c:v>2018</c:v>
                </c:pt>
                <c:pt idx="4">
                  <c:v>2019</c:v>
                </c:pt>
                <c:pt idx="5">
                  <c:v>2020</c:v>
                </c:pt>
                <c:pt idx="6">
                  <c:v>2021</c:v>
                </c:pt>
                <c:pt idx="7">
                  <c:v>2022</c:v>
                </c:pt>
              </c:strCache>
            </c:strRef>
          </c:cat>
          <c:val>
            <c:numRef>
              <c:f>'5.2 UT market-Dealer area'!$D$8:$K$8</c:f>
              <c:numCache>
                <c:formatCode>General</c:formatCode>
                <c:ptCount val="8"/>
                <c:pt idx="0">
                  <c:v>0</c:v>
                </c:pt>
                <c:pt idx="1">
                  <c:v>0</c:v>
                </c:pt>
                <c:pt idx="2">
                  <c:v>0</c:v>
                </c:pt>
                <c:pt idx="3">
                  <c:v>0</c:v>
                </c:pt>
                <c:pt idx="4">
                  <c:v>0</c:v>
                </c:pt>
                <c:pt idx="5">
                  <c:v>0</c:v>
                </c:pt>
                <c:pt idx="6">
                  <c:v>0</c:v>
                </c:pt>
                <c:pt idx="7">
                  <c:v>0</c:v>
                </c:pt>
              </c:numCache>
            </c:numRef>
          </c:val>
        </c:ser>
        <c:ser>
          <c:idx val="1"/>
          <c:order val="1"/>
          <c:tx>
            <c:strRef>
              <c:f>'5.2 UT market-Dealer area'!$A$9:$C$9</c:f>
              <c:strCache>
                <c:ptCount val="1"/>
                <c:pt idx="0">
                  <c:v>GVW over 15 ton</c:v>
                </c:pt>
              </c:strCache>
            </c:strRef>
          </c:tx>
          <c:spPr>
            <a:solidFill>
              <a:srgbClr val="802060"/>
            </a:solidFill>
            <a:ln w="12600">
              <a:solidFill>
                <a:srgbClr val="000000"/>
              </a:solidFill>
              <a:round/>
            </a:ln>
          </c:spPr>
          <c:invertIfNegative val="0"/>
          <c:dLbls>
            <c:numFmt formatCode="#,##0" sourceLinked="1"/>
            <c:dLblPos val="ctr"/>
            <c:showLegendKey val="0"/>
            <c:showVal val="0"/>
            <c:showCatName val="0"/>
            <c:showSerName val="0"/>
            <c:showPercent val="0"/>
            <c:showLeaderLines val="0"/>
          </c:dLbls>
          <c:cat>
            <c:strRef>
              <c:f>'5.2 UT market-Dealer area'!$D$7:$K$7</c:f>
              <c:strCache>
                <c:ptCount val="8"/>
                <c:pt idx="0">
                  <c:v>2015</c:v>
                </c:pt>
                <c:pt idx="1">
                  <c:v>2016</c:v>
                </c:pt>
                <c:pt idx="2">
                  <c:v>2017</c:v>
                </c:pt>
                <c:pt idx="3">
                  <c:v>2018</c:v>
                </c:pt>
                <c:pt idx="4">
                  <c:v>2019</c:v>
                </c:pt>
                <c:pt idx="5">
                  <c:v>2020</c:v>
                </c:pt>
                <c:pt idx="6">
                  <c:v>2021</c:v>
                </c:pt>
                <c:pt idx="7">
                  <c:v>2022</c:v>
                </c:pt>
              </c:strCache>
            </c:strRef>
          </c:cat>
          <c:val>
            <c:numRef>
              <c:f>'5.2 UT market-Dealer area'!$D$9:$K$9</c:f>
              <c:numCache>
                <c:formatCode>General</c:formatCode>
                <c:ptCount val="8"/>
                <c:pt idx="0">
                  <c:v>0</c:v>
                </c:pt>
                <c:pt idx="1">
                  <c:v>0</c:v>
                </c:pt>
                <c:pt idx="2">
                  <c:v>0</c:v>
                </c:pt>
                <c:pt idx="3">
                  <c:v>0</c:v>
                </c:pt>
                <c:pt idx="4">
                  <c:v>0</c:v>
                </c:pt>
                <c:pt idx="5">
                  <c:v>0</c:v>
                </c:pt>
                <c:pt idx="6">
                  <c:v>0</c:v>
                </c:pt>
                <c:pt idx="7">
                  <c:v>0</c:v>
                </c:pt>
              </c:numCache>
            </c:numRef>
          </c:val>
        </c:ser>
        <c:gapWidth val="150"/>
        <c:overlap val="100"/>
        <c:axId val="28505158"/>
        <c:axId val="54678325"/>
      </c:barChart>
      <c:catAx>
        <c:axId val="28505158"/>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800" spc="-1" strike="noStrike">
                <a:solidFill>
                  <a:srgbClr val="000000"/>
                </a:solidFill>
                <a:latin typeface="Arial"/>
                <a:ea typeface="Arial"/>
              </a:defRPr>
            </a:pPr>
          </a:p>
        </c:txPr>
        <c:crossAx val="54678325"/>
        <c:crosses val="autoZero"/>
        <c:auto val="1"/>
        <c:lblAlgn val="ctr"/>
        <c:lblOffset val="100"/>
      </c:catAx>
      <c:valAx>
        <c:axId val="54678325"/>
        <c:scaling>
          <c:orientation val="minMax"/>
        </c:scaling>
        <c:delete val="0"/>
        <c:axPos val="l"/>
        <c:majorGridlines>
          <c:spPr>
            <a:ln w="3240">
              <a:solidFill>
                <a:srgbClr val="000000"/>
              </a:solidFill>
              <a:round/>
            </a:ln>
          </c:spPr>
        </c:majorGridlines>
        <c:numFmt formatCode="#,##0" sourceLinked="0"/>
        <c:majorTickMark val="out"/>
        <c:minorTickMark val="none"/>
        <c:tickLblPos val="nextTo"/>
        <c:spPr>
          <a:ln w="3240">
            <a:solidFill>
              <a:srgbClr val="000000"/>
            </a:solidFill>
            <a:round/>
          </a:ln>
        </c:spPr>
        <c:txPr>
          <a:bodyPr/>
          <a:lstStyle/>
          <a:p>
            <a:pPr>
              <a:defRPr b="0" sz="800" spc="-1" strike="noStrike">
                <a:solidFill>
                  <a:srgbClr val="000000"/>
                </a:solidFill>
                <a:latin typeface="Arial"/>
                <a:ea typeface="Arial"/>
              </a:defRPr>
            </a:pPr>
          </a:p>
        </c:txPr>
        <c:crossAx val="28505158"/>
        <c:crosses val="autoZero"/>
      </c:valAx>
      <c:spPr>
        <a:solidFill>
          <a:srgbClr val="c0c0c0"/>
        </a:solidFill>
        <a:ln w="12600">
          <a:solidFill>
            <a:srgbClr val="808080"/>
          </a:solidFill>
          <a:round/>
        </a:ln>
      </c:spPr>
    </c:plotArea>
    <c:legend>
      <c:layout>
        <c:manualLayout>
          <c:xMode val="edge"/>
          <c:yMode val="edge"/>
          <c:x val="0.871366008764323"/>
          <c:y val="0.479495268138802"/>
          <c:w val="0.122467052851874"/>
          <c:h val="0.126182965299684"/>
        </c:manualLayout>
      </c:layout>
      <c:spPr>
        <a:solidFill>
          <a:srgbClr val="ffffff"/>
        </a:solidFill>
        <a:ln w="3240">
          <a:solidFill>
            <a:srgbClr val="000000"/>
          </a:solidFill>
          <a:round/>
        </a:ln>
      </c:spPr>
      <c:txPr>
        <a:bodyPr/>
        <a:lstStyle/>
        <a:p>
          <a:pPr>
            <a:defRPr b="0" sz="675" spc="-1" strike="noStrike">
              <a:solidFill>
                <a:srgbClr val="000000"/>
              </a:solidFill>
              <a:latin typeface="Arial"/>
              <a:ea typeface="Arial"/>
            </a:defRPr>
          </a:pPr>
        </a:p>
      </c:txPr>
    </c:legend>
    <c:plotVisOnly val="1"/>
    <c:dispBlanksAs val="gap"/>
  </c:chart>
  <c:spPr>
    <a:solidFill>
      <a:srgbClr val="ffffff"/>
    </a:solidFill>
    <a:ln w="3240">
      <a:solidFill>
        <a:srgbClr val="000000"/>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288187927589756"/>
          <c:y val="0.090401912786064"/>
          <c:w val="0.842344251377369"/>
          <c:h val="0.755892064214961"/>
        </c:manualLayout>
      </c:layout>
      <c:barChart>
        <c:barDir val="col"/>
        <c:grouping val="clustered"/>
        <c:varyColors val="0"/>
        <c:ser>
          <c:idx val="0"/>
          <c:order val="0"/>
          <c:tx>
            <c:strRef>
              <c:f>'5.3 Running Parc - Dealer Area'!$A$20:$B$20</c:f>
              <c:strCache>
                <c:ptCount val="1"/>
                <c:pt idx="0">
                  <c:v>7 years DAF</c:v>
                </c:pt>
              </c:strCache>
            </c:strRef>
          </c:tx>
          <c:spPr>
            <a:solidFill>
              <a:srgbClr val="a6caf0"/>
            </a:solidFill>
            <a:ln w="12600">
              <a:solidFill>
                <a:srgbClr val="000000"/>
              </a:solidFill>
              <a:round/>
            </a:ln>
          </c:spPr>
          <c:invertIfNegative val="0"/>
          <c:dLbls>
            <c:numFmt formatCode="#,##0" sourceLinked="1"/>
            <c:dLblPos val="outEnd"/>
            <c:showLegendKey val="0"/>
            <c:showVal val="0"/>
            <c:showCatName val="0"/>
            <c:showSerName val="0"/>
            <c:showPercent val="0"/>
            <c:showLeaderLines val="0"/>
          </c:dLbls>
          <c:cat>
            <c:strRef>
              <c:f>'5.3 Running Parc - Dealer Area'!$D$19:$G$19</c:f>
              <c:strCache>
                <c:ptCount val="4"/>
                <c:pt idx="0">
                  <c:v>2014</c:v>
                </c:pt>
                <c:pt idx="1">
                  <c:v>2015</c:v>
                </c:pt>
                <c:pt idx="2">
                  <c:v>2016</c:v>
                </c:pt>
                <c:pt idx="3">
                  <c:v>2017</c:v>
                </c:pt>
              </c:strCache>
            </c:strRef>
          </c:cat>
          <c:val>
            <c:numRef>
              <c:f>'5.3 Running Parc - Dealer Area'!$D$20:$G$20</c:f>
              <c:numCache>
                <c:formatCode>General</c:formatCode>
                <c:ptCount val="4"/>
                <c:pt idx="0">
                  <c:v>0</c:v>
                </c:pt>
                <c:pt idx="1">
                  <c:v>0</c:v>
                </c:pt>
                <c:pt idx="2">
                  <c:v>0</c:v>
                </c:pt>
                <c:pt idx="3">
                  <c:v>0</c:v>
                </c:pt>
              </c:numCache>
            </c:numRef>
          </c:val>
        </c:ser>
        <c:ser>
          <c:idx val="1"/>
          <c:order val="1"/>
          <c:tx>
            <c:strRef>
              <c:f>'5.3 Running Parc - Dealer Area'!$A$21:$B$21</c:f>
              <c:strCache>
                <c:ptCount val="1"/>
                <c:pt idx="0">
                  <c:v>10 years DAF</c:v>
                </c:pt>
              </c:strCache>
            </c:strRef>
          </c:tx>
          <c:spPr>
            <a:solidFill>
              <a:srgbClr val="0000ff"/>
            </a:solidFill>
            <a:ln w="12600">
              <a:solidFill>
                <a:srgbClr val="000000"/>
              </a:solidFill>
              <a:round/>
            </a:ln>
          </c:spPr>
          <c:invertIfNegative val="0"/>
          <c:dLbls>
            <c:numFmt formatCode="#,##0" sourceLinked="1"/>
            <c:dLblPos val="outEnd"/>
            <c:showLegendKey val="0"/>
            <c:showVal val="0"/>
            <c:showCatName val="0"/>
            <c:showSerName val="0"/>
            <c:showPercent val="0"/>
            <c:showLeaderLines val="0"/>
          </c:dLbls>
          <c:cat>
            <c:strRef>
              <c:f>'5.3 Running Parc - Dealer Area'!$D$19:$G$19</c:f>
              <c:strCache>
                <c:ptCount val="4"/>
                <c:pt idx="0">
                  <c:v>2014</c:v>
                </c:pt>
                <c:pt idx="1">
                  <c:v>2015</c:v>
                </c:pt>
                <c:pt idx="2">
                  <c:v>2016</c:v>
                </c:pt>
                <c:pt idx="3">
                  <c:v>2017</c:v>
                </c:pt>
              </c:strCache>
            </c:strRef>
          </c:cat>
          <c:val>
            <c:numRef>
              <c:f>'5.3 Running Parc - Dealer Area'!$D$21:$G$21</c:f>
              <c:numCache>
                <c:formatCode>General</c:formatCode>
                <c:ptCount val="4"/>
                <c:pt idx="0">
                  <c:v>0</c:v>
                </c:pt>
                <c:pt idx="1">
                  <c:v>0</c:v>
                </c:pt>
                <c:pt idx="2">
                  <c:v>0</c:v>
                </c:pt>
                <c:pt idx="3">
                  <c:v>0</c:v>
                </c:pt>
              </c:numCache>
            </c:numRef>
          </c:val>
        </c:ser>
        <c:gapWidth val="150"/>
        <c:overlap val="0"/>
        <c:axId val="57581054"/>
        <c:axId val="94174928"/>
      </c:barChart>
      <c:catAx>
        <c:axId val="57581054"/>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1000" spc="-1" strike="noStrike">
                <a:solidFill>
                  <a:srgbClr val="000000"/>
                </a:solidFill>
                <a:latin typeface="Trebuchet MS"/>
                <a:ea typeface="Trebuchet MS"/>
              </a:defRPr>
            </a:pPr>
          </a:p>
        </c:txPr>
        <c:crossAx val="94174928"/>
        <c:crosses val="autoZero"/>
        <c:auto val="1"/>
        <c:lblAlgn val="ctr"/>
        <c:lblOffset val="100"/>
      </c:catAx>
      <c:valAx>
        <c:axId val="94174928"/>
        <c:scaling>
          <c:orientation val="minMax"/>
        </c:scaling>
        <c:delete val="0"/>
        <c:axPos val="l"/>
        <c:majorGridlines>
          <c:spPr>
            <a:ln w="3240">
              <a:solidFill>
                <a:srgbClr val="000000"/>
              </a:solidFill>
              <a:round/>
            </a:ln>
          </c:spPr>
        </c:majorGridlines>
        <c:numFmt formatCode="#,##0" sourceLinked="0"/>
        <c:majorTickMark val="out"/>
        <c:minorTickMark val="none"/>
        <c:tickLblPos val="nextTo"/>
        <c:spPr>
          <a:ln w="3240">
            <a:solidFill>
              <a:srgbClr val="000000"/>
            </a:solidFill>
            <a:round/>
          </a:ln>
        </c:spPr>
        <c:txPr>
          <a:bodyPr/>
          <a:lstStyle/>
          <a:p>
            <a:pPr>
              <a:defRPr b="0" sz="1000" spc="-1" strike="noStrike">
                <a:solidFill>
                  <a:srgbClr val="000000"/>
                </a:solidFill>
                <a:latin typeface="Trebuchet MS"/>
                <a:ea typeface="Trebuchet MS"/>
              </a:defRPr>
            </a:pPr>
          </a:p>
        </c:txPr>
        <c:crossAx val="57581054"/>
        <c:crosses val="autoZero"/>
      </c:valAx>
      <c:spPr>
        <a:solidFill>
          <a:srgbClr val="c0c0c0"/>
        </a:solidFill>
        <a:ln w="12600">
          <a:solidFill>
            <a:srgbClr val="808080"/>
          </a:solidFill>
          <a:round/>
        </a:ln>
      </c:spPr>
    </c:plotArea>
    <c:legend>
      <c:layout>
        <c:manualLayout>
          <c:xMode val="edge"/>
          <c:yMode val="edge"/>
          <c:x val="0.883050847457627"/>
          <c:y val="0.328313253012049"/>
          <c:w val="0.111016949152542"/>
          <c:h val="0.280120481927712"/>
        </c:manualLayout>
      </c:layout>
      <c:spPr>
        <a:solidFill>
          <a:srgbClr val="ffffff"/>
        </a:solidFill>
        <a:ln w="3240">
          <a:solidFill>
            <a:srgbClr val="000000"/>
          </a:solidFill>
          <a:round/>
        </a:ln>
      </c:spPr>
      <c:txPr>
        <a:bodyPr/>
        <a:lstStyle/>
        <a:p>
          <a:pPr>
            <a:defRPr b="0" sz="845" spc="-1" strike="noStrike">
              <a:solidFill>
                <a:srgbClr val="000000"/>
              </a:solidFill>
              <a:latin typeface="Trebuchet MS"/>
              <a:ea typeface="Trebuchet MS"/>
            </a:defRPr>
          </a:pPr>
        </a:p>
      </c:txPr>
    </c:legend>
    <c:plotVisOnly val="1"/>
    <c:dispBlanksAs val="gap"/>
  </c:chart>
  <c:spPr>
    <a:solidFill>
      <a:srgbClr val="ffffff"/>
    </a:solidFill>
    <a:ln w="3240">
      <a:solidFill>
        <a:srgbClr val="000000"/>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0000"/>
                </a:solidFill>
                <a:latin typeface="Arial"/>
                <a:ea typeface="Arial"/>
              </a:defRPr>
            </a:pPr>
            <a:r>
              <a:rPr b="1" sz="1000" spc="-1" strike="noStrike">
                <a:solidFill>
                  <a:srgbClr val="000000"/>
                </a:solidFill>
                <a:latin typeface="Arial"/>
                <a:ea typeface="Arial"/>
              </a:rPr>
              <a:t>Market shares % 6-15 ton</a:t>
            </a:r>
          </a:p>
        </c:rich>
      </c:tx>
      <c:layout>
        <c:manualLayout>
          <c:xMode val="edge"/>
          <c:yMode val="edge"/>
          <c:x val="0.430702750441585"/>
          <c:y val="0.0406947045802826"/>
        </c:manualLayout>
      </c:layout>
      <c:overlay val="0"/>
      <c:spPr>
        <a:noFill/>
        <a:ln w="25560">
          <a:noFill/>
        </a:ln>
      </c:spPr>
    </c:title>
    <c:autoTitleDeleted val="0"/>
    <c:plotArea>
      <c:layout>
        <c:manualLayout>
          <c:layoutTarget val="inner"/>
          <c:xMode val="edge"/>
          <c:yMode val="edge"/>
          <c:x val="0.0564912944738834"/>
          <c:y val="0.162097735399285"/>
          <c:w val="0.872886701993439"/>
          <c:h val="0.594415120040865"/>
        </c:manualLayout>
      </c:layout>
      <c:barChart>
        <c:barDir val="col"/>
        <c:grouping val="clustered"/>
        <c:varyColors val="0"/>
        <c:ser>
          <c:idx val="0"/>
          <c:order val="0"/>
          <c:tx>
            <c:strRef>
              <c:f>'5.4.1 Competition in Area'!$A$34</c:f>
              <c:strCache>
                <c:ptCount val="1"/>
                <c:pt idx="0">
                  <c:v>DAF</c:v>
                </c:pt>
              </c:strCache>
            </c:strRef>
          </c:tx>
          <c:spPr>
            <a:solidFill>
              <a:srgbClr val="808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Area'!$C$34,'5.4.1 Competition in Area'!$F$34,'5.4.1 Competition in Area'!$I$34</c:f>
              <c:numCache>
                <c:formatCode>General</c:formatCode>
                <c:ptCount val="3"/>
                <c:pt idx="0">
                  <c:v>0</c:v>
                </c:pt>
                <c:pt idx="1">
                  <c:v>0</c:v>
                </c:pt>
                <c:pt idx="2">
                  <c:v>0</c:v>
                </c:pt>
              </c:numCache>
            </c:numRef>
          </c:val>
        </c:ser>
        <c:ser>
          <c:idx val="1"/>
          <c:order val="1"/>
          <c:tx>
            <c:strRef>
              <c:f>'5.4.1 Competition in Area'!$A$35</c:f>
              <c:strCache>
                <c:ptCount val="1"/>
                <c:pt idx="0">
                  <c:v>Mercedes</c:v>
                </c:pt>
              </c:strCache>
            </c:strRef>
          </c:tx>
          <c:spPr>
            <a:solidFill>
              <a:srgbClr val="80206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Area'!$C$35,'5.4.1 Competition in Area'!$F$35,'5.4.1 Competition in Area'!$I$35</c:f>
              <c:numCache>
                <c:formatCode>General</c:formatCode>
                <c:ptCount val="3"/>
                <c:pt idx="0">
                  <c:v>0</c:v>
                </c:pt>
                <c:pt idx="1">
                  <c:v>0</c:v>
                </c:pt>
                <c:pt idx="2">
                  <c:v>0</c:v>
                </c:pt>
              </c:numCache>
            </c:numRef>
          </c:val>
        </c:ser>
        <c:ser>
          <c:idx val="2"/>
          <c:order val="2"/>
          <c:tx>
            <c:strRef>
              <c:f>'5.4.1 Competition in Area'!$A$36</c:f>
              <c:strCache>
                <c:ptCount val="1"/>
                <c:pt idx="0">
                  <c:v>Volvo</c:v>
                </c:pt>
              </c:strCache>
            </c:strRef>
          </c:tx>
          <c:spPr>
            <a:solidFill>
              <a:srgbClr val="ffff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Area'!$C$36,'5.4.1 Competition in Area'!$F$36,'5.4.1 Competition in Area'!$I$36</c:f>
              <c:numCache>
                <c:formatCode>General</c:formatCode>
                <c:ptCount val="3"/>
                <c:pt idx="0">
                  <c:v>0</c:v>
                </c:pt>
                <c:pt idx="1">
                  <c:v>0</c:v>
                </c:pt>
                <c:pt idx="2">
                  <c:v>0</c:v>
                </c:pt>
              </c:numCache>
            </c:numRef>
          </c:val>
        </c:ser>
        <c:ser>
          <c:idx val="3"/>
          <c:order val="3"/>
          <c:tx>
            <c:strRef>
              <c:f>'5.4.1 Competition in Area'!$A$37</c:f>
              <c:strCache>
                <c:ptCount val="1"/>
                <c:pt idx="0">
                  <c:v>Scania</c:v>
                </c:pt>
              </c:strCache>
            </c:strRef>
          </c:tx>
          <c:spPr>
            <a:solidFill>
              <a:srgbClr val="a0e0e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Area'!$C$37,'5.4.1 Competition in Area'!$F$37,'5.4.1 Competition in Area'!$I$37</c:f>
              <c:numCache>
                <c:formatCode>General</c:formatCode>
                <c:ptCount val="3"/>
                <c:pt idx="0">
                  <c:v>0</c:v>
                </c:pt>
                <c:pt idx="1">
                  <c:v>0</c:v>
                </c:pt>
                <c:pt idx="2">
                  <c:v>0</c:v>
                </c:pt>
              </c:numCache>
            </c:numRef>
          </c:val>
        </c:ser>
        <c:ser>
          <c:idx val="4"/>
          <c:order val="4"/>
          <c:tx>
            <c:strRef>
              <c:f>'5.4.1 Competition in Area'!$A$38</c:f>
              <c:strCache>
                <c:ptCount val="1"/>
                <c:pt idx="0">
                  <c:v>Man</c:v>
                </c:pt>
              </c:strCache>
            </c:strRef>
          </c:tx>
          <c:spPr>
            <a:solidFill>
              <a:srgbClr val="600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Area'!$C$38,'5.4.1 Competition in Area'!$F$38,'5.4.1 Competition in Area'!$I$38</c:f>
              <c:numCache>
                <c:formatCode>General</c:formatCode>
                <c:ptCount val="3"/>
                <c:pt idx="0">
                  <c:v>0</c:v>
                </c:pt>
                <c:pt idx="1">
                  <c:v>0</c:v>
                </c:pt>
                <c:pt idx="2">
                  <c:v>0</c:v>
                </c:pt>
              </c:numCache>
            </c:numRef>
          </c:val>
        </c:ser>
        <c:ser>
          <c:idx val="5"/>
          <c:order val="5"/>
          <c:tx>
            <c:strRef>
              <c:f>'5.4.1 Competition in Area'!$A$39</c:f>
              <c:strCache>
                <c:ptCount val="1"/>
                <c:pt idx="0">
                  <c:v>Iveco</c:v>
                </c:pt>
              </c:strCache>
            </c:strRef>
          </c:tx>
          <c:spPr>
            <a:solidFill>
              <a:srgbClr val="ff8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Area'!$C$39,'5.4.1 Competition in Area'!$F$39,'5.4.1 Competition in Area'!$I$39</c:f>
              <c:numCache>
                <c:formatCode>General</c:formatCode>
                <c:ptCount val="3"/>
                <c:pt idx="0">
                  <c:v>0</c:v>
                </c:pt>
                <c:pt idx="1">
                  <c:v>0</c:v>
                </c:pt>
                <c:pt idx="2">
                  <c:v>0</c:v>
                </c:pt>
              </c:numCache>
            </c:numRef>
          </c:val>
        </c:ser>
        <c:ser>
          <c:idx val="6"/>
          <c:order val="6"/>
          <c:tx>
            <c:strRef>
              <c:f>'5.4.1 Competition in Area'!$A$40</c:f>
              <c:strCache>
                <c:ptCount val="1"/>
                <c:pt idx="0">
                  <c:v>Renault</c:v>
                </c:pt>
              </c:strCache>
            </c:strRef>
          </c:tx>
          <c:spPr>
            <a:solidFill>
              <a:srgbClr val="0080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Area'!$C$40,'5.4.1 Competition in Area'!$F$40,'5.4.1 Competition in Area'!$I$40</c:f>
              <c:numCache>
                <c:formatCode>General</c:formatCode>
                <c:ptCount val="3"/>
                <c:pt idx="0">
                  <c:v>0.08</c:v>
                </c:pt>
                <c:pt idx="1">
                  <c:v>0</c:v>
                </c:pt>
                <c:pt idx="2">
                  <c:v>0</c:v>
                </c:pt>
              </c:numCache>
            </c:numRef>
          </c:val>
        </c:ser>
        <c:ser>
          <c:idx val="7"/>
          <c:order val="7"/>
          <c:tx>
            <c:strRef>
              <c:f>'5.4.1 Competition in Area'!$A$41</c:f>
              <c:strCache>
                <c:ptCount val="1"/>
                <c:pt idx="0">
                  <c:v>Others</c:v>
                </c:pt>
              </c:strCache>
            </c:strRef>
          </c:tx>
          <c:spPr>
            <a:solidFill>
              <a:srgbClr val="c0c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Area'!$C$41,'5.4.1 Competition in Area'!$F$41,'5.4.1 Competition in Area'!$I$41</c:f>
              <c:numCache>
                <c:formatCode>General</c:formatCode>
                <c:ptCount val="3"/>
                <c:pt idx="0">
                  <c:v>0</c:v>
                </c:pt>
                <c:pt idx="1">
                  <c:v>0</c:v>
                </c:pt>
                <c:pt idx="2">
                  <c:v>0</c:v>
                </c:pt>
              </c:numCache>
            </c:numRef>
          </c:val>
        </c:ser>
        <c:gapWidth val="150"/>
        <c:overlap val="0"/>
        <c:axId val="65016298"/>
        <c:axId val="8615020"/>
      </c:barChart>
      <c:catAx>
        <c:axId val="65016298"/>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8615020"/>
        <c:crosses val="autoZero"/>
        <c:auto val="1"/>
        <c:lblAlgn val="ctr"/>
        <c:lblOffset val="100"/>
      </c:catAx>
      <c:valAx>
        <c:axId val="8615020"/>
        <c:scaling>
          <c:orientation val="minMax"/>
        </c:scaling>
        <c:delete val="0"/>
        <c:axPos val="l"/>
        <c:majorGridlines>
          <c:spPr>
            <a:ln w="3240">
              <a:solidFill>
                <a:srgbClr val="000000"/>
              </a:solidFill>
              <a:round/>
            </a:ln>
          </c:spPr>
        </c:majorGridlines>
        <c:numFmt formatCode="0.0%" sourceLinked="0"/>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65016298"/>
        <c:crosses val="autoZero"/>
      </c:valAx>
      <c:spPr>
        <a:solidFill>
          <a:srgbClr val="c0c0c0"/>
        </a:solidFill>
        <a:ln w="12600">
          <a:solidFill>
            <a:srgbClr val="808080"/>
          </a:solidFill>
          <a:round/>
        </a:ln>
      </c:spPr>
    </c:plotArea>
    <c:legend>
      <c:layout>
        <c:manualLayout>
          <c:xMode val="edge"/>
          <c:yMode val="edge"/>
          <c:x val="0.937334510150044"/>
          <c:y val="0.189190135016907"/>
          <c:w val="0.0556045895851721"/>
          <c:h val="0.545047409614339"/>
        </c:manualLayout>
      </c:layout>
      <c:spPr>
        <a:solidFill>
          <a:srgbClr val="ffffff"/>
        </a:solidFill>
        <a:ln w="3240">
          <a:solidFill>
            <a:srgbClr val="000000"/>
          </a:solidFill>
          <a:round/>
        </a:ln>
      </c:spPr>
      <c:txPr>
        <a:bodyPr/>
        <a:lstStyle/>
        <a:p>
          <a:pPr>
            <a:defRPr b="0" sz="675" spc="-1" strike="noStrike">
              <a:solidFill>
                <a:srgbClr val="000000"/>
              </a:solidFill>
              <a:latin typeface="Trebuchet MS"/>
              <a:ea typeface="Trebuchet MS"/>
            </a:defRPr>
          </a:pPr>
        </a:p>
      </c:txPr>
    </c:legend>
    <c:plotVisOnly val="1"/>
    <c:dispBlanksAs val="gap"/>
  </c:chart>
  <c:spPr>
    <a:solidFill>
      <a:srgbClr val="ffffff"/>
    </a:solidFill>
    <a:ln w="3240">
      <a:solidFill>
        <a:srgbClr val="000000"/>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0000"/>
                </a:solidFill>
                <a:latin typeface="Arial"/>
                <a:ea typeface="Arial"/>
              </a:defRPr>
            </a:pPr>
            <a:r>
              <a:rPr b="1" sz="1000" spc="-1" strike="noStrike">
                <a:solidFill>
                  <a:srgbClr val="000000"/>
                </a:solidFill>
                <a:latin typeface="Arial"/>
                <a:ea typeface="Arial"/>
              </a:rPr>
              <a:t>Market shares % &gt; 15 ton</a:t>
            </a:r>
          </a:p>
        </c:rich>
      </c:tx>
      <c:layout>
        <c:manualLayout>
          <c:xMode val="edge"/>
          <c:yMode val="edge"/>
          <c:x val="0.429467381027419"/>
          <c:y val="0.0405084745762712"/>
        </c:manualLayout>
      </c:layout>
      <c:overlay val="0"/>
      <c:spPr>
        <a:noFill/>
        <a:ln w="25560">
          <a:noFill/>
        </a:ln>
      </c:spPr>
    </c:title>
    <c:autoTitleDeleted val="0"/>
    <c:plotArea>
      <c:layout>
        <c:manualLayout>
          <c:layoutTarget val="inner"/>
          <c:xMode val="edge"/>
          <c:yMode val="edge"/>
          <c:x val="0.0564450047273873"/>
          <c:y val="0.13"/>
          <c:w val="0.872990860384494"/>
          <c:h val="0.650169491525424"/>
        </c:manualLayout>
      </c:layout>
      <c:barChart>
        <c:barDir val="col"/>
        <c:grouping val="clustered"/>
        <c:varyColors val="0"/>
        <c:ser>
          <c:idx val="0"/>
          <c:order val="0"/>
          <c:tx>
            <c:strRef>
              <c:f>'5.4.1 Competition in Area'!$A$34</c:f>
              <c:strCache>
                <c:ptCount val="1"/>
                <c:pt idx="0">
                  <c:v>DAF</c:v>
                </c:pt>
              </c:strCache>
            </c:strRef>
          </c:tx>
          <c:spPr>
            <a:solidFill>
              <a:srgbClr val="808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Area'!$D$34,'5.4.1 Competition in Area'!$G$34,'5.4.1 Competition in Area'!$J$34</c:f>
              <c:numCache>
                <c:formatCode>General</c:formatCode>
                <c:ptCount val="3"/>
                <c:pt idx="0">
                  <c:v>0</c:v>
                </c:pt>
                <c:pt idx="1">
                  <c:v>0</c:v>
                </c:pt>
                <c:pt idx="2">
                  <c:v>0</c:v>
                </c:pt>
              </c:numCache>
            </c:numRef>
          </c:val>
        </c:ser>
        <c:ser>
          <c:idx val="1"/>
          <c:order val="1"/>
          <c:tx>
            <c:strRef>
              <c:f>'5.4.1 Competition in Area'!$A$35</c:f>
              <c:strCache>
                <c:ptCount val="1"/>
                <c:pt idx="0">
                  <c:v>Mercedes</c:v>
                </c:pt>
              </c:strCache>
            </c:strRef>
          </c:tx>
          <c:spPr>
            <a:solidFill>
              <a:srgbClr val="80206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Area'!$D$35,'5.4.1 Competition in Area'!$G$35,'5.4.1 Competition in Area'!$J$35</c:f>
              <c:numCache>
                <c:formatCode>General</c:formatCode>
                <c:ptCount val="3"/>
                <c:pt idx="0">
                  <c:v>0</c:v>
                </c:pt>
                <c:pt idx="1">
                  <c:v>0</c:v>
                </c:pt>
                <c:pt idx="2">
                  <c:v>0</c:v>
                </c:pt>
              </c:numCache>
            </c:numRef>
          </c:val>
        </c:ser>
        <c:ser>
          <c:idx val="2"/>
          <c:order val="2"/>
          <c:tx>
            <c:strRef>
              <c:f>'5.4.1 Competition in Area'!$A$36</c:f>
              <c:strCache>
                <c:ptCount val="1"/>
                <c:pt idx="0">
                  <c:v>Volvo</c:v>
                </c:pt>
              </c:strCache>
            </c:strRef>
          </c:tx>
          <c:spPr>
            <a:solidFill>
              <a:srgbClr val="ffff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Area'!$D$36,'5.4.1 Competition in Area'!$G$36,'5.4.1 Competition in Area'!$J$36</c:f>
              <c:numCache>
                <c:formatCode>General</c:formatCode>
                <c:ptCount val="3"/>
                <c:pt idx="0">
                  <c:v>0</c:v>
                </c:pt>
                <c:pt idx="1">
                  <c:v>0</c:v>
                </c:pt>
                <c:pt idx="2">
                  <c:v>0</c:v>
                </c:pt>
              </c:numCache>
            </c:numRef>
          </c:val>
        </c:ser>
        <c:ser>
          <c:idx val="3"/>
          <c:order val="3"/>
          <c:tx>
            <c:strRef>
              <c:f>'5.4.1 Competition in Area'!$A$37</c:f>
              <c:strCache>
                <c:ptCount val="1"/>
                <c:pt idx="0">
                  <c:v>Scania</c:v>
                </c:pt>
              </c:strCache>
            </c:strRef>
          </c:tx>
          <c:spPr>
            <a:solidFill>
              <a:srgbClr val="a0e0e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Area'!$D$37,'5.4.1 Competition in Area'!$G$37,'5.4.1 Competition in Area'!$J$37</c:f>
              <c:numCache>
                <c:formatCode>General</c:formatCode>
                <c:ptCount val="3"/>
                <c:pt idx="0">
                  <c:v>0</c:v>
                </c:pt>
                <c:pt idx="1">
                  <c:v>0</c:v>
                </c:pt>
                <c:pt idx="2">
                  <c:v>0</c:v>
                </c:pt>
              </c:numCache>
            </c:numRef>
          </c:val>
        </c:ser>
        <c:ser>
          <c:idx val="4"/>
          <c:order val="4"/>
          <c:tx>
            <c:strRef>
              <c:f>'5.4.1 Competition in Area'!$A$38</c:f>
              <c:strCache>
                <c:ptCount val="1"/>
                <c:pt idx="0">
                  <c:v>Man</c:v>
                </c:pt>
              </c:strCache>
            </c:strRef>
          </c:tx>
          <c:spPr>
            <a:solidFill>
              <a:srgbClr val="600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Area'!$D$38,'5.4.1 Competition in Area'!$G$38,'5.4.1 Competition in Area'!$J$38</c:f>
              <c:numCache>
                <c:formatCode>General</c:formatCode>
                <c:ptCount val="3"/>
                <c:pt idx="0">
                  <c:v>0</c:v>
                </c:pt>
                <c:pt idx="1">
                  <c:v>0</c:v>
                </c:pt>
                <c:pt idx="2">
                  <c:v>0</c:v>
                </c:pt>
              </c:numCache>
            </c:numRef>
          </c:val>
        </c:ser>
        <c:ser>
          <c:idx val="5"/>
          <c:order val="5"/>
          <c:tx>
            <c:strRef>
              <c:f>'5.4.1 Competition in Area'!$A$39</c:f>
              <c:strCache>
                <c:ptCount val="1"/>
                <c:pt idx="0">
                  <c:v>Iveco</c:v>
                </c:pt>
              </c:strCache>
            </c:strRef>
          </c:tx>
          <c:spPr>
            <a:solidFill>
              <a:srgbClr val="ff8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Area'!$D$39,'5.4.1 Competition in Area'!$G$39,'5.4.1 Competition in Area'!$J$39</c:f>
              <c:numCache>
                <c:formatCode>General</c:formatCode>
                <c:ptCount val="3"/>
                <c:pt idx="0">
                  <c:v>0</c:v>
                </c:pt>
                <c:pt idx="1">
                  <c:v>0</c:v>
                </c:pt>
                <c:pt idx="2">
                  <c:v>0</c:v>
                </c:pt>
              </c:numCache>
            </c:numRef>
          </c:val>
        </c:ser>
        <c:ser>
          <c:idx val="6"/>
          <c:order val="6"/>
          <c:tx>
            <c:strRef>
              <c:f>'5.4.1 Competition in Area'!$A$40</c:f>
              <c:strCache>
                <c:ptCount val="1"/>
                <c:pt idx="0">
                  <c:v>Renault</c:v>
                </c:pt>
              </c:strCache>
            </c:strRef>
          </c:tx>
          <c:spPr>
            <a:solidFill>
              <a:srgbClr val="0080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Area'!$D$40,'5.4.1 Competition in Area'!$G$40,'5.4.1 Competition in Area'!$J$40</c:f>
              <c:numCache>
                <c:formatCode>General</c:formatCode>
                <c:ptCount val="3"/>
                <c:pt idx="0">
                  <c:v>0</c:v>
                </c:pt>
                <c:pt idx="1">
                  <c:v>0</c:v>
                </c:pt>
                <c:pt idx="2">
                  <c:v>0</c:v>
                </c:pt>
              </c:numCache>
            </c:numRef>
          </c:val>
        </c:ser>
        <c:ser>
          <c:idx val="7"/>
          <c:order val="7"/>
          <c:tx>
            <c:strRef>
              <c:f>'5.4.1 Competition in Area'!$A$41</c:f>
              <c:strCache>
                <c:ptCount val="1"/>
                <c:pt idx="0">
                  <c:v>Others</c:v>
                </c:pt>
              </c:strCache>
            </c:strRef>
          </c:tx>
          <c:spPr>
            <a:solidFill>
              <a:srgbClr val="c0c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Area'!$D$41,'5.4.1 Competition in Area'!$G$41,'5.4.1 Competition in Area'!$J$41</c:f>
              <c:numCache>
                <c:formatCode>General</c:formatCode>
                <c:ptCount val="3"/>
                <c:pt idx="0">
                  <c:v>0</c:v>
                </c:pt>
                <c:pt idx="1">
                  <c:v>0</c:v>
                </c:pt>
                <c:pt idx="2">
                  <c:v>0</c:v>
                </c:pt>
              </c:numCache>
            </c:numRef>
          </c:val>
        </c:ser>
        <c:gapWidth val="150"/>
        <c:overlap val="0"/>
        <c:axId val="67063547"/>
        <c:axId val="76284691"/>
      </c:barChart>
      <c:catAx>
        <c:axId val="67063547"/>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76284691"/>
        <c:crosses val="autoZero"/>
        <c:auto val="1"/>
        <c:lblAlgn val="ctr"/>
        <c:lblOffset val="100"/>
      </c:catAx>
      <c:valAx>
        <c:axId val="76284691"/>
        <c:scaling>
          <c:orientation val="minMax"/>
        </c:scaling>
        <c:delete val="0"/>
        <c:axPos val="l"/>
        <c:majorGridlines>
          <c:spPr>
            <a:ln w="3240">
              <a:solidFill>
                <a:srgbClr val="000000"/>
              </a:solidFill>
              <a:round/>
            </a:ln>
          </c:spPr>
        </c:majorGridlines>
        <c:numFmt formatCode="0.0%" sourceLinked="0"/>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67063547"/>
        <c:crosses val="autoZero"/>
      </c:valAx>
      <c:spPr>
        <a:solidFill>
          <a:srgbClr val="c0c0c0"/>
        </a:solidFill>
        <a:ln w="12600">
          <a:solidFill>
            <a:srgbClr val="808080"/>
          </a:solidFill>
          <a:round/>
        </a:ln>
      </c:spPr>
    </c:plotArea>
    <c:legend>
      <c:layout>
        <c:manualLayout>
          <c:xMode val="edge"/>
          <c:yMode val="edge"/>
          <c:x val="0.937390603952284"/>
          <c:y val="0.183856973035322"/>
          <c:w val="0.0555556481365755"/>
          <c:h val="0.542602309240493"/>
        </c:manualLayout>
      </c:layout>
      <c:spPr>
        <a:solidFill>
          <a:srgbClr val="ffffff"/>
        </a:solidFill>
        <a:ln w="3240">
          <a:solidFill>
            <a:srgbClr val="000000"/>
          </a:solidFill>
          <a:round/>
        </a:ln>
      </c:spPr>
      <c:txPr>
        <a:bodyPr/>
        <a:lstStyle/>
        <a:p>
          <a:pPr>
            <a:defRPr b="0" sz="675" spc="-1" strike="noStrike">
              <a:solidFill>
                <a:srgbClr val="000000"/>
              </a:solidFill>
              <a:latin typeface="Trebuchet MS"/>
              <a:ea typeface="Trebuchet MS"/>
            </a:defRPr>
          </a:pPr>
        </a:p>
      </c:txPr>
    </c:legend>
    <c:plotVisOnly val="1"/>
    <c:dispBlanksAs val="gap"/>
  </c:chart>
  <c:spPr>
    <a:solidFill>
      <a:srgbClr val="ffffff"/>
    </a:solidFill>
    <a:ln w="3240">
      <a:solidFill>
        <a:srgbClr val="000000"/>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0000"/>
                </a:solidFill>
                <a:latin typeface="Arial"/>
                <a:ea typeface="Arial"/>
              </a:defRPr>
            </a:pPr>
            <a:r>
              <a:rPr b="1" sz="1000" spc="-1" strike="noStrike">
                <a:solidFill>
                  <a:srgbClr val="000000"/>
                </a:solidFill>
                <a:latin typeface="Arial"/>
                <a:ea typeface="Arial"/>
              </a:rPr>
              <a:t>Market shares % Total</a:t>
            </a:r>
          </a:p>
        </c:rich>
      </c:tx>
      <c:layout>
        <c:manualLayout>
          <c:xMode val="edge"/>
          <c:yMode val="edge"/>
          <c:x val="0.437856220675757"/>
          <c:y val="0.040323941285642"/>
        </c:manualLayout>
      </c:layout>
      <c:overlay val="0"/>
      <c:spPr>
        <a:noFill/>
        <a:ln w="25560">
          <a:noFill/>
        </a:ln>
      </c:spPr>
    </c:title>
    <c:autoTitleDeleted val="0"/>
    <c:plotArea>
      <c:layout>
        <c:manualLayout>
          <c:layoutTarget val="inner"/>
          <c:xMode val="edge"/>
          <c:yMode val="edge"/>
          <c:x val="0.0563970148313758"/>
          <c:y val="0.129407794837186"/>
          <c:w val="0.873098844349277"/>
          <c:h val="0.651594398515269"/>
        </c:manualLayout>
      </c:layout>
      <c:barChart>
        <c:barDir val="col"/>
        <c:grouping val="clustered"/>
        <c:varyColors val="0"/>
        <c:ser>
          <c:idx val="0"/>
          <c:order val="0"/>
          <c:tx>
            <c:strRef>
              <c:f>'5.4.1 Competition in Area'!$A$34</c:f>
              <c:strCache>
                <c:ptCount val="1"/>
                <c:pt idx="0">
                  <c:v>DAF</c:v>
                </c:pt>
              </c:strCache>
            </c:strRef>
          </c:tx>
          <c:spPr>
            <a:solidFill>
              <a:srgbClr val="808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Area'!$E$34,'5.4.1 Competition in Area'!$H$34,'5.4.1 Competition in Area'!$K$34</c:f>
              <c:numCache>
                <c:formatCode>General</c:formatCode>
                <c:ptCount val="3"/>
                <c:pt idx="0">
                  <c:v>0</c:v>
                </c:pt>
                <c:pt idx="1">
                  <c:v>0</c:v>
                </c:pt>
                <c:pt idx="2">
                  <c:v>0</c:v>
                </c:pt>
              </c:numCache>
            </c:numRef>
          </c:val>
        </c:ser>
        <c:ser>
          <c:idx val="1"/>
          <c:order val="1"/>
          <c:tx>
            <c:strRef>
              <c:f>'5.4.1 Competition in Area'!$A$35</c:f>
              <c:strCache>
                <c:ptCount val="1"/>
                <c:pt idx="0">
                  <c:v>Mercedes</c:v>
                </c:pt>
              </c:strCache>
            </c:strRef>
          </c:tx>
          <c:spPr>
            <a:solidFill>
              <a:srgbClr val="80206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Area'!$E$35,'5.4.1 Competition in Area'!$H$35,'5.4.1 Competition in Area'!$K$35</c:f>
              <c:numCache>
                <c:formatCode>General</c:formatCode>
                <c:ptCount val="3"/>
                <c:pt idx="0">
                  <c:v>0</c:v>
                </c:pt>
                <c:pt idx="1">
                  <c:v>0</c:v>
                </c:pt>
                <c:pt idx="2">
                  <c:v>0</c:v>
                </c:pt>
              </c:numCache>
            </c:numRef>
          </c:val>
        </c:ser>
        <c:ser>
          <c:idx val="2"/>
          <c:order val="2"/>
          <c:tx>
            <c:strRef>
              <c:f>'5.4.1 Competition in Area'!$A$36</c:f>
              <c:strCache>
                <c:ptCount val="1"/>
                <c:pt idx="0">
                  <c:v>Volvo</c:v>
                </c:pt>
              </c:strCache>
            </c:strRef>
          </c:tx>
          <c:spPr>
            <a:solidFill>
              <a:srgbClr val="ffff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Area'!$E$36,'5.4.1 Competition in Area'!$H$36,'5.4.1 Competition in Area'!$K$36</c:f>
              <c:numCache>
                <c:formatCode>General</c:formatCode>
                <c:ptCount val="3"/>
                <c:pt idx="0">
                  <c:v>0</c:v>
                </c:pt>
                <c:pt idx="1">
                  <c:v>0</c:v>
                </c:pt>
                <c:pt idx="2">
                  <c:v>0</c:v>
                </c:pt>
              </c:numCache>
            </c:numRef>
          </c:val>
        </c:ser>
        <c:ser>
          <c:idx val="3"/>
          <c:order val="3"/>
          <c:tx>
            <c:strRef>
              <c:f>'5.4.1 Competition in Area'!$A$37</c:f>
              <c:strCache>
                <c:ptCount val="1"/>
                <c:pt idx="0">
                  <c:v>Scania</c:v>
                </c:pt>
              </c:strCache>
            </c:strRef>
          </c:tx>
          <c:spPr>
            <a:solidFill>
              <a:srgbClr val="a0e0e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Area'!$E$37,'5.4.1 Competition in Area'!$H$37,'5.4.1 Competition in Area'!$K$37</c:f>
              <c:numCache>
                <c:formatCode>General</c:formatCode>
                <c:ptCount val="3"/>
                <c:pt idx="0">
                  <c:v>0</c:v>
                </c:pt>
                <c:pt idx="1">
                  <c:v>0</c:v>
                </c:pt>
                <c:pt idx="2">
                  <c:v>0</c:v>
                </c:pt>
              </c:numCache>
            </c:numRef>
          </c:val>
        </c:ser>
        <c:ser>
          <c:idx val="4"/>
          <c:order val="4"/>
          <c:tx>
            <c:strRef>
              <c:f>'5.4.1 Competition in Area'!$A$38</c:f>
              <c:strCache>
                <c:ptCount val="1"/>
                <c:pt idx="0">
                  <c:v>Man</c:v>
                </c:pt>
              </c:strCache>
            </c:strRef>
          </c:tx>
          <c:spPr>
            <a:solidFill>
              <a:srgbClr val="600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Area'!$E$38,'5.4.1 Competition in Area'!$H$38,'5.4.1 Competition in Area'!$K$38</c:f>
              <c:numCache>
                <c:formatCode>General</c:formatCode>
                <c:ptCount val="3"/>
                <c:pt idx="0">
                  <c:v>0</c:v>
                </c:pt>
                <c:pt idx="1">
                  <c:v>0</c:v>
                </c:pt>
                <c:pt idx="2">
                  <c:v>0</c:v>
                </c:pt>
              </c:numCache>
            </c:numRef>
          </c:val>
        </c:ser>
        <c:ser>
          <c:idx val="5"/>
          <c:order val="5"/>
          <c:tx>
            <c:strRef>
              <c:f>'5.4.1 Competition in Area'!$A$39</c:f>
              <c:strCache>
                <c:ptCount val="1"/>
                <c:pt idx="0">
                  <c:v>Iveco</c:v>
                </c:pt>
              </c:strCache>
            </c:strRef>
          </c:tx>
          <c:spPr>
            <a:solidFill>
              <a:srgbClr val="ff808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Area'!$E$39,'5.4.1 Competition in Area'!$H$39,'5.4.1 Competition in Area'!$K$39</c:f>
              <c:numCache>
                <c:formatCode>General</c:formatCode>
                <c:ptCount val="3"/>
                <c:pt idx="0">
                  <c:v>0</c:v>
                </c:pt>
                <c:pt idx="1">
                  <c:v>0</c:v>
                </c:pt>
                <c:pt idx="2">
                  <c:v>0</c:v>
                </c:pt>
              </c:numCache>
            </c:numRef>
          </c:val>
        </c:ser>
        <c:ser>
          <c:idx val="6"/>
          <c:order val="6"/>
          <c:tx>
            <c:strRef>
              <c:f>'5.4.1 Competition in Area'!$A$40</c:f>
              <c:strCache>
                <c:ptCount val="1"/>
                <c:pt idx="0">
                  <c:v>Renault</c:v>
                </c:pt>
              </c:strCache>
            </c:strRef>
          </c:tx>
          <c:spPr>
            <a:solidFill>
              <a:srgbClr val="0080c0"/>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Area'!$E$40,'5.4.1 Competition in Area'!$H$40,'5.4.1 Competition in Area'!$K$40</c:f>
              <c:numCache>
                <c:formatCode>General</c:formatCode>
                <c:ptCount val="3"/>
                <c:pt idx="0">
                  <c:v>0</c:v>
                </c:pt>
                <c:pt idx="1">
                  <c:v>0</c:v>
                </c:pt>
                <c:pt idx="2">
                  <c:v>0</c:v>
                </c:pt>
              </c:numCache>
            </c:numRef>
          </c:val>
        </c:ser>
        <c:ser>
          <c:idx val="7"/>
          <c:order val="7"/>
          <c:tx>
            <c:strRef>
              <c:f>'5.4.1 Competition in Area'!$A$41</c:f>
              <c:strCache>
                <c:ptCount val="1"/>
                <c:pt idx="0">
                  <c:v>Others</c:v>
                </c:pt>
              </c:strCache>
            </c:strRef>
          </c:tx>
          <c:spPr>
            <a:solidFill>
              <a:srgbClr val="c0c0ff"/>
            </a:solidFill>
            <a:ln w="12600">
              <a:solidFill>
                <a:srgbClr val="000000"/>
              </a:solidFill>
              <a:round/>
            </a:ln>
          </c:spPr>
          <c:invertIfNegative val="0"/>
          <c:dLbls>
            <c:numFmt formatCode="0.0%" sourceLinked="1"/>
            <c:dLblPos val="outEnd"/>
            <c:showLegendKey val="0"/>
            <c:showVal val="0"/>
            <c:showCatName val="0"/>
            <c:showSerName val="0"/>
            <c:showPercent val="0"/>
            <c:showLeaderLines val="0"/>
          </c:dLbls>
          <c:cat>
            <c:strRef>
              <c:f>'5.4.1 Competition in Area'!$C$32,'5.4.1 Competition in Area'!$F$32,'5.4.1 Competition in Area'!$I$32</c:f>
              <c:strCache>
                <c:ptCount val="3"/>
                <c:pt idx="0">
                  <c:v>2016</c:v>
                </c:pt>
                <c:pt idx="1">
                  <c:v>2017</c:v>
                </c:pt>
                <c:pt idx="2">
                  <c:v>2018</c:v>
                </c:pt>
              </c:strCache>
            </c:strRef>
          </c:cat>
          <c:val>
            <c:numRef>
              <c:f>'5.4.1 Competition in Area'!$E$41,'5.4.1 Competition in Area'!$H$41,'5.4.1 Competition in Area'!$K$41</c:f>
              <c:numCache>
                <c:formatCode>General</c:formatCode>
                <c:ptCount val="3"/>
                <c:pt idx="0">
                  <c:v>0</c:v>
                </c:pt>
                <c:pt idx="1">
                  <c:v>0</c:v>
                </c:pt>
                <c:pt idx="2">
                  <c:v>0</c:v>
                </c:pt>
              </c:numCache>
            </c:numRef>
          </c:val>
        </c:ser>
        <c:gapWidth val="150"/>
        <c:overlap val="0"/>
        <c:axId val="1199264"/>
        <c:axId val="92774214"/>
      </c:barChart>
      <c:catAx>
        <c:axId val="1199264"/>
        <c:scaling>
          <c:orientation val="minMax"/>
        </c:scaling>
        <c:delete val="0"/>
        <c:axPos val="b"/>
        <c:numFmt formatCode="General" sourceLinked="1"/>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92774214"/>
        <c:crosses val="autoZero"/>
        <c:auto val="1"/>
        <c:lblAlgn val="ctr"/>
        <c:lblOffset val="100"/>
      </c:catAx>
      <c:valAx>
        <c:axId val="92774214"/>
        <c:scaling>
          <c:orientation val="minMax"/>
        </c:scaling>
        <c:delete val="0"/>
        <c:axPos val="l"/>
        <c:majorGridlines>
          <c:spPr>
            <a:ln w="3240">
              <a:solidFill>
                <a:srgbClr val="000000"/>
              </a:solidFill>
              <a:round/>
            </a:ln>
          </c:spPr>
        </c:majorGridlines>
        <c:numFmt formatCode="0.0%" sourceLinked="0"/>
        <c:majorTickMark val="out"/>
        <c:minorTickMark val="none"/>
        <c:tickLblPos val="nextTo"/>
        <c:spPr>
          <a:ln w="3240">
            <a:solidFill>
              <a:srgbClr val="000000"/>
            </a:solidFill>
            <a:round/>
          </a:ln>
        </c:spPr>
        <c:txPr>
          <a:bodyPr/>
          <a:lstStyle/>
          <a:p>
            <a:pPr>
              <a:defRPr b="0" sz="800" spc="-1" strike="noStrike">
                <a:solidFill>
                  <a:srgbClr val="000000"/>
                </a:solidFill>
                <a:latin typeface="Trebuchet MS"/>
                <a:ea typeface="Trebuchet MS"/>
              </a:defRPr>
            </a:pPr>
          </a:p>
        </c:txPr>
        <c:crossAx val="1199264"/>
        <c:crosses val="autoZero"/>
      </c:valAx>
      <c:spPr>
        <a:solidFill>
          <a:srgbClr val="c0c0c0"/>
        </a:solidFill>
        <a:ln w="12600">
          <a:solidFill>
            <a:srgbClr val="808080"/>
          </a:solidFill>
          <a:round/>
        </a:ln>
      </c:spPr>
    </c:plotArea>
    <c:legend>
      <c:layout>
        <c:manualLayout>
          <c:xMode val="edge"/>
          <c:yMode val="edge"/>
          <c:x val="0.937445303918509"/>
          <c:y val="0.1875"/>
          <c:w val="0.0555066079295157"/>
          <c:h val="0.540178571428573"/>
        </c:manualLayout>
      </c:layout>
      <c:spPr>
        <a:solidFill>
          <a:srgbClr val="ffffff"/>
        </a:solidFill>
        <a:ln w="3240">
          <a:solidFill>
            <a:srgbClr val="000000"/>
          </a:solidFill>
          <a:round/>
        </a:ln>
      </c:spPr>
      <c:txPr>
        <a:bodyPr/>
        <a:lstStyle/>
        <a:p>
          <a:pPr>
            <a:defRPr b="0" sz="675" spc="-1" strike="noStrike">
              <a:solidFill>
                <a:srgbClr val="000000"/>
              </a:solidFill>
              <a:latin typeface="Trebuchet MS"/>
              <a:ea typeface="Trebuchet MS"/>
            </a:defRPr>
          </a:pPr>
        </a:p>
      </c:txPr>
    </c:legend>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Relationship Id="rId3" Type="http://schemas.openxmlformats.org/officeDocument/2006/relationships/image" Target="../media/image3.wmf"/>
</Relationships>
</file>

<file path=xl/drawings/_rels/drawing3.xml.rels><?xml version="1.0" encoding="UTF-8"?>
<Relationships xmlns="http://schemas.openxmlformats.org/package/2006/relationships"><Relationship Id="rId1" Type="http://schemas.openxmlformats.org/officeDocument/2006/relationships/image" Target="../media/image4.wmf"/>
</Relationships>
</file>

<file path=xl/drawings/_rels/drawing4.xml.rels><?xml version="1.0" encoding="UTF-8"?>
<Relationships xmlns="http://schemas.openxmlformats.org/package/2006/relationships"><Relationship Id="rId1" Type="http://schemas.openxmlformats.org/officeDocument/2006/relationships/image" Target="../media/image5.wmf"/>
</Relationships>
</file>

<file path=xl/drawings/_rels/drawing5.xml.rels><?xml version="1.0" encoding="UTF-8"?>
<Relationships xmlns="http://schemas.openxmlformats.org/package/2006/relationships"><Relationship Id="rId1" Type="http://schemas.openxmlformats.org/officeDocument/2006/relationships/image" Target="../media/image6.wmf"/>
</Relationships>
</file>

<file path=xl/drawings/_rels/drawing6.xml.rels><?xml version="1.0" encoding="UTF-8"?>
<Relationships xmlns="http://schemas.openxmlformats.org/package/2006/relationships"><Relationship Id="rId1" Type="http://schemas.openxmlformats.org/officeDocument/2006/relationships/image" Target="../media/image7.wmf"/>
</Relationships>
</file>

<file path=xl/drawings/_rels/drawing7.xml.rels><?xml version="1.0" encoding="UTF-8"?>
<Relationships xmlns="http://schemas.openxmlformats.org/package/2006/relationships"><Relationship Id="rId1" Type="http://schemas.openxmlformats.org/officeDocument/2006/relationships/image" Target="../media/image8.wmf"/>
</Relationships>
</file>

<file path=xl/drawings/_rels/drawing8.xml.rels><?xml version="1.0" encoding="UTF-8"?>
<Relationships xmlns="http://schemas.openxmlformats.org/package/2006/relationships"><Relationship Id="rId1" Type="http://schemas.openxmlformats.org/officeDocument/2006/relationships/image" Target="../media/image9.wmf"/>
</Relationships>
</file>

<file path=xl/drawings/_rels/drawing9.xml.rels><?xml version="1.0" encoding="UTF-8"?>
<Relationships xmlns="http://schemas.openxmlformats.org/package/2006/relationships"><Relationship Id="rId1" Type="http://schemas.openxmlformats.org/officeDocument/2006/relationships/image" Target="../media/image10.wmf"/>
</Relationships>
</file>

<file path=xl/drawings/_rels/drawing10.xml.rels><?xml version="1.0" encoding="UTF-8"?>
<Relationships xmlns="http://schemas.openxmlformats.org/package/2006/relationships"><Relationship Id="rId1" Type="http://schemas.openxmlformats.org/officeDocument/2006/relationships/image" Target="../media/image11.wmf"/>
</Relationships>
</file>

<file path=xl/drawings/_rels/drawing11.xml.rels><?xml version="1.0" encoding="UTF-8"?>
<Relationships xmlns="http://schemas.openxmlformats.org/package/2006/relationships"><Relationship Id="rId1" Type="http://schemas.openxmlformats.org/officeDocument/2006/relationships/image" Target="../media/image12.wmf"/>
</Relationships>
</file>

<file path=xl/drawings/_rels/drawing12.xml.rels><?xml version="1.0" encoding="UTF-8"?>
<Relationships xmlns="http://schemas.openxmlformats.org/package/2006/relationships"><Relationship Id="rId1" Type="http://schemas.openxmlformats.org/officeDocument/2006/relationships/image" Target="../media/image13.wmf"/>
</Relationships>
</file>

<file path=xl/drawings/_rels/drawing13.xml.rels><?xml version="1.0" encoding="UTF-8"?>
<Relationships xmlns="http://schemas.openxmlformats.org/package/2006/relationships"><Relationship Id="rId1" Type="http://schemas.openxmlformats.org/officeDocument/2006/relationships/image" Target="../media/image14.wmf"/>
</Relationships>
</file>

<file path=xl/drawings/_rels/drawing14.xml.rels><?xml version="1.0" encoding="UTF-8"?>
<Relationships xmlns="http://schemas.openxmlformats.org/package/2006/relationships"><Relationship Id="rId1" Type="http://schemas.openxmlformats.org/officeDocument/2006/relationships/image" Target="../media/image15.wmf"/>
</Relationships>
</file>

<file path=xl/drawings/_rels/drawing15.xml.rels><?xml version="1.0" encoding="UTF-8"?>
<Relationships xmlns="http://schemas.openxmlformats.org/package/2006/relationships"><Relationship Id="rId1" Type="http://schemas.openxmlformats.org/officeDocument/2006/relationships/image" Target="../media/image16.wmf"/>
</Relationships>
</file>

<file path=xl/drawings/_rels/drawing16.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17.wmf"/>
</Relationships>
</file>

<file path=xl/drawings/_rels/drawing17.xml.rels><?xml version="1.0" encoding="UTF-8"?>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18.wmf"/>
</Relationships>
</file>

<file path=xl/drawings/_rels/drawing18.xml.rels><?xml version="1.0" encoding="UTF-8"?>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19.wmf"/>
</Relationships>
</file>

<file path=xl/drawings/_rels/drawing19.xml.rels><?xml version="1.0" encoding="UTF-8"?>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20.wmf"/>
</Relationships>
</file>

<file path=xl/drawings/_rels/drawing20.xml.rels><?xml version="1.0" encoding="UTF-8"?>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Relationship Id="rId3" Type="http://schemas.openxmlformats.org/officeDocument/2006/relationships/chart" Target="../charts/chart7.xml"/><Relationship Id="rId4" Type="http://schemas.openxmlformats.org/officeDocument/2006/relationships/image" Target="../media/image21.wmf"/>
</Relationships>
</file>

<file path=xl/drawings/_rels/drawing21.xml.rels><?xml version="1.0" encoding="UTF-8"?>
<Relationships xmlns="http://schemas.openxmlformats.org/package/2006/relationships"><Relationship Id="rId1" Type="http://schemas.openxmlformats.org/officeDocument/2006/relationships/image" Target="../media/image22.wmf"/>
</Relationships>
</file>

<file path=xl/drawings/_rels/drawing22.xml.rels><?xml version="1.0" encoding="UTF-8"?>
<Relationships xmlns="http://schemas.openxmlformats.org/package/2006/relationships"><Relationship Id="rId1" Type="http://schemas.openxmlformats.org/officeDocument/2006/relationships/image" Target="../media/image23.wmf"/>
</Relationships>
</file>

<file path=xl/drawings/_rels/drawing23.xml.rels><?xml version="1.0" encoding="UTF-8"?>
<Relationships xmlns="http://schemas.openxmlformats.org/package/2006/relationships"><Relationship Id="rId1" Type="http://schemas.openxmlformats.org/officeDocument/2006/relationships/image" Target="../media/image24.wmf"/>
</Relationships>
</file>

<file path=xl/drawings/_rels/drawing24.xml.rels><?xml version="1.0" encoding="UTF-8"?>
<Relationships xmlns="http://schemas.openxmlformats.org/package/2006/relationships"><Relationship Id="rId1" Type="http://schemas.openxmlformats.org/officeDocument/2006/relationships/image" Target="../media/image25.wmf"/>
</Relationships>
</file>

<file path=xl/drawings/_rels/drawing25.xml.rels><?xml version="1.0" encoding="UTF-8"?>
<Relationships xmlns="http://schemas.openxmlformats.org/package/2006/relationships"><Relationship Id="rId1" Type="http://schemas.openxmlformats.org/officeDocument/2006/relationships/image" Target="../media/image26.wmf"/>
</Relationships>
</file>

<file path=xl/drawings/_rels/drawing26.xml.rels><?xml version="1.0" encoding="UTF-8"?>
<Relationships xmlns="http://schemas.openxmlformats.org/package/2006/relationships"><Relationship Id="rId1" Type="http://schemas.openxmlformats.org/officeDocument/2006/relationships/image" Target="../media/image27.wmf"/>
</Relationships>
</file>

<file path=xl/drawings/_rels/drawing27.xml.rels><?xml version="1.0" encoding="UTF-8"?>
<Relationships xmlns="http://schemas.openxmlformats.org/package/2006/relationships"><Relationship Id="rId1" Type="http://schemas.openxmlformats.org/officeDocument/2006/relationships/image" Target="../media/image28.wmf"/>
</Relationships>
</file>

<file path=xl/drawings/_rels/drawing28.xml.rels><?xml version="1.0" encoding="UTF-8"?>
<Relationships xmlns="http://schemas.openxmlformats.org/package/2006/relationships"><Relationship Id="rId1" Type="http://schemas.openxmlformats.org/officeDocument/2006/relationships/image" Target="../media/image29.png"/>
</Relationships>
</file>

<file path=xl/drawings/_rels/drawing29.xml.rels><?xml version="1.0" encoding="UTF-8"?>
<Relationships xmlns="http://schemas.openxmlformats.org/package/2006/relationships"><Relationship Id="rId1" Type="http://schemas.openxmlformats.org/officeDocument/2006/relationships/image" Target="../media/image30.png"/>
</Relationships>
</file>

<file path=xl/drawings/_rels/drawing30.xml.rels><?xml version="1.0" encoding="UTF-8"?>
<Relationships xmlns="http://schemas.openxmlformats.org/package/2006/relationships"><Relationship Id="rId1" Type="http://schemas.openxmlformats.org/officeDocument/2006/relationships/image" Target="../media/image31.png"/>
</Relationships>
</file>

<file path=xl/drawings/_rels/drawing31.xml.rels><?xml version="1.0" encoding="UTF-8"?>
<Relationships xmlns="http://schemas.openxmlformats.org/package/2006/relationships"><Relationship Id="rId1" Type="http://schemas.openxmlformats.org/officeDocument/2006/relationships/image" Target="../media/image32.png"/>
</Relationships>
</file>

<file path=xl/drawings/_rels/drawing32.xml.rels><?xml version="1.0" encoding="UTF-8"?>
<Relationships xmlns="http://schemas.openxmlformats.org/package/2006/relationships"><Relationship Id="rId1" Type="http://schemas.openxmlformats.org/officeDocument/2006/relationships/image" Target="../media/image33.png"/>
</Relationships>
</file>

<file path=xl/drawings/_rels/drawing33.xml.rels><?xml version="1.0" encoding="UTF-8"?>
<Relationships xmlns="http://schemas.openxmlformats.org/package/2006/relationships"><Relationship Id="rId1" Type="http://schemas.openxmlformats.org/officeDocument/2006/relationships/image" Target="../media/image34.png"/>
</Relationships>
</file>

<file path=xl/drawings/_rels/drawing34.xml.rels><?xml version="1.0" encoding="UTF-8"?>
<Relationships xmlns="http://schemas.openxmlformats.org/package/2006/relationships"><Relationship Id="rId1" Type="http://schemas.openxmlformats.org/officeDocument/2006/relationships/image" Target="../media/image35.png"/>
</Relationships>
</file>

<file path=xl/drawings/_rels/drawing35.xml.rels><?xml version="1.0" encoding="UTF-8"?>
<Relationships xmlns="http://schemas.openxmlformats.org/package/2006/relationships"><Relationship Id="rId1" Type="http://schemas.openxmlformats.org/officeDocument/2006/relationships/image" Target="../media/image36.png"/>
</Relationships>
</file>

<file path=xl/drawings/_rels/drawing36.xml.rels><?xml version="1.0" encoding="UTF-8"?>
<Relationships xmlns="http://schemas.openxmlformats.org/package/2006/relationships"><Relationship Id="rId1" Type="http://schemas.openxmlformats.org/officeDocument/2006/relationships/image" Target="../media/image37.wmf"/>
</Relationships>
</file>

<file path=xl/drawings/_rels/drawing37.xml.rels><?xml version="1.0" encoding="UTF-8"?>
<Relationships xmlns="http://schemas.openxmlformats.org/package/2006/relationships"><Relationship Id="rId1" Type="http://schemas.openxmlformats.org/officeDocument/2006/relationships/image" Target="../media/image38.wmf"/>
</Relationships>
</file>

<file path=xl/drawings/_rels/drawing38.xml.rels><?xml version="1.0" encoding="UTF-8"?>
<Relationships xmlns="http://schemas.openxmlformats.org/package/2006/relationships"><Relationship Id="rId1" Type="http://schemas.openxmlformats.org/officeDocument/2006/relationships/image" Target="../media/image39.wmf"/>
</Relationships>
</file>

<file path=xl/drawings/_rels/drawing39.xml.rels><?xml version="1.0" encoding="UTF-8"?>
<Relationships xmlns="http://schemas.openxmlformats.org/package/2006/relationships"><Relationship Id="rId1" Type="http://schemas.openxmlformats.org/officeDocument/2006/relationships/image" Target="../media/image40.wmf"/>
</Relationships>
</file>

<file path=xl/drawings/_rels/drawing40.xml.rels><?xml version="1.0" encoding="UTF-8"?>
<Relationships xmlns="http://schemas.openxmlformats.org/package/2006/relationships"><Relationship Id="rId1" Type="http://schemas.openxmlformats.org/officeDocument/2006/relationships/image" Target="../media/image41.wmf"/>
</Relationships>
</file>

<file path=xl/drawings/_rels/drawing41.xml.rels><?xml version="1.0" encoding="UTF-8"?>
<Relationships xmlns="http://schemas.openxmlformats.org/package/2006/relationships"><Relationship Id="rId1" Type="http://schemas.openxmlformats.org/officeDocument/2006/relationships/image" Target="../media/image42.wmf"/>
</Relationships>
</file>

<file path=xl/drawings/_rels/drawing42.xml.rels><?xml version="1.0" encoding="UTF-8"?>
<Relationships xmlns="http://schemas.openxmlformats.org/package/2006/relationships"><Relationship Id="rId1" Type="http://schemas.openxmlformats.org/officeDocument/2006/relationships/image" Target="../media/image43.wmf"/>
</Relationships>
</file>

<file path=xl/drawings/_rels/drawing43.xml.rels><?xml version="1.0" encoding="UTF-8"?>
<Relationships xmlns="http://schemas.openxmlformats.org/package/2006/relationships"><Relationship Id="rId1" Type="http://schemas.openxmlformats.org/officeDocument/2006/relationships/image" Target="../media/image44.wmf"/>
</Relationships>
</file>

<file path=xl/drawings/_rels/drawing44.xml.rels><?xml version="1.0" encoding="UTF-8"?>
<Relationships xmlns="http://schemas.openxmlformats.org/package/2006/relationships"><Relationship Id="rId1" Type="http://schemas.openxmlformats.org/officeDocument/2006/relationships/image" Target="../media/image45.wmf"/>
</Relationships>
</file>

<file path=xl/drawings/_rels/drawing45.xml.rels><?xml version="1.0" encoding="UTF-8"?>
<Relationships xmlns="http://schemas.openxmlformats.org/package/2006/relationships"><Relationship Id="rId1" Type="http://schemas.openxmlformats.org/officeDocument/2006/relationships/image" Target="../media/image46.wmf"/>
</Relationships>
</file>

<file path=xl/drawings/_rels/drawing46.xml.rels><?xml version="1.0" encoding="UTF-8"?>
<Relationships xmlns="http://schemas.openxmlformats.org/package/2006/relationships"><Relationship Id="rId1" Type="http://schemas.openxmlformats.org/officeDocument/2006/relationships/image" Target="../media/image47.wmf"/>
</Relationships>
</file>

<file path=xl/drawings/_rels/drawing47.xml.rels><?xml version="1.0" encoding="UTF-8"?>
<Relationships xmlns="http://schemas.openxmlformats.org/package/2006/relationships"><Relationship Id="rId1" Type="http://schemas.openxmlformats.org/officeDocument/2006/relationships/image" Target="../media/image48.wmf"/>
</Relationships>
</file>

<file path=xl/drawings/_rels/drawing48.xml.rels><?xml version="1.0" encoding="UTF-8"?>
<Relationships xmlns="http://schemas.openxmlformats.org/package/2006/relationships"><Relationship Id="rId1" Type="http://schemas.openxmlformats.org/officeDocument/2006/relationships/image" Target="../media/image49.wmf"/>
</Relationships>
</file>

<file path=xl/drawings/_rels/drawing49.xml.rels><?xml version="1.0" encoding="UTF-8"?>
<Relationships xmlns="http://schemas.openxmlformats.org/package/2006/relationships"><Relationship Id="rId1" Type="http://schemas.openxmlformats.org/officeDocument/2006/relationships/image" Target="../media/image50.wmf"/>
</Relationships>
</file>

<file path=xl/drawings/_rels/drawing50.xml.rels><?xml version="1.0" encoding="UTF-8"?>
<Relationships xmlns="http://schemas.openxmlformats.org/package/2006/relationships"><Relationship Id="rId1" Type="http://schemas.openxmlformats.org/officeDocument/2006/relationships/image" Target="../media/image51.wmf"/>
</Relationships>
</file>

<file path=xl/drawings/_rels/drawing51.xml.rels><?xml version="1.0" encoding="UTF-8"?>
<Relationships xmlns="http://schemas.openxmlformats.org/package/2006/relationships"><Relationship Id="rId1" Type="http://schemas.openxmlformats.org/officeDocument/2006/relationships/image" Target="../media/image52.wmf"/>
</Relationships>
</file>

<file path=xl/drawings/_rels/drawing52.xml.rels><?xml version="1.0" encoding="UTF-8"?>
<Relationships xmlns="http://schemas.openxmlformats.org/package/2006/relationships"><Relationship Id="rId1" Type="http://schemas.openxmlformats.org/officeDocument/2006/relationships/image" Target="../media/image53.wmf"/>
</Relationships>
</file>

<file path=xl/drawings/_rels/drawing53.xml.rels><?xml version="1.0" encoding="UTF-8"?>
<Relationships xmlns="http://schemas.openxmlformats.org/package/2006/relationships"><Relationship Id="rId1" Type="http://schemas.openxmlformats.org/officeDocument/2006/relationships/image" Target="../media/image54.wmf"/>
</Relationships>
</file>

<file path=xl/drawings/_rels/drawing54.xml.rels><?xml version="1.0" encoding="UTF-8"?>
<Relationships xmlns="http://schemas.openxmlformats.org/package/2006/relationships"><Relationship Id="rId1" Type="http://schemas.openxmlformats.org/officeDocument/2006/relationships/image" Target="../media/image55.wmf"/>
</Relationships>
</file>

<file path=xl/drawings/_rels/drawing55.xml.rels><?xml version="1.0" encoding="UTF-8"?>
<Relationships xmlns="http://schemas.openxmlformats.org/package/2006/relationships"><Relationship Id="rId1" Type="http://schemas.openxmlformats.org/officeDocument/2006/relationships/image" Target="../media/image56.wmf"/>
</Relationships>
</file>

<file path=xl/drawings/_rels/drawing56.xml.rels><?xml version="1.0" encoding="UTF-8"?>
<Relationships xmlns="http://schemas.openxmlformats.org/package/2006/relationships"><Relationship Id="rId1" Type="http://schemas.openxmlformats.org/officeDocument/2006/relationships/image" Target="../media/image57.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295200</xdr:colOff>
      <xdr:row>28</xdr:row>
      <xdr:rowOff>219240</xdr:rowOff>
    </xdr:from>
    <xdr:to>
      <xdr:col>9</xdr:col>
      <xdr:colOff>742680</xdr:colOff>
      <xdr:row>34</xdr:row>
      <xdr:rowOff>161640</xdr:rowOff>
    </xdr:to>
    <xdr:sp>
      <xdr:nvSpPr>
        <xdr:cNvPr id="0" name="CustomShape 1"/>
        <xdr:cNvSpPr/>
      </xdr:nvSpPr>
      <xdr:spPr>
        <a:xfrm>
          <a:off x="1111680" y="6638760"/>
          <a:ext cx="6887520" cy="12855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gn="ctr">
            <a:lnSpc>
              <a:spcPct val="100000"/>
            </a:lnSpc>
          </a:pPr>
          <a:r>
            <a:rPr b="1" lang="en-US" sz="1200" spc="-1" strike="noStrike">
              <a:solidFill>
                <a:srgbClr val="ff0000"/>
              </a:solidFill>
              <a:latin typeface="Trebuchet MS"/>
            </a:rPr>
            <a:t>Warning! Before starting filling in the DAF Dealer Business Plan </a:t>
          </a:r>
          <a:endParaRPr b="0" lang="en-US" sz="1200" spc="-1" strike="noStrike">
            <a:latin typeface="Times New Roman"/>
          </a:endParaRPr>
        </a:p>
        <a:p>
          <a:pPr algn="ctr">
            <a:lnSpc>
              <a:spcPct val="100000"/>
            </a:lnSpc>
          </a:pPr>
          <a:r>
            <a:rPr b="1" lang="en-US" sz="1200" spc="-1" strike="noStrike">
              <a:solidFill>
                <a:srgbClr val="ff0000"/>
              </a:solidFill>
              <a:latin typeface="Trebuchet MS"/>
            </a:rPr>
            <a:t>please check your computer settings:   </a:t>
          </a:r>
          <a:r>
            <a:rPr b="1" lang="en-US" sz="1600" spc="-1" strike="noStrike">
              <a:solidFill>
                <a:srgbClr val="ff0000"/>
              </a:solidFill>
              <a:latin typeface="Trebuchet MS"/>
            </a:rPr>
            <a:t>  </a:t>
          </a:r>
          <a:endParaRPr b="0" lang="en-US" sz="1600" spc="-1" strike="noStrike">
            <a:latin typeface="Times New Roman"/>
          </a:endParaRPr>
        </a:p>
        <a:p>
          <a:pPr algn="ctr">
            <a:lnSpc>
              <a:spcPct val="100000"/>
            </a:lnSpc>
          </a:pPr>
          <a:r>
            <a:rPr b="1" lang="en-US" sz="1000" spc="-1" strike="noStrike">
              <a:solidFill>
                <a:srgbClr val="ff0000"/>
              </a:solidFill>
              <a:latin typeface="Trebuchet MS"/>
            </a:rPr>
            <a:t>1. Iteration at least 1000 (go to Tools&gt;Options&gt;Calculations&gt;select Iteration&gt;change 100 into 1000)     </a:t>
          </a:r>
          <a:endParaRPr b="0" lang="en-US" sz="1000" spc="-1" strike="noStrike">
            <a:latin typeface="Times New Roman"/>
          </a:endParaRPr>
        </a:p>
        <a:p>
          <a:pPr algn="ctr">
            <a:lnSpc>
              <a:spcPct val="100000"/>
            </a:lnSpc>
          </a:pPr>
          <a:r>
            <a:rPr b="1" lang="en-US" sz="1000" spc="-1" strike="noStrike">
              <a:solidFill>
                <a:srgbClr val="ff0000"/>
              </a:solidFill>
              <a:latin typeface="Trebuchet MS"/>
            </a:rPr>
            <a:t>2. Macro at average security level (go to Tools&gt;Macro&gt;Security&gt;Average)     </a:t>
          </a:r>
          <a:endParaRPr b="0" lang="en-US" sz="1000" spc="-1" strike="noStrike">
            <a:latin typeface="Times New Roman"/>
          </a:endParaRPr>
        </a:p>
        <a:p>
          <a:pPr algn="ctr">
            <a:lnSpc>
              <a:spcPct val="100000"/>
            </a:lnSpc>
          </a:pPr>
          <a:r>
            <a:rPr b="1" lang="en-US" sz="1000" spc="-1" strike="noStrike">
              <a:solidFill>
                <a:srgbClr val="ff0000"/>
              </a:solidFill>
              <a:latin typeface="Trebuchet MS"/>
            </a:rPr>
            <a:t>3. If Microsoft Excel version 2007 is used, please enable Macro's </a:t>
          </a:r>
          <a:endParaRPr b="0" lang="en-US" sz="1000" spc="-1" strike="noStrike">
            <a:latin typeface="Times New Roman"/>
          </a:endParaRPr>
        </a:p>
      </xdr:txBody>
    </xdr:sp>
    <xdr:clientData/>
  </xdr:twoCellAnchor>
  <xdr:twoCellAnchor editAs="oneCell">
    <xdr:from>
      <xdr:col>0</xdr:col>
      <xdr:colOff>390600</xdr:colOff>
      <xdr:row>2</xdr:row>
      <xdr:rowOff>9360</xdr:rowOff>
    </xdr:from>
    <xdr:to>
      <xdr:col>10</xdr:col>
      <xdr:colOff>237960</xdr:colOff>
      <xdr:row>30</xdr:row>
      <xdr:rowOff>75600</xdr:rowOff>
    </xdr:to>
    <xdr:sp>
      <xdr:nvSpPr>
        <xdr:cNvPr id="1" name="CustomShape 1" hidden="1"/>
        <xdr:cNvSpPr/>
      </xdr:nvSpPr>
      <xdr:spPr>
        <a:xfrm>
          <a:off x="390600" y="571320"/>
          <a:ext cx="8293320" cy="63810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Country:</a:t>
          </a:r>
          <a:r>
            <a:rPr b="0" lang="en-US" sz="1000" spc="-1" strike="noStrike">
              <a:solidFill>
                <a:srgbClr val="000000"/>
              </a:solidFill>
              <a:latin typeface="Trebuchet MS"/>
            </a:rPr>
            <a:t> Choose country. When your country is not in the list, choose option “other”. By selecting the country name the data for calculating the after sales potential will automatically adjusted.</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Dealer name</a:t>
          </a:r>
          <a:r>
            <a:rPr b="0" lang="en-US" sz="1000" spc="-1" strike="noStrike">
              <a:solidFill>
                <a:srgbClr val="000000"/>
              </a:solidFill>
              <a:latin typeface="Trebuchet MS"/>
            </a:rPr>
            <a:t>: Enter here the name of your company (contract partner). This dealer name is now printed on top of every sheet automatically.</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Dealer location</a:t>
          </a:r>
          <a:r>
            <a:rPr b="0" lang="en-US" sz="1000" spc="-1" strike="noStrike">
              <a:solidFill>
                <a:srgbClr val="000000"/>
              </a:solidFill>
              <a:latin typeface="Trebuchet MS"/>
            </a:rPr>
            <a:t>: Fill in the name of the city or village of the dealer location.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Version</a:t>
          </a:r>
          <a:r>
            <a:rPr b="0" lang="en-US" sz="1000" spc="-1" strike="noStrike">
              <a:solidFill>
                <a:srgbClr val="000000"/>
              </a:solidFill>
              <a:latin typeface="Trebuchet MS"/>
            </a:rPr>
            <a:t>: Enter here the version number (in case of different scenarios). This name/number is printed on top of every sheet automatically.</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Date</a:t>
          </a:r>
          <a:r>
            <a:rPr b="0" lang="en-US" sz="1000" spc="-1" strike="noStrike">
              <a:solidFill>
                <a:srgbClr val="000000"/>
              </a:solidFill>
              <a:latin typeface="Trebuchet MS"/>
            </a:rPr>
            <a:t>: Fill in the date on which the specific version is finished. This date is printed on top of every sheet automatically.</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Basis year (Important: Starting year of forecast in business plan) </a:t>
          </a:r>
          <a:r>
            <a:rPr b="0" lang="en-US" sz="1000" spc="-1" strike="noStrike">
              <a:solidFill>
                <a:srgbClr val="000000"/>
              </a:solidFill>
              <a:latin typeface="Trebuchet MS"/>
            </a:rPr>
            <a:t>: </a:t>
          </a:r>
          <a:endParaRPr b="0" lang="en-US" sz="1000" spc="-1" strike="noStrike">
            <a:latin typeface="Times New Roman"/>
          </a:endParaRPr>
        </a:p>
        <a:p>
          <a:pPr>
            <a:lnSpc>
              <a:spcPct val="100000"/>
            </a:lnSpc>
          </a:pPr>
          <a:r>
            <a:rPr b="0" lang="en-US" sz="1000" spc="-1" strike="noStrike">
              <a:solidFill>
                <a:srgbClr val="000000"/>
              </a:solidFill>
              <a:latin typeface="Trebuchet MS"/>
            </a:rPr>
            <a:t>A distinction should be made between an existing and a new dealership;</a:t>
          </a:r>
          <a:endParaRPr b="0" lang="en-US" sz="1000" spc="-1" strike="noStrike">
            <a:latin typeface="Times New Roman"/>
          </a:endParaRPr>
        </a:p>
        <a:p>
          <a:pPr>
            <a:lnSpc>
              <a:spcPct val="100000"/>
            </a:lnSpc>
          </a:pPr>
          <a:r>
            <a:rPr b="0" lang="en-US" sz="1000" spc="-1" strike="noStrike">
              <a:solidFill>
                <a:srgbClr val="000000"/>
              </a:solidFill>
              <a:latin typeface="Trebuchet MS"/>
            </a:rPr>
            <a:t>- New dealership : first year of the forecast</a:t>
          </a:r>
          <a:endParaRPr b="0" lang="en-US" sz="1000" spc="-1" strike="noStrike">
            <a:latin typeface="Times New Roman"/>
          </a:endParaRPr>
        </a:p>
        <a:p>
          <a:pPr>
            <a:lnSpc>
              <a:spcPct val="100000"/>
            </a:lnSpc>
          </a:pPr>
          <a:r>
            <a:rPr b="0" lang="en-US" sz="1000" spc="-1" strike="noStrike">
              <a:solidFill>
                <a:srgbClr val="000000"/>
              </a:solidFill>
              <a:latin typeface="Trebuchet MS"/>
            </a:rPr>
            <a:t>- Existing dealership : forecast running year or previous fiscal year if this is the last year before the planning period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Planning period</a:t>
          </a:r>
          <a:r>
            <a:rPr b="0" lang="en-US" sz="1000" spc="-1" strike="noStrike">
              <a:solidFill>
                <a:srgbClr val="000000"/>
              </a:solidFill>
              <a:latin typeface="Trebuchet MS"/>
            </a:rPr>
            <a:t>: Enter the 3, 4 or 5 years following upon the basis year, depending on the duration of the planning period.</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Currency</a:t>
          </a:r>
          <a:r>
            <a:rPr b="0" lang="en-US" sz="1000" spc="-1" strike="noStrike">
              <a:solidFill>
                <a:srgbClr val="000000"/>
              </a:solidFill>
              <a:latin typeface="Trebuchet MS"/>
            </a:rPr>
            <a:t>: Fill in the currency used in this Business Plan. The currency is only used as information. It does not convert automatically from one currency to another.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200" spc="-1" strike="noStrike" u="sng">
              <a:solidFill>
                <a:srgbClr val="000000"/>
              </a:solidFill>
              <a:uFillTx/>
              <a:latin typeface="Trebuchet MS"/>
            </a:rPr>
            <a:t>Print options buttons</a:t>
          </a: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1" lang="en-US" sz="1000" spc="-1" strike="noStrike">
              <a:solidFill>
                <a:srgbClr val="000000"/>
              </a:solidFill>
              <a:latin typeface="Trebuchet MS"/>
            </a:rPr>
            <a:t>Print Entire Business Plan: </a:t>
          </a:r>
          <a:r>
            <a:rPr b="0" lang="en-US" sz="1000" spc="-1" strike="noStrike">
              <a:solidFill>
                <a:srgbClr val="000000"/>
              </a:solidFill>
              <a:latin typeface="Trebuchet MS"/>
            </a:rPr>
            <a:t>All worksheets will be printed out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Print Financial Business Plan: </a:t>
          </a:r>
          <a:r>
            <a:rPr b="0" lang="en-US" sz="1000" spc="-1" strike="noStrike">
              <a:solidFill>
                <a:srgbClr val="000000"/>
              </a:solidFill>
              <a:latin typeface="Trebuchet MS"/>
            </a:rPr>
            <a:t>The worksheets </a:t>
          </a:r>
          <a:r>
            <a:rPr b="1" lang="en-US" sz="1000" spc="-1" strike="noStrike">
              <a:solidFill>
                <a:srgbClr val="000000"/>
              </a:solidFill>
              <a:latin typeface="Trebuchet MS"/>
            </a:rPr>
            <a:t>"</a:t>
          </a:r>
          <a:r>
            <a:rPr b="0" lang="en-US" sz="1000" spc="-1" strike="noStrike">
              <a:solidFill>
                <a:srgbClr val="000000"/>
              </a:solidFill>
              <a:latin typeface="Trebuchet MS"/>
            </a:rPr>
            <a:t>Reference sheet", "Contents", "5.1 DAF Vehicle Parc Input" and all worksheets of Chapter 7 (Quantitative Business Plan) will be printed out.</a:t>
          </a:r>
          <a:endParaRPr b="0" lang="en-US" sz="1000" spc="-1" strike="noStrike">
            <a:latin typeface="Times New Roman"/>
          </a:endParaRPr>
        </a:p>
      </xdr:txBody>
    </xdr:sp>
    <xdr:clientData/>
  </xdr:twoCellAnchor>
  <xdr:twoCellAnchor editAs="oneCell">
    <xdr:from>
      <xdr:col>9</xdr:col>
      <xdr:colOff>0</xdr:colOff>
      <xdr:row>0</xdr:row>
      <xdr:rowOff>104760</xdr:rowOff>
    </xdr:from>
    <xdr:to>
      <xdr:col>9</xdr:col>
      <xdr:colOff>409320</xdr:colOff>
      <xdr:row>1</xdr:row>
      <xdr:rowOff>9000</xdr:rowOff>
    </xdr:to>
    <xdr:sp>
      <xdr:nvSpPr>
        <xdr:cNvPr id="2" name="CustomShape 1" hidden="1"/>
        <xdr:cNvSpPr/>
      </xdr:nvSpPr>
      <xdr:spPr>
        <a:xfrm>
          <a:off x="7256520" y="104760"/>
          <a:ext cx="409320" cy="275400"/>
        </a:xfrm>
        <a:prstGeom prst="rect">
          <a:avLst/>
        </a:prstGeom>
        <a:noFill/>
        <a:ln>
          <a:noFill/>
        </a:ln>
      </xdr:spPr>
      <xdr:style>
        <a:lnRef idx="0"/>
        <a:fillRef idx="0"/>
        <a:effectRef idx="0"/>
        <a:fontRef idx="minor"/>
      </xdr:style>
    </xdr:sp>
    <xdr:clientData/>
  </xdr:twoCellAnchor>
  <xdr:twoCellAnchor editAs="oneCell">
    <xdr:from>
      <xdr:col>2</xdr:col>
      <xdr:colOff>0</xdr:colOff>
      <xdr:row>36</xdr:row>
      <xdr:rowOff>0</xdr:rowOff>
    </xdr:from>
    <xdr:to>
      <xdr:col>3</xdr:col>
      <xdr:colOff>333000</xdr:colOff>
      <xdr:row>41</xdr:row>
      <xdr:rowOff>9000</xdr:rowOff>
    </xdr:to>
    <xdr:sp>
      <xdr:nvSpPr>
        <xdr:cNvPr id="3" name="CustomShape 1" hidden="1"/>
        <xdr:cNvSpPr/>
      </xdr:nvSpPr>
      <xdr:spPr>
        <a:xfrm>
          <a:off x="1461600" y="8219880"/>
          <a:ext cx="2187720" cy="1152000"/>
        </a:xfrm>
        <a:prstGeom prst="rect">
          <a:avLst/>
        </a:prstGeom>
        <a:noFill/>
        <a:ln>
          <a:noFill/>
        </a:ln>
      </xdr:spPr>
      <xdr:style>
        <a:lnRef idx="0"/>
        <a:fillRef idx="0"/>
        <a:effectRef idx="0"/>
        <a:fontRef idx="minor"/>
      </xdr:style>
    </xdr:sp>
    <xdr:clientData/>
  </xdr:twoCellAnchor>
  <xdr:twoCellAnchor editAs="oneCell">
    <xdr:from>
      <xdr:col>7</xdr:col>
      <xdr:colOff>0</xdr:colOff>
      <xdr:row>36</xdr:row>
      <xdr:rowOff>0</xdr:rowOff>
    </xdr:from>
    <xdr:to>
      <xdr:col>9</xdr:col>
      <xdr:colOff>637920</xdr:colOff>
      <xdr:row>41</xdr:row>
      <xdr:rowOff>9000</xdr:rowOff>
    </xdr:to>
    <xdr:sp>
      <xdr:nvSpPr>
        <xdr:cNvPr id="4" name="CustomShape 1" hidden="1"/>
        <xdr:cNvSpPr/>
      </xdr:nvSpPr>
      <xdr:spPr>
        <a:xfrm>
          <a:off x="5714280" y="8219880"/>
          <a:ext cx="2180160" cy="1152000"/>
        </a:xfrm>
        <a:prstGeom prst="rect">
          <a:avLst/>
        </a:prstGeom>
        <a:noFill/>
        <a:ln>
          <a:noFill/>
        </a:ln>
      </xdr:spPr>
      <xdr:style>
        <a:lnRef idx="0"/>
        <a:fillRef idx="0"/>
        <a:effectRef idx="0"/>
        <a:fontRef idx="minor"/>
      </xdr:style>
    </xdr:sp>
    <xdr:clientData/>
  </xdr:twoCellAnchor>
  <xdr:twoCellAnchor editAs="oneCell">
    <xdr:from>
      <xdr:col>9</xdr:col>
      <xdr:colOff>0</xdr:colOff>
      <xdr:row>0</xdr:row>
      <xdr:rowOff>69840</xdr:rowOff>
    </xdr:from>
    <xdr:to>
      <xdr:col>9</xdr:col>
      <xdr:colOff>272520</xdr:colOff>
      <xdr:row>0</xdr:row>
      <xdr:rowOff>370800</xdr:rowOff>
    </xdr:to>
    <xdr:pic>
      <xdr:nvPicPr>
        <xdr:cNvPr id="5" name="CommandButton1" descr=""/>
        <xdr:cNvPicPr/>
      </xdr:nvPicPr>
      <xdr:blipFill>
        <a:blip r:embed="rId1"/>
        <a:stretch/>
      </xdr:blipFill>
      <xdr:spPr>
        <a:xfrm>
          <a:off x="7256520" y="69840"/>
          <a:ext cx="272520" cy="300960"/>
        </a:xfrm>
        <a:prstGeom prst="rect">
          <a:avLst/>
        </a:prstGeom>
        <a:ln>
          <a:noFill/>
        </a:ln>
      </xdr:spPr>
    </xdr:pic>
    <xdr:clientData/>
  </xdr:twoCellAnchor>
  <xdr:twoCellAnchor editAs="oneCell">
    <xdr:from>
      <xdr:col>2</xdr:col>
      <xdr:colOff>0</xdr:colOff>
      <xdr:row>36</xdr:row>
      <xdr:rowOff>0</xdr:rowOff>
    </xdr:from>
    <xdr:to>
      <xdr:col>3</xdr:col>
      <xdr:colOff>259920</xdr:colOff>
      <xdr:row>40</xdr:row>
      <xdr:rowOff>82080</xdr:rowOff>
    </xdr:to>
    <xdr:pic>
      <xdr:nvPicPr>
        <xdr:cNvPr id="6" name="btn_PrintAll" descr=""/>
        <xdr:cNvPicPr/>
      </xdr:nvPicPr>
      <xdr:blipFill>
        <a:blip r:embed="rId2"/>
        <a:stretch/>
      </xdr:blipFill>
      <xdr:spPr>
        <a:xfrm>
          <a:off x="1461600" y="8219880"/>
          <a:ext cx="2114640" cy="996480"/>
        </a:xfrm>
        <a:prstGeom prst="rect">
          <a:avLst/>
        </a:prstGeom>
        <a:ln>
          <a:noFill/>
        </a:ln>
      </xdr:spPr>
    </xdr:pic>
    <xdr:clientData/>
  </xdr:twoCellAnchor>
  <xdr:twoCellAnchor editAs="oneCell">
    <xdr:from>
      <xdr:col>7</xdr:col>
      <xdr:colOff>0</xdr:colOff>
      <xdr:row>36</xdr:row>
      <xdr:rowOff>0</xdr:rowOff>
    </xdr:from>
    <xdr:to>
      <xdr:col>9</xdr:col>
      <xdr:colOff>456840</xdr:colOff>
      <xdr:row>40</xdr:row>
      <xdr:rowOff>82080</xdr:rowOff>
    </xdr:to>
    <xdr:pic>
      <xdr:nvPicPr>
        <xdr:cNvPr id="7" name="btn_PrintFinancial" descr=""/>
        <xdr:cNvPicPr/>
      </xdr:nvPicPr>
      <xdr:blipFill>
        <a:blip r:embed="rId3"/>
        <a:stretch/>
      </xdr:blipFill>
      <xdr:spPr>
        <a:xfrm>
          <a:off x="5714280" y="8219880"/>
          <a:ext cx="1999080" cy="9964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17</xdr:col>
      <xdr:colOff>95400</xdr:colOff>
      <xdr:row>3</xdr:row>
      <xdr:rowOff>114480</xdr:rowOff>
    </xdr:from>
    <xdr:to>
      <xdr:col>25</xdr:col>
      <xdr:colOff>180720</xdr:colOff>
      <xdr:row>11</xdr:row>
      <xdr:rowOff>47520</xdr:rowOff>
    </xdr:to>
    <xdr:sp>
      <xdr:nvSpPr>
        <xdr:cNvPr id="8" name="CustomShape 1" hidden="1"/>
        <xdr:cNvSpPr/>
      </xdr:nvSpPr>
      <xdr:spPr>
        <a:xfrm>
          <a:off x="7616160" y="866880"/>
          <a:ext cx="3744720" cy="14950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1000" spc="-1" strike="noStrike">
              <a:solidFill>
                <a:srgbClr val="000000"/>
              </a:solidFill>
              <a:latin typeface="Trebuchet MS"/>
            </a:rPr>
            <a:t>For the Calculator to calculate the DAF sales potential for Parts, Workshop Hours and Oil please update the matrix.</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Enter the corrent number of DAF trucks in your region in the corresponding cells; where the years represent the age of the vehicles.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2</xdr:col>
      <xdr:colOff>0</xdr:colOff>
      <xdr:row>4</xdr:row>
      <xdr:rowOff>38160</xdr:rowOff>
    </xdr:from>
    <xdr:to>
      <xdr:col>25</xdr:col>
      <xdr:colOff>333000</xdr:colOff>
      <xdr:row>73</xdr:row>
      <xdr:rowOff>47160</xdr:rowOff>
    </xdr:to>
    <xdr:sp>
      <xdr:nvSpPr>
        <xdr:cNvPr id="9" name="CustomShape 1"/>
        <xdr:cNvSpPr/>
      </xdr:nvSpPr>
      <xdr:spPr>
        <a:xfrm>
          <a:off x="573840" y="1019160"/>
          <a:ext cx="10939320" cy="13134240"/>
        </a:xfrm>
        <a:prstGeom prst="rect">
          <a:avLst/>
        </a:prstGeom>
        <a:solidFill>
          <a:srgbClr val="ffffc0"/>
        </a:solidFill>
        <a:ln w="9360">
          <a:solidFill>
            <a:srgbClr val="000000"/>
          </a:solidFill>
          <a:miter/>
        </a:ln>
      </xdr:spPr>
      <xdr:style>
        <a:lnRef idx="0"/>
        <a:fillRef idx="0"/>
        <a:effectRef idx="0"/>
        <a:fontRef idx="minor"/>
      </xdr:style>
      <xdr:txBody>
        <a:bodyPr lIns="27360" rIns="0" tIns="23040" bIns="0"/>
        <a:p>
          <a:pPr>
            <a:lnSpc>
              <a:spcPct val="100000"/>
            </a:lnSpc>
          </a:pPr>
          <a:r>
            <a:rPr b="1" lang="en-US" sz="1000" spc="-1" strike="noStrike">
              <a:solidFill>
                <a:srgbClr val="000000"/>
              </a:solidFill>
              <a:latin typeface="Arial"/>
            </a:rPr>
            <a:t>General</a:t>
          </a:r>
          <a:endParaRPr b="0" lang="en-US" sz="1000" spc="-1" strike="noStrike">
            <a:latin typeface="Times New Roman"/>
          </a:endParaRPr>
        </a:p>
        <a:p>
          <a:pPr>
            <a:lnSpc>
              <a:spcPct val="100000"/>
            </a:lnSpc>
          </a:pPr>
          <a:r>
            <a:rPr b="0" lang="en-US" sz="1000" spc="-1" strike="noStrike">
              <a:solidFill>
                <a:srgbClr val="000000"/>
              </a:solidFill>
              <a:latin typeface="Arial"/>
            </a:rPr>
            <a:t>Each new candidate for a dealership has to follow a standardized process to become a dealer of DAF Trucks NV. For this reason the Dealer Development Department has developed a standard format for business planning. The input asked for is the same for all candidates.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Why making a business plan?</a:t>
          </a:r>
          <a:endParaRPr b="0" lang="en-US" sz="1000" spc="-1" strike="noStrike">
            <a:latin typeface="Times New Roman"/>
          </a:endParaRPr>
        </a:p>
        <a:p>
          <a:pPr>
            <a:lnSpc>
              <a:spcPct val="100000"/>
            </a:lnSpc>
          </a:pPr>
          <a:r>
            <a:rPr b="0" lang="en-US" sz="1000" spc="-1" strike="noStrike">
              <a:solidFill>
                <a:srgbClr val="000000"/>
              </a:solidFill>
              <a:latin typeface="Arial"/>
            </a:rPr>
            <a:t>Business planning is a process not an event. Before effective action can take place you must:</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Establish objectives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Set standards of performance</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Prepare forecasts – internal as external</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Prepare budgets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Create policy at executive level </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Establish priorities, concentrating on important tasks, customers, training and issues.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Planning is a strategic tool. Planning helps identify the opportunities and problems that are likely to develop. It helps you to know how to approach each problem, and how to gain the greatest competitive advantage. And planning is also a medium to improve profitability.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Arial"/>
            </a:rPr>
            <a:t>The business plan:</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Forecasts the expected sales volumes and the asset investments needed to support them.</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Budgets the expenditures (both capital and operating) for resources allocated to achieve the objectives.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Projects the funding required to maintain a liquid and flexible cash flow.</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The test of a good plan can be addressed by asking the following questions: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Are we achieving the desired results/goals?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Are the forecasted sales/profits and budgeted expense realistic, considering past performance and expected future activities?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Are inventory predictions reasonable, considering past performance?</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Are we adhering to the standards?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Can we afford the plan?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Arial"/>
            </a:rPr>
            <a:t>Input</a:t>
          </a:r>
          <a:endParaRPr b="0" lang="en-US" sz="1000" spc="-1" strike="noStrike">
            <a:latin typeface="Times New Roman"/>
          </a:endParaRPr>
        </a:p>
        <a:p>
          <a:pPr>
            <a:lnSpc>
              <a:spcPct val="100000"/>
            </a:lnSpc>
          </a:pPr>
          <a:r>
            <a:rPr b="0" lang="en-US" sz="1000" spc="-1" strike="noStrike">
              <a:solidFill>
                <a:srgbClr val="000000"/>
              </a:solidFill>
              <a:latin typeface="Arial"/>
            </a:rPr>
            <a:t>The user manual (please press "Help"-button) is a tool to guide the user of the business plan format through the program.</a:t>
          </a:r>
          <a:endParaRPr b="0" lang="en-US" sz="1000" spc="-1" strike="noStrike">
            <a:latin typeface="Times New Roman"/>
          </a:endParaRPr>
        </a:p>
        <a:p>
          <a:pPr>
            <a:lnSpc>
              <a:spcPct val="100000"/>
            </a:lnSpc>
          </a:pPr>
          <a:r>
            <a:rPr b="0" lang="en-US" sz="1000" spc="-1" strike="noStrike">
              <a:solidFill>
                <a:srgbClr val="000000"/>
              </a:solidFill>
              <a:latin typeface="Arial"/>
            </a:rPr>
            <a:t>For all sheets an explanation is given on how to use it. In case there are still questions you can always contact your dealer development manager.</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The business plan is a simplification of the day-to-day reality of a truck dealership. Therefore, it might be that some aspects are not incurred. However, modules are included to deal with “other activities”, in a more general way. Nonetheless, it is of the utmost importance that the parameters which are filled in the business plan represent all activities.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While filling in the financial business plan the following general accepted accounting principles are expected to be applied:</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Going Concern Principle (assumed is business to be continued for a long time) </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Consistency Principle (the same accounting methods should be applied from period to period)</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Period Matching (allocate expenses as costs in the same period as revenues are accounted for)</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Realization Principe (report profits only when realized, take losses at the moment they are noted)</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Prudence Principle (assets not to high, liabilities not to low)</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The business plan roughly consists of two parts; first a qualitative analysis and action plan, second the translation into financial figures.</a:t>
          </a:r>
          <a:endParaRPr b="0" lang="en-US" sz="1000" spc="-1" strike="noStrike">
            <a:latin typeface="Times New Roman"/>
          </a:endParaRPr>
        </a:p>
        <a:p>
          <a:pPr>
            <a:lnSpc>
              <a:spcPct val="100000"/>
            </a:lnSpc>
          </a:pPr>
          <a:r>
            <a:rPr b="0" lang="en-US" sz="1000" spc="-1" strike="noStrike">
              <a:solidFill>
                <a:srgbClr val="000000"/>
              </a:solidFill>
              <a:latin typeface="Arial"/>
            </a:rPr>
            <a:t>1. The first part can be compared with a checklist with all relevant operations in detail. In this part, the business plan focuses on processes rather than on results. The analysis of the internal organization should make clear what the strengths and weaknesses are of the dealer in order to know how to increase the overall performance and strength of the dealer. The outcome of this SWOT analysis (Strength, Weaknesses, Opportunities and Threats) leads to certain conclusions. Based on these conclusions and the objectives the action plan can be made which is also the basis for the forecast in the financial business plan.</a:t>
          </a:r>
          <a:endParaRPr b="0" lang="en-US" sz="1000" spc="-1" strike="noStrike">
            <a:latin typeface="Times New Roman"/>
          </a:endParaRPr>
        </a:p>
        <a:p>
          <a:pPr>
            <a:lnSpc>
              <a:spcPct val="100000"/>
            </a:lnSpc>
          </a:pPr>
          <a:r>
            <a:rPr b="0" lang="en-US" sz="1000" spc="-1" strike="noStrike">
              <a:solidFill>
                <a:srgbClr val="000000"/>
              </a:solidFill>
              <a:latin typeface="Arial"/>
            </a:rPr>
            <a:t>2. The concept of the financial business plan is based on an operational approach. Only the parameters of day-to-day-business have to be filled in. The financial business plan has been developed in such a way that input is reduced to the minimum. All input is analyzed automatically and doesn’t require any further input.  This means however that the reliability and accuracy of the input given has a large impact on the forecasted result of the plan.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Arial"/>
            </a:rPr>
            <a:t>Output</a:t>
          </a:r>
          <a:endParaRPr b="0" lang="en-US" sz="1000" spc="-1" strike="noStrike">
            <a:latin typeface="Times New Roman"/>
          </a:endParaRPr>
        </a:p>
        <a:p>
          <a:pPr>
            <a:lnSpc>
              <a:spcPct val="100000"/>
            </a:lnSpc>
          </a:pPr>
          <a:r>
            <a:rPr b="0" lang="en-US" sz="1000" spc="-1" strike="noStrike">
              <a:solidFill>
                <a:srgbClr val="000000"/>
              </a:solidFill>
              <a:latin typeface="Arial"/>
            </a:rPr>
            <a:t>The output is conceived in such a way that it can be used by all possible parties concerned:</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Management of the dealership</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Potential investors, partners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Banks, financial institutions</a:t>
          </a:r>
          <a:endParaRPr b="0" lang="en-US" sz="1000" spc="-1" strike="noStrike">
            <a:latin typeface="Times New Roman"/>
          </a:endParaRPr>
        </a:p>
        <a:p>
          <a:pPr>
            <a:lnSpc>
              <a:spcPct val="100000"/>
            </a:lnSpc>
          </a:pPr>
          <a:r>
            <a:rPr b="0" lang="en-US" sz="1000" spc="-1" strike="noStrike">
              <a:solidFill>
                <a:srgbClr val="000000"/>
              </a:solidFill>
              <a:latin typeface="Arial"/>
            </a:rPr>
            <a:t>• </a:t>
          </a:r>
          <a:r>
            <a:rPr b="0" lang="en-US" sz="1000" spc="-1" strike="noStrike">
              <a:solidFill>
                <a:srgbClr val="000000"/>
              </a:solidFill>
              <a:latin typeface="Arial"/>
            </a:rPr>
            <a:t>Local DAF subsidiary, importer</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Arial"/>
            </a:rPr>
            <a:t>The program </a:t>
          </a:r>
          <a:endParaRPr b="0" lang="en-US" sz="1000" spc="-1" strike="noStrike">
            <a:latin typeface="Times New Roman"/>
          </a:endParaRPr>
        </a:p>
        <a:p>
          <a:pPr>
            <a:lnSpc>
              <a:spcPct val="100000"/>
            </a:lnSpc>
          </a:pPr>
          <a:r>
            <a:rPr b="0" lang="en-US" sz="1000" spc="-1" strike="noStrike">
              <a:solidFill>
                <a:srgbClr val="000000"/>
              </a:solidFill>
              <a:latin typeface="Arial"/>
            </a:rPr>
            <a:t>The total structure of the format is fixed. The several colours of the cells have different meanings:</a:t>
          </a:r>
          <a:endParaRPr b="0" lang="en-US" sz="1000" spc="-1" strike="noStrike">
            <a:latin typeface="Times New Roman"/>
          </a:endParaRPr>
        </a:p>
        <a:p>
          <a:pPr>
            <a:lnSpc>
              <a:spcPct val="100000"/>
            </a:lnSpc>
          </a:pPr>
          <a:r>
            <a:rPr b="0" lang="en-US" sz="1000" spc="-1" strike="noStrike">
              <a:solidFill>
                <a:srgbClr val="000000"/>
              </a:solidFill>
              <a:latin typeface="Arial"/>
            </a:rPr>
            <a:t>Blue cells  should be filled in by the user</a:t>
          </a:r>
          <a:endParaRPr b="0" lang="en-US" sz="1000" spc="-1" strike="noStrike">
            <a:latin typeface="Times New Roman"/>
          </a:endParaRPr>
        </a:p>
        <a:p>
          <a:pPr>
            <a:lnSpc>
              <a:spcPct val="100000"/>
            </a:lnSpc>
          </a:pPr>
          <a:r>
            <a:rPr b="0" lang="en-US" sz="1000" spc="-1" strike="noStrike">
              <a:solidFill>
                <a:srgbClr val="000000"/>
              </a:solidFill>
              <a:latin typeface="Arial"/>
            </a:rPr>
            <a:t>Green cells  should only be filled in by the user in case of a new founded dealership </a:t>
          </a:r>
          <a:endParaRPr b="0" lang="en-US" sz="1000" spc="-1" strike="noStrike">
            <a:latin typeface="Times New Roman"/>
          </a:endParaRPr>
        </a:p>
        <a:p>
          <a:pPr>
            <a:lnSpc>
              <a:spcPct val="100000"/>
            </a:lnSpc>
          </a:pPr>
          <a:r>
            <a:rPr b="0" lang="en-US" sz="1000" spc="-1" strike="noStrike">
              <a:solidFill>
                <a:srgbClr val="000000"/>
              </a:solidFill>
              <a:latin typeface="Arial"/>
            </a:rPr>
            <a:t>Yellow cells   these cells are automatically filled in based on information given by the user</a:t>
          </a:r>
          <a:endParaRPr b="0" lang="en-US" sz="1000" spc="-1" strike="noStrike">
            <a:latin typeface="Times New Roman"/>
          </a:endParaRPr>
        </a:p>
        <a:p>
          <a:pPr>
            <a:lnSpc>
              <a:spcPct val="100000"/>
            </a:lnSpc>
          </a:pPr>
          <a:r>
            <a:rPr b="0" lang="en-US" sz="1000" spc="-1" strike="noStrike">
              <a:solidFill>
                <a:srgbClr val="000000"/>
              </a:solidFill>
              <a:latin typeface="Arial"/>
            </a:rPr>
            <a:t>and the variables automatically provided by DAF </a:t>
          </a:r>
          <a:endParaRPr b="0" lang="en-US" sz="1000" spc="-1" strike="noStrike">
            <a:latin typeface="Times New Roman"/>
          </a:endParaRPr>
        </a:p>
        <a:p>
          <a:pPr>
            <a:lnSpc>
              <a:spcPct val="100000"/>
            </a:lnSpc>
          </a:pPr>
          <a:r>
            <a:rPr b="0" lang="en-US" sz="1000" spc="-1" strike="noStrike">
              <a:solidFill>
                <a:srgbClr val="000000"/>
              </a:solidFill>
              <a:latin typeface="Arial"/>
            </a:rPr>
            <a:t>White cells  Cells which should not be changed by the user as this can affect the structure </a:t>
          </a:r>
          <a:endParaRPr b="0" lang="en-US" sz="1000" spc="-1" strike="noStrike">
            <a:latin typeface="Times New Roman"/>
          </a:endParaRPr>
        </a:p>
        <a:p>
          <a:pPr>
            <a:lnSpc>
              <a:spcPct val="100000"/>
            </a:lnSpc>
          </a:pPr>
          <a:r>
            <a:rPr b="0" lang="en-US" sz="1000" spc="-1" strike="noStrike">
              <a:solidFill>
                <a:srgbClr val="000000"/>
              </a:solidFill>
              <a:latin typeface="Arial"/>
            </a:rPr>
            <a:t>of the program and/or programmed formulas and/or programmed links. By changing white cells with formulas the reliability of the program is lost.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In some cases calculation cells are made blue instead of white. In these cases you have two options:</a:t>
          </a:r>
          <a:endParaRPr b="0" lang="en-US" sz="1000" spc="-1" strike="noStrike">
            <a:latin typeface="Times New Roman"/>
          </a:endParaRPr>
        </a:p>
        <a:p>
          <a:pPr>
            <a:lnSpc>
              <a:spcPct val="100000"/>
            </a:lnSpc>
          </a:pPr>
          <a:r>
            <a:rPr b="0" lang="en-US" sz="1000" spc="-1" strike="noStrike">
              <a:solidFill>
                <a:srgbClr val="000000"/>
              </a:solidFill>
              <a:latin typeface="Arial"/>
            </a:rPr>
            <a:t>1. In case the input for the first year is valid for the whole period of the business plan, this input is copied to the other years as well.</a:t>
          </a:r>
          <a:endParaRPr b="0" lang="en-US" sz="1000" spc="-1" strike="noStrike">
            <a:latin typeface="Times New Roman"/>
          </a:endParaRPr>
        </a:p>
        <a:p>
          <a:pPr>
            <a:lnSpc>
              <a:spcPct val="100000"/>
            </a:lnSpc>
          </a:pPr>
          <a:r>
            <a:rPr b="0" lang="en-US" sz="1000" spc="-1" strike="noStrike">
              <a:solidFill>
                <a:srgbClr val="000000"/>
              </a:solidFill>
              <a:latin typeface="Arial"/>
            </a:rPr>
            <a:t>2. In case the input for the first year is not valid for all years, you can overwrite the formula. However, once you have overwritten the formula, you cannot return to option number 1.</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Arial"/>
            </a:rPr>
            <a:t>Software</a:t>
          </a:r>
          <a:endParaRPr b="0" lang="en-US" sz="1000" spc="-1" strike="noStrike">
            <a:latin typeface="Times New Roman"/>
          </a:endParaRPr>
        </a:p>
        <a:p>
          <a:pPr>
            <a:lnSpc>
              <a:spcPct val="100000"/>
            </a:lnSpc>
          </a:pPr>
          <a:r>
            <a:rPr b="0" lang="en-US" sz="1000" spc="-1" strike="noStrike">
              <a:solidFill>
                <a:srgbClr val="000000"/>
              </a:solidFill>
              <a:latin typeface="Arial"/>
            </a:rPr>
            <a:t>The program has been written in Microsoft Excel.</a:t>
          </a:r>
          <a:endParaRPr b="0" lang="en-US" sz="1000" spc="-1" strike="noStrike">
            <a:latin typeface="Times New Roman"/>
          </a:endParaRPr>
        </a:p>
        <a:p>
          <a:pPr>
            <a:lnSpc>
              <a:spcPct val="100000"/>
            </a:lnSpc>
          </a:pPr>
          <a:r>
            <a:rPr b="0" lang="en-US" sz="1000" spc="-1" strike="noStrike">
              <a:solidFill>
                <a:srgbClr val="000000"/>
              </a:solidFill>
              <a:latin typeface="Arial"/>
            </a:rPr>
            <a:t>In order to keep a master file available with all original formulas, we advise you to save the file under a different name when using it. </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409680</xdr:colOff>
      <xdr:row>8</xdr:row>
      <xdr:rowOff>0</xdr:rowOff>
    </xdr:from>
    <xdr:to>
      <xdr:col>11</xdr:col>
      <xdr:colOff>342720</xdr:colOff>
      <xdr:row>61</xdr:row>
      <xdr:rowOff>66240</xdr:rowOff>
    </xdr:to>
    <xdr:sp>
      <xdr:nvSpPr>
        <xdr:cNvPr id="10" name="CustomShape 1"/>
        <xdr:cNvSpPr/>
      </xdr:nvSpPr>
      <xdr:spPr>
        <a:xfrm>
          <a:off x="409680" y="1634400"/>
          <a:ext cx="9690840" cy="101628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628560</xdr:colOff>
      <xdr:row>12</xdr:row>
      <xdr:rowOff>28440</xdr:rowOff>
    </xdr:from>
    <xdr:to>
      <xdr:col>13</xdr:col>
      <xdr:colOff>752040</xdr:colOff>
      <xdr:row>26</xdr:row>
      <xdr:rowOff>142560</xdr:rowOff>
    </xdr:to>
    <xdr:sp>
      <xdr:nvSpPr>
        <xdr:cNvPr id="11" name="CustomShape 1" hidden="1"/>
        <xdr:cNvSpPr/>
      </xdr:nvSpPr>
      <xdr:spPr>
        <a:xfrm>
          <a:off x="3289680" y="2424600"/>
          <a:ext cx="8994240" cy="27813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1.0 Executive summary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Within this space, you'll need to provide a synopsis of your entire business plan. Please make this summary after filling in the business plan.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Key elements that should be included are:</a:t>
          </a:r>
          <a:endParaRPr b="0" lang="en-US" sz="800" spc="-1" strike="noStrike">
            <a:latin typeface="Times New Roman"/>
          </a:endParaRPr>
        </a:p>
        <a:p>
          <a:pPr>
            <a:lnSpc>
              <a:spcPct val="100000"/>
            </a:lnSpc>
          </a:pPr>
          <a:r>
            <a:rPr b="0" lang="en-US" sz="800" spc="-1" strike="noStrike">
              <a:solidFill>
                <a:srgbClr val="000000"/>
              </a:solidFill>
              <a:latin typeface="Trebuchet MS"/>
            </a:rPr>
            <a:t>1. Business concept. Describe the business, its product and the market it will serve. It should point out just exactly what will be sold, to whom and why the business will hold a competitive advantage.</a:t>
          </a:r>
          <a:endParaRPr b="0" lang="en-US" sz="800" spc="-1" strike="noStrike">
            <a:latin typeface="Times New Roman"/>
          </a:endParaRPr>
        </a:p>
        <a:p>
          <a:pPr>
            <a:lnSpc>
              <a:spcPct val="100000"/>
            </a:lnSpc>
          </a:pPr>
          <a:r>
            <a:rPr b="0" lang="en-US" sz="800" spc="-1" strike="noStrike">
              <a:solidFill>
                <a:srgbClr val="000000"/>
              </a:solidFill>
              <a:latin typeface="Trebuchet MS"/>
            </a:rPr>
            <a:t>2. Financial features. Highlight the important financial points of the business including sales, profits, cash flows and return on investment.</a:t>
          </a:r>
          <a:endParaRPr b="0" lang="en-US" sz="800" spc="-1" strike="noStrike">
            <a:latin typeface="Times New Roman"/>
          </a:endParaRPr>
        </a:p>
        <a:p>
          <a:pPr>
            <a:lnSpc>
              <a:spcPct val="100000"/>
            </a:lnSpc>
          </a:pPr>
          <a:r>
            <a:rPr b="0" lang="en-US" sz="800" spc="-1" strike="noStrike">
              <a:solidFill>
                <a:srgbClr val="000000"/>
              </a:solidFill>
              <a:latin typeface="Trebuchet MS"/>
            </a:rPr>
            <a:t>3. Financial requirements. Clearly states the capital needed to start the business and to expand. It should detail how the capital will be used, and the equity, if any, that will be provided for funding. If the loan for initial capital will be based on security instead of equity, you should also specify the source of collateral.</a:t>
          </a:r>
          <a:endParaRPr b="0" lang="en-US" sz="800" spc="-1" strike="noStrike">
            <a:latin typeface="Times New Roman"/>
          </a:endParaRPr>
        </a:p>
        <a:p>
          <a:pPr>
            <a:lnSpc>
              <a:spcPct val="100000"/>
            </a:lnSpc>
          </a:pPr>
          <a:r>
            <a:rPr b="0" lang="en-US" sz="800" spc="-1" strike="noStrike">
              <a:solidFill>
                <a:srgbClr val="000000"/>
              </a:solidFill>
              <a:latin typeface="Trebuchet MS"/>
            </a:rPr>
            <a:t>4. Current business position. Furnish relevant information about the company, its legal form of operation, when it was formed, the principal owners and key personnel.</a:t>
          </a:r>
          <a:endParaRPr b="0" lang="en-US" sz="800" spc="-1" strike="noStrike">
            <a:latin typeface="Times New Roman"/>
          </a:endParaRPr>
        </a:p>
        <a:p>
          <a:pPr>
            <a:lnSpc>
              <a:spcPct val="100000"/>
            </a:lnSpc>
          </a:pPr>
          <a:r>
            <a:rPr b="0" lang="en-US" sz="800" spc="-1" strike="noStrike">
              <a:solidFill>
                <a:srgbClr val="000000"/>
              </a:solidFill>
              <a:latin typeface="Trebuchet MS"/>
            </a:rPr>
            <a:t>5. Major achievements. Detail any developments within the company that are essential to the success of the business. Major achievements include items like location of the facility, any crucial contracts, or results from any test marketing that has been conducted.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95400</xdr:colOff>
      <xdr:row>0</xdr:row>
      <xdr:rowOff>104760</xdr:rowOff>
    </xdr:from>
    <xdr:to>
      <xdr:col>5</xdr:col>
      <xdr:colOff>742680</xdr:colOff>
      <xdr:row>1</xdr:row>
      <xdr:rowOff>162000</xdr:rowOff>
    </xdr:to>
    <xdr:sp>
      <xdr:nvSpPr>
        <xdr:cNvPr id="12" name="CustomShape 1" hidden="1"/>
        <xdr:cNvSpPr/>
      </xdr:nvSpPr>
      <xdr:spPr>
        <a:xfrm>
          <a:off x="4530600" y="104760"/>
          <a:ext cx="647280" cy="428400"/>
        </a:xfrm>
        <a:prstGeom prst="rect">
          <a:avLst/>
        </a:prstGeom>
        <a:noFill/>
        <a:ln>
          <a:noFill/>
        </a:ln>
      </xdr:spPr>
      <xdr:style>
        <a:lnRef idx="0"/>
        <a:fillRef idx="0"/>
        <a:effectRef idx="0"/>
        <a:fontRef idx="minor"/>
      </xdr:style>
    </xdr:sp>
    <xdr:clientData/>
  </xdr:twoCellAnchor>
  <xdr:twoCellAnchor editAs="oneCell">
    <xdr:from>
      <xdr:col>5</xdr:col>
      <xdr:colOff>63360</xdr:colOff>
      <xdr:row>0</xdr:row>
      <xdr:rowOff>69840</xdr:rowOff>
    </xdr:from>
    <xdr:to>
      <xdr:col>5</xdr:col>
      <xdr:colOff>494640</xdr:colOff>
      <xdr:row>0</xdr:row>
      <xdr:rowOff>355320</xdr:rowOff>
    </xdr:to>
    <xdr:pic>
      <xdr:nvPicPr>
        <xdr:cNvPr id="13" name="CommandButton2" descr=""/>
        <xdr:cNvPicPr/>
      </xdr:nvPicPr>
      <xdr:blipFill>
        <a:blip r:embed="rId1"/>
        <a:stretch/>
      </xdr:blipFill>
      <xdr:spPr>
        <a:xfrm>
          <a:off x="4498560" y="69840"/>
          <a:ext cx="431280" cy="28548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6</xdr:row>
      <xdr:rowOff>0</xdr:rowOff>
    </xdr:from>
    <xdr:to>
      <xdr:col>10</xdr:col>
      <xdr:colOff>599760</xdr:colOff>
      <xdr:row>10</xdr:row>
      <xdr:rowOff>190440</xdr:rowOff>
    </xdr:to>
    <xdr:sp>
      <xdr:nvSpPr>
        <xdr:cNvPr id="14" name="CustomShape 1"/>
        <xdr:cNvSpPr/>
      </xdr:nvSpPr>
      <xdr:spPr>
        <a:xfrm>
          <a:off x="0" y="1276920"/>
          <a:ext cx="9358200" cy="9522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a:t>
          </a:r>
          <a:endParaRPr b="0" lang="en-US" sz="1200" spc="-1" strike="noStrike">
            <a:latin typeface="Times New Roman"/>
          </a:endParaRPr>
        </a:p>
      </xdr:txBody>
    </xdr:sp>
    <xdr:clientData/>
  </xdr:twoCellAnchor>
  <xdr:twoCellAnchor editAs="oneCell">
    <xdr:from>
      <xdr:col>0</xdr:col>
      <xdr:colOff>0</xdr:colOff>
      <xdr:row>13</xdr:row>
      <xdr:rowOff>0</xdr:rowOff>
    </xdr:from>
    <xdr:to>
      <xdr:col>10</xdr:col>
      <xdr:colOff>644760</xdr:colOff>
      <xdr:row>24</xdr:row>
      <xdr:rowOff>9000</xdr:rowOff>
    </xdr:to>
    <xdr:sp>
      <xdr:nvSpPr>
        <xdr:cNvPr id="15" name="CustomShape 1"/>
        <xdr:cNvSpPr/>
      </xdr:nvSpPr>
      <xdr:spPr>
        <a:xfrm>
          <a:off x="0" y="2610360"/>
          <a:ext cx="9403200" cy="19519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26</xdr:row>
      <xdr:rowOff>11160</xdr:rowOff>
    </xdr:from>
    <xdr:to>
      <xdr:col>10</xdr:col>
      <xdr:colOff>599760</xdr:colOff>
      <xdr:row>39</xdr:row>
      <xdr:rowOff>5760</xdr:rowOff>
    </xdr:to>
    <xdr:sp>
      <xdr:nvSpPr>
        <xdr:cNvPr id="16" name="CustomShape 1"/>
        <xdr:cNvSpPr/>
      </xdr:nvSpPr>
      <xdr:spPr>
        <a:xfrm>
          <a:off x="0" y="4945680"/>
          <a:ext cx="9358200" cy="27378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142920</xdr:colOff>
      <xdr:row>6</xdr:row>
      <xdr:rowOff>57240</xdr:rowOff>
    </xdr:from>
    <xdr:to>
      <xdr:col>9</xdr:col>
      <xdr:colOff>466560</xdr:colOff>
      <xdr:row>20</xdr:row>
      <xdr:rowOff>95040</xdr:rowOff>
    </xdr:to>
    <xdr:sp>
      <xdr:nvSpPr>
        <xdr:cNvPr id="17" name="CustomShape 1" hidden="1"/>
        <xdr:cNvSpPr/>
      </xdr:nvSpPr>
      <xdr:spPr>
        <a:xfrm>
          <a:off x="4234680" y="1334160"/>
          <a:ext cx="4345200" cy="26665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1.1 Mission &amp; Objectives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Business vision</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vision of the company.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Business mission</a:t>
          </a:r>
          <a:endParaRPr b="0" lang="en-US" sz="800" spc="-1" strike="noStrike">
            <a:latin typeface="Times New Roman"/>
          </a:endParaRPr>
        </a:p>
        <a:p>
          <a:pPr>
            <a:lnSpc>
              <a:spcPct val="100000"/>
            </a:lnSpc>
          </a:pPr>
          <a:r>
            <a:rPr b="0" lang="en-US" sz="800" spc="-1" strike="noStrike">
              <a:solidFill>
                <a:srgbClr val="000000"/>
              </a:solidFill>
              <a:latin typeface="Trebuchet MS"/>
            </a:rPr>
            <a:t>Your mission statement is an opportunity to define your business at the most basic level. It should tell your company story and ideals in less than 30 seconds: who your company is, what you do, what you stand for, and why you do it.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Strategic objectives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objectives, the goals of the planning period of this Business Plan. </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3</xdr:col>
      <xdr:colOff>133200</xdr:colOff>
      <xdr:row>0</xdr:row>
      <xdr:rowOff>104760</xdr:rowOff>
    </xdr:from>
    <xdr:to>
      <xdr:col>3</xdr:col>
      <xdr:colOff>551880</xdr:colOff>
      <xdr:row>1</xdr:row>
      <xdr:rowOff>9000</xdr:rowOff>
    </xdr:to>
    <xdr:sp>
      <xdr:nvSpPr>
        <xdr:cNvPr id="18" name="CustomShape 1" hidden="1"/>
        <xdr:cNvSpPr/>
      </xdr:nvSpPr>
      <xdr:spPr>
        <a:xfrm>
          <a:off x="4224960" y="104760"/>
          <a:ext cx="418680" cy="275400"/>
        </a:xfrm>
        <a:prstGeom prst="rect">
          <a:avLst/>
        </a:prstGeom>
        <a:noFill/>
        <a:ln>
          <a:noFill/>
        </a:ln>
      </xdr:spPr>
      <xdr:style>
        <a:lnRef idx="0"/>
        <a:fillRef idx="0"/>
        <a:effectRef idx="0"/>
        <a:fontRef idx="minor"/>
      </xdr:style>
    </xdr:sp>
    <xdr:clientData/>
  </xdr:twoCellAnchor>
  <xdr:twoCellAnchor editAs="oneCell">
    <xdr:from>
      <xdr:col>3</xdr:col>
      <xdr:colOff>88920</xdr:colOff>
      <xdr:row>0</xdr:row>
      <xdr:rowOff>69840</xdr:rowOff>
    </xdr:from>
    <xdr:to>
      <xdr:col>3</xdr:col>
      <xdr:colOff>361440</xdr:colOff>
      <xdr:row>0</xdr:row>
      <xdr:rowOff>370800</xdr:rowOff>
    </xdr:to>
    <xdr:pic>
      <xdr:nvPicPr>
        <xdr:cNvPr id="19" name="CommandButton1" descr=""/>
        <xdr:cNvPicPr/>
      </xdr:nvPicPr>
      <xdr:blipFill>
        <a:blip r:embed="rId1"/>
        <a:stretch/>
      </xdr:blipFill>
      <xdr:spPr>
        <a:xfrm>
          <a:off x="4180680" y="69840"/>
          <a:ext cx="272520" cy="30096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361800</xdr:colOff>
      <xdr:row>2</xdr:row>
      <xdr:rowOff>38160</xdr:rowOff>
    </xdr:from>
    <xdr:to>
      <xdr:col>9</xdr:col>
      <xdr:colOff>732960</xdr:colOff>
      <xdr:row>22</xdr:row>
      <xdr:rowOff>133200</xdr:rowOff>
    </xdr:to>
    <xdr:sp>
      <xdr:nvSpPr>
        <xdr:cNvPr id="20" name="CustomShape 1" hidden="1"/>
        <xdr:cNvSpPr/>
      </xdr:nvSpPr>
      <xdr:spPr>
        <a:xfrm>
          <a:off x="2962080" y="647640"/>
          <a:ext cx="6417360" cy="46677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2.0 Company Profile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 this section general information is asked of your company. This information is also needed to set up your company in the DAF systems.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Legal name dealership: statuary name of the company     </a:t>
          </a:r>
          <a:endParaRPr b="0" lang="en-US" sz="800" spc="-1" strike="noStrike">
            <a:latin typeface="Times New Roman"/>
          </a:endParaRPr>
        </a:p>
        <a:p>
          <a:pPr>
            <a:lnSpc>
              <a:spcPct val="100000"/>
            </a:lnSpc>
          </a:pPr>
          <a:r>
            <a:rPr b="0" lang="en-US" sz="800" spc="-1" strike="noStrike">
              <a:solidFill>
                <a:srgbClr val="000000"/>
              </a:solidFill>
              <a:latin typeface="Trebuchet MS"/>
            </a:rPr>
            <a:t>Trading Name(s): other name(s)     </a:t>
          </a:r>
          <a:endParaRPr b="0" lang="en-US" sz="800" spc="-1" strike="noStrike">
            <a:latin typeface="Times New Roman"/>
          </a:endParaRPr>
        </a:p>
        <a:p>
          <a:pPr>
            <a:lnSpc>
              <a:spcPct val="100000"/>
            </a:lnSpc>
          </a:pPr>
          <a:r>
            <a:rPr b="0" lang="en-US" sz="800" spc="-1" strike="noStrike">
              <a:solidFill>
                <a:srgbClr val="000000"/>
              </a:solidFill>
              <a:latin typeface="Trebuchet MS"/>
            </a:rPr>
            <a:t>Address: address of dealership facility      </a:t>
          </a:r>
          <a:endParaRPr b="0" lang="en-US" sz="800" spc="-1" strike="noStrike">
            <a:latin typeface="Times New Roman"/>
          </a:endParaRPr>
        </a:p>
        <a:p>
          <a:pPr>
            <a:lnSpc>
              <a:spcPct val="100000"/>
            </a:lnSpc>
          </a:pPr>
          <a:r>
            <a:rPr b="0" lang="en-US" sz="800" spc="-1" strike="noStrike">
              <a:solidFill>
                <a:srgbClr val="000000"/>
              </a:solidFill>
              <a:latin typeface="Trebuchet MS"/>
            </a:rPr>
            <a:t>Postal code: postal code of dealership facility      </a:t>
          </a:r>
          <a:endParaRPr b="0" lang="en-US" sz="800" spc="-1" strike="noStrike">
            <a:latin typeface="Times New Roman"/>
          </a:endParaRPr>
        </a:p>
        <a:p>
          <a:pPr>
            <a:lnSpc>
              <a:spcPct val="100000"/>
            </a:lnSpc>
          </a:pPr>
          <a:r>
            <a:rPr b="0" lang="en-US" sz="800" spc="-1" strike="noStrike">
              <a:solidFill>
                <a:srgbClr val="000000"/>
              </a:solidFill>
              <a:latin typeface="Trebuchet MS"/>
            </a:rPr>
            <a:t>City</a:t>
          </a:r>
          <a:endParaRPr b="0" lang="en-US" sz="800" spc="-1" strike="noStrike">
            <a:latin typeface="Times New Roman"/>
          </a:endParaRPr>
        </a:p>
        <a:p>
          <a:pPr>
            <a:lnSpc>
              <a:spcPct val="100000"/>
            </a:lnSpc>
          </a:pPr>
          <a:r>
            <a:rPr b="0" lang="en-US" sz="800" spc="-1" strike="noStrike">
              <a:solidFill>
                <a:srgbClr val="000000"/>
              </a:solidFill>
              <a:latin typeface="Trebuchet MS"/>
            </a:rPr>
            <a:t>Country</a:t>
          </a:r>
          <a:endParaRPr b="0" lang="en-US" sz="800" spc="-1" strike="noStrike">
            <a:latin typeface="Times New Roman"/>
          </a:endParaRPr>
        </a:p>
        <a:p>
          <a:pPr>
            <a:lnSpc>
              <a:spcPct val="100000"/>
            </a:lnSpc>
          </a:pPr>
          <a:r>
            <a:rPr b="0" lang="en-US" sz="800" spc="-1" strike="noStrike">
              <a:solidFill>
                <a:srgbClr val="000000"/>
              </a:solidFill>
              <a:latin typeface="Trebuchet MS"/>
            </a:rPr>
            <a:t>Telephone number</a:t>
          </a:r>
          <a:endParaRPr b="0" lang="en-US" sz="800" spc="-1" strike="noStrike">
            <a:latin typeface="Times New Roman"/>
          </a:endParaRPr>
        </a:p>
        <a:p>
          <a:pPr>
            <a:lnSpc>
              <a:spcPct val="100000"/>
            </a:lnSpc>
          </a:pPr>
          <a:r>
            <a:rPr b="0" lang="en-US" sz="800" spc="-1" strike="noStrike">
              <a:solidFill>
                <a:srgbClr val="000000"/>
              </a:solidFill>
              <a:latin typeface="Trebuchet MS"/>
            </a:rPr>
            <a:t>Fax number      </a:t>
          </a:r>
          <a:endParaRPr b="0" lang="en-US" sz="800" spc="-1" strike="noStrike">
            <a:latin typeface="Times New Roman"/>
          </a:endParaRPr>
        </a:p>
        <a:p>
          <a:pPr>
            <a:lnSpc>
              <a:spcPct val="100000"/>
            </a:lnSpc>
          </a:pPr>
          <a:r>
            <a:rPr b="0" lang="en-US" sz="800" spc="-1" strike="noStrike">
              <a:solidFill>
                <a:srgbClr val="000000"/>
              </a:solidFill>
              <a:latin typeface="Trebuchet MS"/>
            </a:rPr>
            <a:t>E-mail address      </a:t>
          </a:r>
          <a:endParaRPr b="0" lang="en-US" sz="800" spc="-1" strike="noStrike">
            <a:latin typeface="Times New Roman"/>
          </a:endParaRPr>
        </a:p>
        <a:p>
          <a:pPr>
            <a:lnSpc>
              <a:spcPct val="100000"/>
            </a:lnSpc>
          </a:pPr>
          <a:r>
            <a:rPr b="0" lang="en-US" sz="800" spc="-1" strike="noStrike">
              <a:solidFill>
                <a:srgbClr val="000000"/>
              </a:solidFill>
              <a:latin typeface="Trebuchet MS"/>
            </a:rPr>
            <a:t>Web-site      </a:t>
          </a:r>
          <a:endParaRPr b="0" lang="en-US" sz="800" spc="-1" strike="noStrike">
            <a:latin typeface="Times New Roman"/>
          </a:endParaRPr>
        </a:p>
        <a:p>
          <a:pPr>
            <a:lnSpc>
              <a:spcPct val="100000"/>
            </a:lnSpc>
          </a:pPr>
          <a:r>
            <a:rPr b="0" lang="en-US" sz="800" spc="-1" strike="noStrike">
              <a:solidFill>
                <a:srgbClr val="000000"/>
              </a:solidFill>
              <a:latin typeface="Trebuchet MS"/>
            </a:rPr>
            <a:t>Legal entity: Limited liability or not: Please choose one of the pre-selected options  </a:t>
          </a:r>
          <a:endParaRPr b="0" lang="en-US" sz="800" spc="-1" strike="noStrike">
            <a:latin typeface="Times New Roman"/>
          </a:endParaRPr>
        </a:p>
        <a:p>
          <a:pPr>
            <a:lnSpc>
              <a:spcPct val="100000"/>
            </a:lnSpc>
          </a:pPr>
          <a:r>
            <a:rPr b="0" lang="en-US" sz="800" spc="-1" strike="noStrike">
              <a:solidFill>
                <a:srgbClr val="000000"/>
              </a:solidFill>
              <a:latin typeface="Trebuchet MS"/>
            </a:rPr>
            <a:t>VAT number (EU countries only)      </a:t>
          </a:r>
          <a:endParaRPr b="0" lang="en-US" sz="800" spc="-1" strike="noStrike">
            <a:latin typeface="Times New Roman"/>
          </a:endParaRPr>
        </a:p>
        <a:p>
          <a:pPr>
            <a:lnSpc>
              <a:spcPct val="100000"/>
            </a:lnSpc>
          </a:pPr>
          <a:r>
            <a:rPr b="0" lang="en-US" sz="800" spc="-1" strike="noStrike">
              <a:solidFill>
                <a:srgbClr val="000000"/>
              </a:solidFill>
              <a:latin typeface="Trebuchet MS"/>
            </a:rPr>
            <a:t>Chamber of Commerce number: Fill here in your Chamber of Commerce number</a:t>
          </a:r>
          <a:endParaRPr b="0" lang="en-US" sz="800" spc="-1" strike="noStrike">
            <a:latin typeface="Times New Roman"/>
          </a:endParaRPr>
        </a:p>
        <a:p>
          <a:pPr>
            <a:lnSpc>
              <a:spcPct val="100000"/>
            </a:lnSpc>
          </a:pPr>
          <a:r>
            <a:rPr b="0" lang="en-US" sz="800" spc="-1" strike="noStrike">
              <a:solidFill>
                <a:srgbClr val="000000"/>
              </a:solidFill>
              <a:latin typeface="Trebuchet MS"/>
            </a:rPr>
            <a:t>Chamber of Commerce seat: Location of registration    </a:t>
          </a:r>
          <a:endParaRPr b="0" lang="en-US" sz="800" spc="-1" strike="noStrike">
            <a:latin typeface="Times New Roman"/>
          </a:endParaRPr>
        </a:p>
        <a:p>
          <a:pPr>
            <a:lnSpc>
              <a:spcPct val="100000"/>
            </a:lnSpc>
          </a:pPr>
          <a:r>
            <a:rPr b="0" lang="en-US" sz="800" spc="-1" strike="noStrike">
              <a:solidFill>
                <a:srgbClr val="000000"/>
              </a:solidFill>
              <a:latin typeface="Trebuchet MS"/>
            </a:rPr>
            <a:t>ISO-certificate 9001: yes or no (if yes, valid date thru:)</a:t>
          </a:r>
          <a:endParaRPr b="0" lang="en-US" sz="800" spc="-1" strike="noStrike">
            <a:latin typeface="Times New Roman"/>
          </a:endParaRPr>
        </a:p>
        <a:p>
          <a:pPr>
            <a:lnSpc>
              <a:spcPct val="100000"/>
            </a:lnSpc>
          </a:pPr>
          <a:r>
            <a:rPr b="0" lang="en-US" sz="800" spc="-1" strike="noStrike">
              <a:solidFill>
                <a:srgbClr val="000000"/>
              </a:solidFill>
              <a:latin typeface="Trebuchet MS"/>
            </a:rPr>
            <a:t>ISO-certificate 14001: yes or no (if yes, valid date thru:)</a:t>
          </a:r>
          <a:endParaRPr b="0" lang="en-US" sz="800" spc="-1" strike="noStrike">
            <a:latin typeface="Times New Roman"/>
          </a:endParaRPr>
        </a:p>
        <a:p>
          <a:pPr>
            <a:lnSpc>
              <a:spcPct val="100000"/>
            </a:lnSpc>
          </a:pPr>
          <a:r>
            <a:rPr b="0" lang="en-US" sz="800" spc="-1" strike="noStrike">
              <a:solidFill>
                <a:srgbClr val="000000"/>
              </a:solidFill>
              <a:latin typeface="Trebuchet MS"/>
            </a:rPr>
            <a:t>Name of (dealer) holding: name of the parent company</a:t>
          </a:r>
          <a:endParaRPr b="0" lang="en-US" sz="800" spc="-1" strike="noStrike">
            <a:latin typeface="Times New Roman"/>
          </a:endParaRPr>
        </a:p>
        <a:p>
          <a:pPr>
            <a:lnSpc>
              <a:spcPct val="100000"/>
            </a:lnSpc>
          </a:pPr>
          <a:r>
            <a:rPr b="0" lang="en-US" sz="800" spc="-1" strike="noStrike">
              <a:solidFill>
                <a:srgbClr val="000000"/>
              </a:solidFill>
              <a:latin typeface="Trebuchet MS"/>
            </a:rPr>
            <a:t>Date established: date of foundation      </a:t>
          </a:r>
          <a:endParaRPr b="0" lang="en-US" sz="800" spc="-1" strike="noStrike">
            <a:latin typeface="Times New Roman"/>
          </a:endParaRPr>
        </a:p>
        <a:p>
          <a:pPr>
            <a:lnSpc>
              <a:spcPct val="100000"/>
            </a:lnSpc>
          </a:pPr>
          <a:r>
            <a:rPr b="0" lang="en-US" sz="800" spc="-1" strike="noStrike">
              <a:solidFill>
                <a:srgbClr val="000000"/>
              </a:solidFill>
              <a:latin typeface="Trebuchet MS"/>
            </a:rPr>
            <a:t>Chamber of Commerce number Holding: Fill here in your Chamber of Commerce number of Holding company</a:t>
          </a:r>
          <a:endParaRPr b="0" lang="en-US" sz="800" spc="-1" strike="noStrike">
            <a:latin typeface="Times New Roman"/>
          </a:endParaRPr>
        </a:p>
      </xdr:txBody>
    </xdr:sp>
    <xdr:clientData/>
  </xdr:twoCellAnchor>
  <xdr:twoCellAnchor editAs="oneCell">
    <xdr:from>
      <xdr:col>5</xdr:col>
      <xdr:colOff>95400</xdr:colOff>
      <xdr:row>0</xdr:row>
      <xdr:rowOff>104760</xdr:rowOff>
    </xdr:from>
    <xdr:to>
      <xdr:col>5</xdr:col>
      <xdr:colOff>742680</xdr:colOff>
      <xdr:row>1</xdr:row>
      <xdr:rowOff>171360</xdr:rowOff>
    </xdr:to>
    <xdr:sp>
      <xdr:nvSpPr>
        <xdr:cNvPr id="21" name="CustomShape 1" hidden="1"/>
        <xdr:cNvSpPr/>
      </xdr:nvSpPr>
      <xdr:spPr>
        <a:xfrm>
          <a:off x="4710960" y="104760"/>
          <a:ext cx="647280" cy="428400"/>
        </a:xfrm>
        <a:prstGeom prst="rect">
          <a:avLst/>
        </a:prstGeom>
        <a:noFill/>
        <a:ln>
          <a:noFill/>
        </a:ln>
      </xdr:spPr>
      <xdr:style>
        <a:lnRef idx="0"/>
        <a:fillRef idx="0"/>
        <a:effectRef idx="0"/>
        <a:fontRef idx="minor"/>
      </xdr:style>
    </xdr:sp>
    <xdr:clientData/>
  </xdr:twoCellAnchor>
  <xdr:twoCellAnchor editAs="oneCell">
    <xdr:from>
      <xdr:col>5</xdr:col>
      <xdr:colOff>63360</xdr:colOff>
      <xdr:row>0</xdr:row>
      <xdr:rowOff>69840</xdr:rowOff>
    </xdr:from>
    <xdr:to>
      <xdr:col>5</xdr:col>
      <xdr:colOff>494640</xdr:colOff>
      <xdr:row>0</xdr:row>
      <xdr:rowOff>355320</xdr:rowOff>
    </xdr:to>
    <xdr:pic>
      <xdr:nvPicPr>
        <xdr:cNvPr id="22" name="CommandButton1" descr=""/>
        <xdr:cNvPicPr/>
      </xdr:nvPicPr>
      <xdr:blipFill>
        <a:blip r:embed="rId1"/>
        <a:stretch/>
      </xdr:blipFill>
      <xdr:spPr>
        <a:xfrm>
          <a:off x="4678920" y="69840"/>
          <a:ext cx="431280" cy="28548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19080</xdr:colOff>
      <xdr:row>6</xdr:row>
      <xdr:rowOff>0</xdr:rowOff>
    </xdr:from>
    <xdr:to>
      <xdr:col>10</xdr:col>
      <xdr:colOff>1018800</xdr:colOff>
      <xdr:row>12</xdr:row>
      <xdr:rowOff>190080</xdr:rowOff>
    </xdr:to>
    <xdr:sp>
      <xdr:nvSpPr>
        <xdr:cNvPr id="23" name="CustomShape 1"/>
        <xdr:cNvSpPr/>
      </xdr:nvSpPr>
      <xdr:spPr>
        <a:xfrm>
          <a:off x="19080" y="1405080"/>
          <a:ext cx="14607720" cy="13330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31</xdr:row>
      <xdr:rowOff>0</xdr:rowOff>
    </xdr:from>
    <xdr:to>
      <xdr:col>10</xdr:col>
      <xdr:colOff>1018800</xdr:colOff>
      <xdr:row>46</xdr:row>
      <xdr:rowOff>180720</xdr:rowOff>
    </xdr:to>
    <xdr:sp>
      <xdr:nvSpPr>
        <xdr:cNvPr id="24" name="CustomShape 1"/>
        <xdr:cNvSpPr/>
      </xdr:nvSpPr>
      <xdr:spPr>
        <a:xfrm>
          <a:off x="9360" y="6167520"/>
          <a:ext cx="14617440" cy="30384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49</xdr:row>
      <xdr:rowOff>0</xdr:rowOff>
    </xdr:from>
    <xdr:to>
      <xdr:col>10</xdr:col>
      <xdr:colOff>1018800</xdr:colOff>
      <xdr:row>53</xdr:row>
      <xdr:rowOff>190080</xdr:rowOff>
    </xdr:to>
    <xdr:sp>
      <xdr:nvSpPr>
        <xdr:cNvPr id="25" name="CustomShape 1"/>
        <xdr:cNvSpPr/>
      </xdr:nvSpPr>
      <xdr:spPr>
        <a:xfrm>
          <a:off x="9360" y="9596520"/>
          <a:ext cx="14617440" cy="9522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Located in the capital city , easy access to Tunisia main highway. </a:t>
          </a:r>
          <a:r>
            <a:rPr b="0" lang="en-US" sz="1100" spc="-1" strike="noStrike">
              <a:latin typeface="Calibri"/>
            </a:rPr>
            <a:t>Located near the  main harbours (La Goulette, Rades)  / airports / main industrial parks                                                                                                                                                                             highly educated  population , broadband internet </a:t>
          </a:r>
          <a:endParaRPr b="0" lang="en-US" sz="1100" spc="-1" strike="noStrike">
            <a:latin typeface="Times New Roman"/>
          </a:endParaRPr>
        </a:p>
        <a:p>
          <a:pPr>
            <a:lnSpc>
              <a:spcPct val="100000"/>
            </a:lnSpc>
          </a:pPr>
          <a:endParaRPr b="0" lang="en-US" sz="1100" spc="-1" strike="noStrike">
            <a:latin typeface="Times New Roman"/>
          </a:endParaRPr>
        </a:p>
      </xdr:txBody>
    </xdr:sp>
    <xdr:clientData/>
  </xdr:twoCellAnchor>
  <xdr:twoCellAnchor editAs="oneCell">
    <xdr:from>
      <xdr:col>0</xdr:col>
      <xdr:colOff>9360</xdr:colOff>
      <xdr:row>55</xdr:row>
      <xdr:rowOff>181080</xdr:rowOff>
    </xdr:from>
    <xdr:to>
      <xdr:col>10</xdr:col>
      <xdr:colOff>1018800</xdr:colOff>
      <xdr:row>60</xdr:row>
      <xdr:rowOff>180720</xdr:rowOff>
    </xdr:to>
    <xdr:sp>
      <xdr:nvSpPr>
        <xdr:cNvPr id="26" name="CustomShape 1"/>
        <xdr:cNvSpPr/>
      </xdr:nvSpPr>
      <xdr:spPr>
        <a:xfrm>
          <a:off x="9360" y="10920600"/>
          <a:ext cx="14617440" cy="9522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Traffic, expensive </a:t>
          </a:r>
          <a:endParaRPr b="0" lang="en-US" sz="1200" spc="-1" strike="noStrike">
            <a:latin typeface="Times New Roman"/>
          </a:endParaRPr>
        </a:p>
      </xdr:txBody>
    </xdr:sp>
    <xdr:clientData/>
  </xdr:twoCellAnchor>
  <xdr:twoCellAnchor editAs="oneCell">
    <xdr:from>
      <xdr:col>4</xdr:col>
      <xdr:colOff>390600</xdr:colOff>
      <xdr:row>3</xdr:row>
      <xdr:rowOff>9360</xdr:rowOff>
    </xdr:from>
    <xdr:to>
      <xdr:col>10</xdr:col>
      <xdr:colOff>1018800</xdr:colOff>
      <xdr:row>25</xdr:row>
      <xdr:rowOff>180360</xdr:rowOff>
    </xdr:to>
    <xdr:sp>
      <xdr:nvSpPr>
        <xdr:cNvPr id="27" name="CustomShape 1" hidden="1"/>
        <xdr:cNvSpPr/>
      </xdr:nvSpPr>
      <xdr:spPr>
        <a:xfrm>
          <a:off x="5833800" y="866520"/>
          <a:ext cx="8793000" cy="43383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2.1 Company Organisation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This section is used to indicate the company history (for ongoing companies) or a start-up plan (for new companies).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 Hub and spoke structure</a:t>
          </a:r>
          <a:endParaRPr b="0" lang="en-US" sz="1000" spc="-1" strike="noStrike">
            <a:latin typeface="Times New Roman"/>
          </a:endParaRPr>
        </a:p>
        <a:p>
          <a:pPr>
            <a:lnSpc>
              <a:spcPct val="100000"/>
            </a:lnSpc>
          </a:pPr>
          <a:r>
            <a:rPr b="0" lang="en-US" sz="1000" spc="-1" strike="noStrike">
              <a:solidFill>
                <a:srgbClr val="000000"/>
              </a:solidFill>
              <a:latin typeface="Trebuchet MS"/>
            </a:rPr>
            <a:t>Describe the responsibilities of the hub and spokes in the area, is there a legal link between them, what is the size of the outlets in terms of turnover, DAF turnover and personnel etc.</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2. Organigram of the legal structure of the dealership</a:t>
          </a:r>
          <a:endParaRPr b="0" lang="en-US" sz="1000" spc="-1" strike="noStrike">
            <a:latin typeface="Times New Roman"/>
          </a:endParaRPr>
        </a:p>
        <a:p>
          <a:pPr>
            <a:lnSpc>
              <a:spcPct val="100000"/>
            </a:lnSpc>
          </a:pPr>
          <a:r>
            <a:rPr b="0" lang="en-US" sz="1000" spc="-1" strike="noStrike">
              <a:solidFill>
                <a:srgbClr val="000000"/>
              </a:solidFill>
              <a:latin typeface="Trebuchet MS"/>
            </a:rPr>
            <a:t>Show a picture of the legal structure of the dealer, what is the link to other companies, has the owner more companies etc.</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3. Map of the location of the dealership in the place of residence</a:t>
          </a:r>
          <a:endParaRPr b="0" lang="en-US" sz="1000" spc="-1" strike="noStrike">
            <a:latin typeface="Times New Roman"/>
          </a:endParaRPr>
        </a:p>
        <a:p>
          <a:pPr>
            <a:lnSpc>
              <a:spcPct val="100000"/>
            </a:lnSpc>
          </a:pPr>
          <a:r>
            <a:rPr b="0" lang="en-US" sz="1000" spc="-1" strike="noStrike">
              <a:solidFill>
                <a:srgbClr val="000000"/>
              </a:solidFill>
              <a:latin typeface="Trebuchet MS"/>
            </a:rPr>
            <a:t>Show the exact location on a map of the place of residence with clearly visible the main roads.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4. Strengths of the area organization</a:t>
          </a:r>
          <a:endParaRPr b="0" lang="en-US" sz="1000" spc="-1" strike="noStrike">
            <a:latin typeface="Times New Roman"/>
          </a:endParaRPr>
        </a:p>
        <a:p>
          <a:pPr>
            <a:lnSpc>
              <a:spcPct val="100000"/>
            </a:lnSpc>
          </a:pPr>
          <a:r>
            <a:rPr b="0" lang="en-US" sz="1000" spc="-1" strike="noStrike">
              <a:solidFill>
                <a:srgbClr val="000000"/>
              </a:solidFill>
              <a:latin typeface="Trebuchet MS"/>
            </a:rPr>
            <a:t>Indicate the main strengths of the way the area is organized.</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5. Weaknesses of the area organization</a:t>
          </a:r>
          <a:endParaRPr b="0" lang="en-US" sz="1000" spc="-1" strike="noStrike">
            <a:latin typeface="Times New Roman"/>
          </a:endParaRPr>
        </a:p>
        <a:p>
          <a:pPr>
            <a:lnSpc>
              <a:spcPct val="100000"/>
            </a:lnSpc>
          </a:pPr>
          <a:r>
            <a:rPr b="0" lang="en-US" sz="1000" spc="-1" strike="noStrike">
              <a:solidFill>
                <a:srgbClr val="000000"/>
              </a:solidFill>
              <a:latin typeface="Trebuchet MS"/>
            </a:rPr>
            <a:t>Indicate the main weaknesses of the way the area is organized.</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4</xdr:col>
      <xdr:colOff>123840</xdr:colOff>
      <xdr:row>0</xdr:row>
      <xdr:rowOff>47520</xdr:rowOff>
    </xdr:from>
    <xdr:to>
      <xdr:col>4</xdr:col>
      <xdr:colOff>723600</xdr:colOff>
      <xdr:row>1</xdr:row>
      <xdr:rowOff>28080</xdr:rowOff>
    </xdr:to>
    <xdr:sp>
      <xdr:nvSpPr>
        <xdr:cNvPr id="28" name="CustomShape 1" hidden="1"/>
        <xdr:cNvSpPr/>
      </xdr:nvSpPr>
      <xdr:spPr>
        <a:xfrm>
          <a:off x="5567040" y="47520"/>
          <a:ext cx="599760" cy="380520"/>
        </a:xfrm>
        <a:prstGeom prst="rect">
          <a:avLst/>
        </a:prstGeom>
        <a:noFill/>
        <a:ln>
          <a:noFill/>
        </a:ln>
      </xdr:spPr>
      <xdr:style>
        <a:lnRef idx="0"/>
        <a:fillRef idx="0"/>
        <a:effectRef idx="0"/>
        <a:fontRef idx="minor"/>
      </xdr:style>
    </xdr:sp>
    <xdr:clientData/>
  </xdr:twoCellAnchor>
  <xdr:twoCellAnchor editAs="oneCell">
    <xdr:from>
      <xdr:col>4</xdr:col>
      <xdr:colOff>82440</xdr:colOff>
      <xdr:row>0</xdr:row>
      <xdr:rowOff>31680</xdr:rowOff>
    </xdr:from>
    <xdr:to>
      <xdr:col>4</xdr:col>
      <xdr:colOff>482040</xdr:colOff>
      <xdr:row>1</xdr:row>
      <xdr:rowOff>18720</xdr:rowOff>
    </xdr:to>
    <xdr:pic>
      <xdr:nvPicPr>
        <xdr:cNvPr id="29" name="CommandButton1" descr=""/>
        <xdr:cNvPicPr/>
      </xdr:nvPicPr>
      <xdr:blipFill>
        <a:blip r:embed="rId1"/>
        <a:stretch/>
      </xdr:blipFill>
      <xdr:spPr>
        <a:xfrm>
          <a:off x="5525640" y="31680"/>
          <a:ext cx="399600" cy="387000"/>
        </a:xfrm>
        <a:prstGeom prst="rect">
          <a:avLst/>
        </a:prstGeom>
        <a:ln>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15</xdr:row>
      <xdr:rowOff>9360</xdr:rowOff>
    </xdr:from>
    <xdr:to>
      <xdr:col>10</xdr:col>
      <xdr:colOff>990000</xdr:colOff>
      <xdr:row>38</xdr:row>
      <xdr:rowOff>190080</xdr:rowOff>
    </xdr:to>
    <xdr:sp>
      <xdr:nvSpPr>
        <xdr:cNvPr id="30" name="CustomShape 1"/>
        <xdr:cNvSpPr/>
      </xdr:nvSpPr>
      <xdr:spPr>
        <a:xfrm>
          <a:off x="9360" y="3005640"/>
          <a:ext cx="11667600" cy="45622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41</xdr:row>
      <xdr:rowOff>9360</xdr:rowOff>
    </xdr:from>
    <xdr:to>
      <xdr:col>10</xdr:col>
      <xdr:colOff>999720</xdr:colOff>
      <xdr:row>44</xdr:row>
      <xdr:rowOff>180360</xdr:rowOff>
    </xdr:to>
    <xdr:sp>
      <xdr:nvSpPr>
        <xdr:cNvPr id="31" name="CustomShape 1"/>
        <xdr:cNvSpPr/>
      </xdr:nvSpPr>
      <xdr:spPr>
        <a:xfrm>
          <a:off x="9360" y="7958880"/>
          <a:ext cx="11677320" cy="74232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room for expansion, secured, well located, new or recently renovated facilities, </a:t>
          </a:r>
          <a:endParaRPr b="0" lang="en-US" sz="1200" spc="-1" strike="noStrike">
            <a:latin typeface="Times New Roman"/>
          </a:endParaRPr>
        </a:p>
      </xdr:txBody>
    </xdr:sp>
    <xdr:clientData/>
  </xdr:twoCellAnchor>
  <xdr:twoCellAnchor editAs="oneCell">
    <xdr:from>
      <xdr:col>0</xdr:col>
      <xdr:colOff>9360</xdr:colOff>
      <xdr:row>47</xdr:row>
      <xdr:rowOff>0</xdr:rowOff>
    </xdr:from>
    <xdr:to>
      <xdr:col>10</xdr:col>
      <xdr:colOff>999720</xdr:colOff>
      <xdr:row>50</xdr:row>
      <xdr:rowOff>180720</xdr:rowOff>
    </xdr:to>
    <xdr:sp>
      <xdr:nvSpPr>
        <xdr:cNvPr id="32" name="CustomShape 1"/>
        <xdr:cNvSpPr/>
      </xdr:nvSpPr>
      <xdr:spPr>
        <a:xfrm>
          <a:off x="9360" y="9092520"/>
          <a:ext cx="11677320" cy="75204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minor improvements needed (i.e. painting of facade and interiors), </a:t>
          </a:r>
          <a:endParaRPr b="0" lang="en-US" sz="1200" spc="-1" strike="noStrike">
            <a:latin typeface="Times New Roman"/>
          </a:endParaRPr>
        </a:p>
      </xdr:txBody>
    </xdr:sp>
    <xdr:clientData/>
  </xdr:twoCellAnchor>
  <xdr:twoCellAnchor editAs="oneCell">
    <xdr:from>
      <xdr:col>0</xdr:col>
      <xdr:colOff>9360</xdr:colOff>
      <xdr:row>52</xdr:row>
      <xdr:rowOff>181080</xdr:rowOff>
    </xdr:from>
    <xdr:to>
      <xdr:col>10</xdr:col>
      <xdr:colOff>999720</xdr:colOff>
      <xdr:row>56</xdr:row>
      <xdr:rowOff>180720</xdr:rowOff>
    </xdr:to>
    <xdr:sp>
      <xdr:nvSpPr>
        <xdr:cNvPr id="33" name="CustomShape 1"/>
        <xdr:cNvSpPr/>
      </xdr:nvSpPr>
      <xdr:spPr>
        <a:xfrm>
          <a:off x="9360" y="10225800"/>
          <a:ext cx="11677320" cy="76176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100" spc="-1" strike="noStrike">
              <a:latin typeface="Calibri"/>
            </a:rPr>
            <a:t>highlight the DAF brand facilities to be reckoned as a professional and reliable company</a:t>
          </a:r>
          <a:endParaRPr b="0" lang="en-US" sz="1100" spc="-1" strike="noStrike">
            <a:latin typeface="Times New Roman"/>
          </a:endParaRPr>
        </a:p>
      </xdr:txBody>
    </xdr:sp>
    <xdr:clientData/>
  </xdr:twoCellAnchor>
  <xdr:twoCellAnchor editAs="oneCell">
    <xdr:from>
      <xdr:col>4</xdr:col>
      <xdr:colOff>219240</xdr:colOff>
      <xdr:row>9</xdr:row>
      <xdr:rowOff>57240</xdr:rowOff>
    </xdr:from>
    <xdr:to>
      <xdr:col>10</xdr:col>
      <xdr:colOff>1000080</xdr:colOff>
      <xdr:row>30</xdr:row>
      <xdr:rowOff>180720</xdr:rowOff>
    </xdr:to>
    <xdr:sp>
      <xdr:nvSpPr>
        <xdr:cNvPr id="34" name="CustomShape 1" hidden="1"/>
        <xdr:cNvSpPr/>
      </xdr:nvSpPr>
      <xdr:spPr>
        <a:xfrm>
          <a:off x="4493880" y="1910520"/>
          <a:ext cx="7193160" cy="41241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800" spc="-1" strike="noStrike">
              <a:solidFill>
                <a:srgbClr val="000000"/>
              </a:solidFill>
              <a:latin typeface="Trebuchet MS"/>
            </a:rPr>
            <a:t>2.2 </a:t>
          </a:r>
          <a:r>
            <a:rPr b="1" lang="en-US" sz="800" spc="-1" strike="noStrike">
              <a:solidFill>
                <a:srgbClr val="000000"/>
              </a:solidFill>
              <a:latin typeface="Trebuchet MS"/>
            </a:rPr>
            <a:t>Dealer Location &amp; Facilities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 case for ongoing companies) give a detailed description of the existing dealer premises.</a:t>
          </a:r>
          <a:endParaRPr b="0" lang="en-US" sz="800" spc="-1" strike="noStrike">
            <a:latin typeface="Times New Roman"/>
          </a:endParaRPr>
        </a:p>
        <a:p>
          <a:pPr>
            <a:lnSpc>
              <a:spcPct val="100000"/>
            </a:lnSpc>
          </a:pPr>
          <a:r>
            <a:rPr b="0" lang="en-US" sz="800" spc="-1" strike="noStrike">
              <a:solidFill>
                <a:srgbClr val="000000"/>
              </a:solidFill>
              <a:latin typeface="Trebuchet MS"/>
            </a:rPr>
            <a:t>In case for a start-up company give a detailed description of the ideal premises.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Dealer premises and facilities surface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surface of the different areas in square meters.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Detailed map of the dealer site</a:t>
          </a:r>
          <a:endParaRPr b="0" lang="en-US" sz="800" spc="-1" strike="noStrike">
            <a:latin typeface="Times New Roman"/>
          </a:endParaRPr>
        </a:p>
        <a:p>
          <a:pPr>
            <a:lnSpc>
              <a:spcPct val="100000"/>
            </a:lnSpc>
          </a:pPr>
          <a:r>
            <a:rPr b="0" lang="en-US" sz="800" spc="-1" strike="noStrike">
              <a:solidFill>
                <a:srgbClr val="000000"/>
              </a:solidFill>
              <a:latin typeface="Trebuchet MS"/>
            </a:rPr>
            <a:t>Show a detailed drawing of the site and the building.</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Strengths of the facilities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facilities.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Weaknesses of the facilities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present facilities.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Key success factor</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476280</xdr:colOff>
      <xdr:row>0</xdr:row>
      <xdr:rowOff>104760</xdr:rowOff>
    </xdr:from>
    <xdr:to>
      <xdr:col>6</xdr:col>
      <xdr:colOff>55080</xdr:colOff>
      <xdr:row>2</xdr:row>
      <xdr:rowOff>4320</xdr:rowOff>
    </xdr:to>
    <xdr:sp>
      <xdr:nvSpPr>
        <xdr:cNvPr id="35" name="CustomShape 1" hidden="1"/>
        <xdr:cNvSpPr/>
      </xdr:nvSpPr>
      <xdr:spPr>
        <a:xfrm>
          <a:off x="5819760" y="104760"/>
          <a:ext cx="647280" cy="428400"/>
        </a:xfrm>
        <a:prstGeom prst="rect">
          <a:avLst/>
        </a:prstGeom>
        <a:noFill/>
        <a:ln>
          <a:noFill/>
        </a:ln>
      </xdr:spPr>
      <xdr:style>
        <a:lnRef idx="0"/>
        <a:fillRef idx="0"/>
        <a:effectRef idx="0"/>
        <a:fontRef idx="minor"/>
      </xdr:style>
    </xdr:sp>
    <xdr:clientData/>
  </xdr:twoCellAnchor>
  <xdr:twoCellAnchor editAs="oneCell">
    <xdr:from>
      <xdr:col>5</xdr:col>
      <xdr:colOff>317520</xdr:colOff>
      <xdr:row>0</xdr:row>
      <xdr:rowOff>69840</xdr:rowOff>
    </xdr:from>
    <xdr:to>
      <xdr:col>5</xdr:col>
      <xdr:colOff>748800</xdr:colOff>
      <xdr:row>0</xdr:row>
      <xdr:rowOff>355320</xdr:rowOff>
    </xdr:to>
    <xdr:pic>
      <xdr:nvPicPr>
        <xdr:cNvPr id="36" name="CommandButton1" descr=""/>
        <xdr:cNvPicPr/>
      </xdr:nvPicPr>
      <xdr:blipFill>
        <a:blip r:embed="rId1"/>
        <a:stretch/>
      </xdr:blipFill>
      <xdr:spPr>
        <a:xfrm>
          <a:off x="5661000" y="69840"/>
          <a:ext cx="431280" cy="285480"/>
        </a:xfrm>
        <a:prstGeom prst="rect">
          <a:avLst/>
        </a:prstGeom>
        <a:ln>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209520</xdr:colOff>
      <xdr:row>1</xdr:row>
      <xdr:rowOff>47520</xdr:rowOff>
    </xdr:from>
    <xdr:to>
      <xdr:col>11</xdr:col>
      <xdr:colOff>161280</xdr:colOff>
      <xdr:row>21</xdr:row>
      <xdr:rowOff>28080</xdr:rowOff>
    </xdr:to>
    <xdr:sp>
      <xdr:nvSpPr>
        <xdr:cNvPr id="37" name="CustomShape 1" hidden="1"/>
        <xdr:cNvSpPr/>
      </xdr:nvSpPr>
      <xdr:spPr>
        <a:xfrm>
          <a:off x="4240440" y="428400"/>
          <a:ext cx="6905520" cy="38667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3.0 Products &amp; Services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Products offered</a:t>
          </a:r>
          <a:endParaRPr b="0" lang="en-US" sz="800" spc="-1" strike="noStrike">
            <a:latin typeface="Times New Roman"/>
          </a:endParaRPr>
        </a:p>
        <a:p>
          <a:pPr>
            <a:lnSpc>
              <a:spcPct val="100000"/>
            </a:lnSpc>
          </a:pPr>
          <a:r>
            <a:rPr b="0" lang="en-US" sz="800" spc="-1" strike="noStrike">
              <a:solidFill>
                <a:srgbClr val="000000"/>
              </a:solidFill>
              <a:latin typeface="Trebuchet MS"/>
            </a:rPr>
            <a:t>List all products which are sold through the dealership as well as the make. Please choose one of the pre-selected options: “yes”, “no” or “in future”. In case needed additional remarks can be made.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Services offered</a:t>
          </a:r>
          <a:endParaRPr b="0" lang="en-US" sz="800" spc="-1" strike="noStrike">
            <a:latin typeface="Times New Roman"/>
          </a:endParaRPr>
        </a:p>
        <a:p>
          <a:pPr>
            <a:lnSpc>
              <a:spcPct val="100000"/>
            </a:lnSpc>
          </a:pPr>
          <a:r>
            <a:rPr b="0" lang="en-US" sz="800" spc="-1" strike="noStrike">
              <a:solidFill>
                <a:srgbClr val="000000"/>
              </a:solidFill>
              <a:latin typeface="Trebuchet MS"/>
            </a:rPr>
            <a:t>Indicate which services are offered. Please choose one of the pre-selected options: “yes”, “no” or “in future”. In case services are offered which are not listed, additional space is available.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Strengths of the products &amp; services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products and services.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Weaknesses of the products &amp; services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products and services.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Key success factor</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6</xdr:col>
      <xdr:colOff>304920</xdr:colOff>
      <xdr:row>0</xdr:row>
      <xdr:rowOff>76320</xdr:rowOff>
    </xdr:from>
    <xdr:to>
      <xdr:col>7</xdr:col>
      <xdr:colOff>191880</xdr:colOff>
      <xdr:row>1</xdr:row>
      <xdr:rowOff>133200</xdr:rowOff>
    </xdr:to>
    <xdr:sp>
      <xdr:nvSpPr>
        <xdr:cNvPr id="38" name="CustomShape 1" hidden="1"/>
        <xdr:cNvSpPr/>
      </xdr:nvSpPr>
      <xdr:spPr>
        <a:xfrm>
          <a:off x="6351120" y="76320"/>
          <a:ext cx="894960" cy="437760"/>
        </a:xfrm>
        <a:prstGeom prst="rect">
          <a:avLst/>
        </a:prstGeom>
        <a:noFill/>
        <a:ln>
          <a:noFill/>
        </a:ln>
      </xdr:spPr>
      <xdr:style>
        <a:lnRef idx="0"/>
        <a:fillRef idx="0"/>
        <a:effectRef idx="0"/>
        <a:fontRef idx="minor"/>
      </xdr:style>
    </xdr:sp>
    <xdr:clientData/>
  </xdr:twoCellAnchor>
  <xdr:twoCellAnchor editAs="oneCell">
    <xdr:from>
      <xdr:col>6</xdr:col>
      <xdr:colOff>203040</xdr:colOff>
      <xdr:row>0</xdr:row>
      <xdr:rowOff>50760</xdr:rowOff>
    </xdr:from>
    <xdr:to>
      <xdr:col>6</xdr:col>
      <xdr:colOff>799560</xdr:colOff>
      <xdr:row>0</xdr:row>
      <xdr:rowOff>342360</xdr:rowOff>
    </xdr:to>
    <xdr:pic>
      <xdr:nvPicPr>
        <xdr:cNvPr id="39" name="CommandButton1" descr=""/>
        <xdr:cNvPicPr/>
      </xdr:nvPicPr>
      <xdr:blipFill>
        <a:blip r:embed="rId1"/>
        <a:stretch/>
      </xdr:blipFill>
      <xdr:spPr>
        <a:xfrm>
          <a:off x="6249240" y="50760"/>
          <a:ext cx="596520" cy="291600"/>
        </a:xfrm>
        <a:prstGeom prst="rect">
          <a:avLst/>
        </a:prstGeom>
        <a:ln>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22</xdr:row>
      <xdr:rowOff>0</xdr:rowOff>
    </xdr:from>
    <xdr:to>
      <xdr:col>10</xdr:col>
      <xdr:colOff>1247400</xdr:colOff>
      <xdr:row>26</xdr:row>
      <xdr:rowOff>180720</xdr:rowOff>
    </xdr:to>
    <xdr:sp>
      <xdr:nvSpPr>
        <xdr:cNvPr id="40" name="CustomShape 1"/>
        <xdr:cNvSpPr/>
      </xdr:nvSpPr>
      <xdr:spPr>
        <a:xfrm>
          <a:off x="9360" y="4362120"/>
          <a:ext cx="9607320" cy="9428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29</xdr:row>
      <xdr:rowOff>9360</xdr:rowOff>
    </xdr:from>
    <xdr:to>
      <xdr:col>10</xdr:col>
      <xdr:colOff>1247400</xdr:colOff>
      <xdr:row>32</xdr:row>
      <xdr:rowOff>180360</xdr:rowOff>
    </xdr:to>
    <xdr:sp>
      <xdr:nvSpPr>
        <xdr:cNvPr id="41" name="CustomShape 1"/>
        <xdr:cNvSpPr/>
      </xdr:nvSpPr>
      <xdr:spPr>
        <a:xfrm>
          <a:off x="9360" y="5705280"/>
          <a:ext cx="9607320" cy="742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2</xdr:col>
      <xdr:colOff>9360</xdr:colOff>
      <xdr:row>41</xdr:row>
      <xdr:rowOff>0</xdr:rowOff>
    </xdr:from>
    <xdr:to>
      <xdr:col>10</xdr:col>
      <xdr:colOff>1247400</xdr:colOff>
      <xdr:row>44</xdr:row>
      <xdr:rowOff>180720</xdr:rowOff>
    </xdr:to>
    <xdr:sp>
      <xdr:nvSpPr>
        <xdr:cNvPr id="42" name="CustomShape 1"/>
        <xdr:cNvSpPr/>
      </xdr:nvSpPr>
      <xdr:spPr>
        <a:xfrm>
          <a:off x="1683000" y="7981920"/>
          <a:ext cx="7933680" cy="75204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0</a:t>
          </a:r>
          <a:endParaRPr b="0" lang="en-US" sz="1200" spc="-1" strike="noStrike">
            <a:latin typeface="Times New Roman"/>
          </a:endParaRPr>
        </a:p>
      </xdr:txBody>
    </xdr:sp>
    <xdr:clientData/>
  </xdr:twoCellAnchor>
  <xdr:twoCellAnchor editAs="oneCell">
    <xdr:from>
      <xdr:col>0</xdr:col>
      <xdr:colOff>9360</xdr:colOff>
      <xdr:row>47</xdr:row>
      <xdr:rowOff>0</xdr:rowOff>
    </xdr:from>
    <xdr:to>
      <xdr:col>10</xdr:col>
      <xdr:colOff>1247400</xdr:colOff>
      <xdr:row>48</xdr:row>
      <xdr:rowOff>180720</xdr:rowOff>
    </xdr:to>
    <xdr:sp>
      <xdr:nvSpPr>
        <xdr:cNvPr id="43" name="CustomShape 1"/>
        <xdr:cNvSpPr/>
      </xdr:nvSpPr>
      <xdr:spPr>
        <a:xfrm>
          <a:off x="9360" y="9124920"/>
          <a:ext cx="9607320" cy="37116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Joint communication campaign with leasing companies , communicate on thebenefits of the repair and maintenance contracts and extended garanty programmes </a:t>
          </a:r>
          <a:endParaRPr b="0" lang="en-US" sz="1200" spc="-1" strike="noStrike">
            <a:latin typeface="Times New Roman"/>
          </a:endParaRPr>
        </a:p>
      </xdr:txBody>
    </xdr:sp>
    <xdr:clientData/>
  </xdr:twoCellAnchor>
  <xdr:twoCellAnchor editAs="oneCell">
    <xdr:from>
      <xdr:col>4</xdr:col>
      <xdr:colOff>209520</xdr:colOff>
      <xdr:row>2</xdr:row>
      <xdr:rowOff>9360</xdr:rowOff>
    </xdr:from>
    <xdr:to>
      <xdr:col>10</xdr:col>
      <xdr:colOff>1247400</xdr:colOff>
      <xdr:row>34</xdr:row>
      <xdr:rowOff>190440</xdr:rowOff>
    </xdr:to>
    <xdr:sp>
      <xdr:nvSpPr>
        <xdr:cNvPr id="44" name="CustomShape 1" hidden="1"/>
        <xdr:cNvSpPr/>
      </xdr:nvSpPr>
      <xdr:spPr>
        <a:xfrm>
          <a:off x="3557160" y="561600"/>
          <a:ext cx="6059520" cy="62769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3.1 Financing &amp; Insurance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Presence of PACCAR Financial</a:t>
          </a:r>
          <a:endParaRPr b="0" lang="en-US" sz="800" spc="-1" strike="noStrike">
            <a:latin typeface="Times New Roman"/>
          </a:endParaRPr>
        </a:p>
        <a:p>
          <a:pPr>
            <a:lnSpc>
              <a:spcPct val="100000"/>
            </a:lnSpc>
          </a:pPr>
          <a:r>
            <a:rPr b="0" lang="en-US" sz="800" spc="-1" strike="noStrike">
              <a:solidFill>
                <a:srgbClr val="000000"/>
              </a:solidFill>
              <a:latin typeface="Trebuchet MS"/>
            </a:rPr>
            <a:t>Please choose one of the options: “yes” or “no”.</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2.1 Sales financing for new trucks</a:t>
          </a:r>
          <a:endParaRPr b="0" lang="en-US" sz="800" spc="-1" strike="noStrike">
            <a:latin typeface="Times New Roman"/>
          </a:endParaRPr>
        </a:p>
        <a:p>
          <a:pPr>
            <a:lnSpc>
              <a:spcPct val="100000"/>
            </a:lnSpc>
          </a:pPr>
          <a:r>
            <a:rPr b="0" lang="en-US" sz="800" spc="-1" strike="noStrike">
              <a:solidFill>
                <a:srgbClr val="000000"/>
              </a:solidFill>
              <a:latin typeface="Trebuchet MS"/>
            </a:rPr>
            <a:t>Describe if and how sales financing is offered for new trucks to end customers, what the policy is, what the problems are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Sales financing for used trucks</a:t>
          </a:r>
          <a:endParaRPr b="0" lang="en-US" sz="800" spc="-1" strike="noStrike">
            <a:latin typeface="Times New Roman"/>
          </a:endParaRPr>
        </a:p>
        <a:p>
          <a:pPr>
            <a:lnSpc>
              <a:spcPct val="100000"/>
            </a:lnSpc>
          </a:pPr>
          <a:r>
            <a:rPr b="0" lang="en-US" sz="800" spc="-1" strike="noStrike">
              <a:solidFill>
                <a:srgbClr val="000000"/>
              </a:solidFill>
              <a:latin typeface="Trebuchet MS"/>
            </a:rPr>
            <a:t>Describe if and how sales financing is offered for used trucks to end customers, what the policy is, what the problems are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Important leasing companies and banks</a:t>
          </a:r>
          <a:endParaRPr b="0" lang="en-US" sz="800" spc="-1" strike="noStrike">
            <a:latin typeface="Times New Roman"/>
          </a:endParaRPr>
        </a:p>
        <a:p>
          <a:pPr>
            <a:lnSpc>
              <a:spcPct val="100000"/>
            </a:lnSpc>
          </a:pPr>
          <a:r>
            <a:rPr b="0" lang="en-US" sz="800" spc="-1" strike="noStrike">
              <a:solidFill>
                <a:srgbClr val="000000"/>
              </a:solidFill>
              <a:latin typeface="Trebuchet MS"/>
            </a:rPr>
            <a:t>Make a list of the most important leasing companies and banks in your dealer area.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Repair &amp; Maintenance contracts</a:t>
          </a:r>
          <a:endParaRPr b="0" lang="en-US" sz="800" spc="-1" strike="noStrike">
            <a:latin typeface="Times New Roman"/>
          </a:endParaRPr>
        </a:p>
        <a:p>
          <a:pPr>
            <a:lnSpc>
              <a:spcPct val="100000"/>
            </a:lnSpc>
          </a:pPr>
          <a:r>
            <a:rPr b="0" lang="en-US" sz="800" spc="-1" strike="noStrike">
              <a:solidFill>
                <a:srgbClr val="000000"/>
              </a:solidFill>
              <a:latin typeface="Trebuchet MS"/>
            </a:rPr>
            <a:t>Describe if and how R&amp;M contracts are offered, what the policy is, what the problems are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Extended warranties</a:t>
          </a:r>
          <a:endParaRPr b="0" lang="en-US" sz="800" spc="-1" strike="noStrike">
            <a:latin typeface="Times New Roman"/>
          </a:endParaRPr>
        </a:p>
        <a:p>
          <a:pPr>
            <a:lnSpc>
              <a:spcPct val="100000"/>
            </a:lnSpc>
          </a:pPr>
          <a:r>
            <a:rPr b="0" lang="en-US" sz="800" spc="-1" strike="noStrike">
              <a:solidFill>
                <a:srgbClr val="000000"/>
              </a:solidFill>
              <a:latin typeface="Trebuchet MS"/>
            </a:rPr>
            <a:t>Describe if and how extended warranty is offered, what the policy is, what the problems are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Sold services new trucks</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percentage of new trucks which are sold with leasing (own lease company), financing (through third parties) and/or R&amp;M-contracts in the latest fiscal year.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Sold services used trucks</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percentage of used trucks which are sold with leasing (own lease company), financing (through third parties) and/or R&amp;M-contracts in the latest fiscal year.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8. Key success factor</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409680</xdr:colOff>
      <xdr:row>0</xdr:row>
      <xdr:rowOff>123840</xdr:rowOff>
    </xdr:from>
    <xdr:to>
      <xdr:col>6</xdr:col>
      <xdr:colOff>9360</xdr:colOff>
      <xdr:row>1</xdr:row>
      <xdr:rowOff>18720</xdr:rowOff>
    </xdr:to>
    <xdr:sp>
      <xdr:nvSpPr>
        <xdr:cNvPr id="45" name="CustomShape 1" hidden="1"/>
        <xdr:cNvSpPr/>
      </xdr:nvSpPr>
      <xdr:spPr>
        <a:xfrm>
          <a:off x="4594320" y="123840"/>
          <a:ext cx="436320" cy="256680"/>
        </a:xfrm>
        <a:prstGeom prst="rect">
          <a:avLst/>
        </a:prstGeom>
        <a:noFill/>
        <a:ln>
          <a:noFill/>
        </a:ln>
      </xdr:spPr>
      <xdr:style>
        <a:lnRef idx="0"/>
        <a:fillRef idx="0"/>
        <a:effectRef idx="0"/>
        <a:fontRef idx="minor"/>
      </xdr:style>
    </xdr:sp>
    <xdr:clientData/>
  </xdr:twoCellAnchor>
  <xdr:twoCellAnchor editAs="oneCell">
    <xdr:from>
      <xdr:col>5</xdr:col>
      <xdr:colOff>272880</xdr:colOff>
      <xdr:row>0</xdr:row>
      <xdr:rowOff>82440</xdr:rowOff>
    </xdr:from>
    <xdr:to>
      <xdr:col>6</xdr:col>
      <xdr:colOff>18360</xdr:colOff>
      <xdr:row>1</xdr:row>
      <xdr:rowOff>18720</xdr:rowOff>
    </xdr:to>
    <xdr:pic>
      <xdr:nvPicPr>
        <xdr:cNvPr id="46" name="CommandButton1" descr=""/>
        <xdr:cNvPicPr/>
      </xdr:nvPicPr>
      <xdr:blipFill>
        <a:blip r:embed="rId1"/>
        <a:stretch/>
      </xdr:blipFill>
      <xdr:spPr>
        <a:xfrm>
          <a:off x="4457520" y="82440"/>
          <a:ext cx="582120" cy="298080"/>
        </a:xfrm>
        <a:prstGeom prst="rect">
          <a:avLst/>
        </a:prstGeom>
        <a:ln>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53</xdr:row>
      <xdr:rowOff>0</xdr:rowOff>
    </xdr:from>
    <xdr:to>
      <xdr:col>10</xdr:col>
      <xdr:colOff>942480</xdr:colOff>
      <xdr:row>56</xdr:row>
      <xdr:rowOff>190080</xdr:rowOff>
    </xdr:to>
    <xdr:sp>
      <xdr:nvSpPr>
        <xdr:cNvPr id="47" name="CustomShape 1"/>
        <xdr:cNvSpPr/>
      </xdr:nvSpPr>
      <xdr:spPr>
        <a:xfrm>
          <a:off x="9360" y="10150200"/>
          <a:ext cx="1101024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59</xdr:row>
      <xdr:rowOff>0</xdr:rowOff>
    </xdr:from>
    <xdr:to>
      <xdr:col>10</xdr:col>
      <xdr:colOff>942480</xdr:colOff>
      <xdr:row>60</xdr:row>
      <xdr:rowOff>180720</xdr:rowOff>
    </xdr:to>
    <xdr:sp>
      <xdr:nvSpPr>
        <xdr:cNvPr id="48" name="CustomShape 1"/>
        <xdr:cNvSpPr/>
      </xdr:nvSpPr>
      <xdr:spPr>
        <a:xfrm>
          <a:off x="19080" y="11293200"/>
          <a:ext cx="11000520" cy="3711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5</xdr:col>
      <xdr:colOff>704880</xdr:colOff>
      <xdr:row>2</xdr:row>
      <xdr:rowOff>95400</xdr:rowOff>
    </xdr:from>
    <xdr:to>
      <xdr:col>10</xdr:col>
      <xdr:colOff>942480</xdr:colOff>
      <xdr:row>31</xdr:row>
      <xdr:rowOff>85680</xdr:rowOff>
    </xdr:to>
    <xdr:sp>
      <xdr:nvSpPr>
        <xdr:cNvPr id="49" name="CustomShape 1" hidden="1"/>
        <xdr:cNvSpPr/>
      </xdr:nvSpPr>
      <xdr:spPr>
        <a:xfrm>
          <a:off x="5743440" y="624240"/>
          <a:ext cx="5276160" cy="54208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3.2 Funding</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Sources of funding</a:t>
          </a:r>
          <a:endParaRPr b="0" lang="en-US" sz="800" spc="-1" strike="noStrike">
            <a:latin typeface="Times New Roman"/>
          </a:endParaRPr>
        </a:p>
        <a:p>
          <a:pPr>
            <a:lnSpc>
              <a:spcPct val="100000"/>
            </a:lnSpc>
          </a:pPr>
          <a:r>
            <a:rPr b="1" lang="en-US" sz="800" spc="-1" strike="noStrike">
              <a:solidFill>
                <a:srgbClr val="000000"/>
              </a:solidFill>
              <a:latin typeface="Trebuchet MS"/>
            </a:rPr>
            <a:t>Fill in the amounts concerning the category stated as was reported in the latest annual account. The percentages are calculated automatically and should add up to 100%.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2.1 Loan Guarantee details</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provider and the conditions of the loan(s): amount, term and rate.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Remarks to funding of the company</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conditions of the loans, the guarantees given, the approach towards equity and dividends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Approach towards receivables and payables</a:t>
          </a:r>
          <a:endParaRPr b="0" lang="en-US" sz="800" spc="-1" strike="noStrike">
            <a:latin typeface="Times New Roman"/>
          </a:endParaRPr>
        </a:p>
        <a:p>
          <a:pPr>
            <a:lnSpc>
              <a:spcPct val="100000"/>
            </a:lnSpc>
          </a:pPr>
          <a:r>
            <a:rPr b="1" lang="en-US" sz="800" spc="-1" strike="noStrike">
              <a:solidFill>
                <a:srgbClr val="000000"/>
              </a:solidFill>
              <a:latin typeface="Trebuchet MS"/>
            </a:rPr>
            <a:t>Fill in the actual performance and the normative performance as laid down in the company its policy.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Policy and actual performance concerning credit management</a:t>
          </a:r>
          <a:endParaRPr b="0" lang="en-US" sz="800" spc="-1" strike="noStrike">
            <a:latin typeface="Times New Roman"/>
          </a:endParaRPr>
        </a:p>
        <a:p>
          <a:pPr>
            <a:lnSpc>
              <a:spcPct val="100000"/>
            </a:lnSpc>
          </a:pPr>
          <a:r>
            <a:rPr b="1" lang="en-US" sz="800" spc="-1" strike="noStrike">
              <a:solidFill>
                <a:srgbClr val="000000"/>
              </a:solidFill>
              <a:latin typeface="Trebuchet MS"/>
            </a:rPr>
            <a:t>Describe the present and normative performance and comment this.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Strengths of the funding</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main strengths of how the dealer is funded.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Weaknesses of the funding</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main weaknesses of the dealer funding.</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Key issue</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6</xdr:col>
      <xdr:colOff>304920</xdr:colOff>
      <xdr:row>0</xdr:row>
      <xdr:rowOff>104760</xdr:rowOff>
    </xdr:from>
    <xdr:to>
      <xdr:col>6</xdr:col>
      <xdr:colOff>714240</xdr:colOff>
      <xdr:row>1</xdr:row>
      <xdr:rowOff>9000</xdr:rowOff>
    </xdr:to>
    <xdr:sp>
      <xdr:nvSpPr>
        <xdr:cNvPr id="50" name="CustomShape 1" hidden="1"/>
        <xdr:cNvSpPr/>
      </xdr:nvSpPr>
      <xdr:spPr>
        <a:xfrm>
          <a:off x="6351120" y="104760"/>
          <a:ext cx="409320" cy="266040"/>
        </a:xfrm>
        <a:prstGeom prst="rect">
          <a:avLst/>
        </a:prstGeom>
        <a:noFill/>
        <a:ln>
          <a:noFill/>
        </a:ln>
      </xdr:spPr>
      <xdr:style>
        <a:lnRef idx="0"/>
        <a:fillRef idx="0"/>
        <a:effectRef idx="0"/>
        <a:fontRef idx="minor"/>
      </xdr:style>
    </xdr:sp>
    <xdr:clientData/>
  </xdr:twoCellAnchor>
  <xdr:twoCellAnchor editAs="oneCell">
    <xdr:from>
      <xdr:col>6</xdr:col>
      <xdr:colOff>203040</xdr:colOff>
      <xdr:row>0</xdr:row>
      <xdr:rowOff>69840</xdr:rowOff>
    </xdr:from>
    <xdr:to>
      <xdr:col>6</xdr:col>
      <xdr:colOff>475560</xdr:colOff>
      <xdr:row>1</xdr:row>
      <xdr:rowOff>6120</xdr:rowOff>
    </xdr:to>
    <xdr:pic>
      <xdr:nvPicPr>
        <xdr:cNvPr id="51" name="CommandButton1" descr=""/>
        <xdr:cNvPicPr/>
      </xdr:nvPicPr>
      <xdr:blipFill>
        <a:blip r:embed="rId1"/>
        <a:stretch/>
      </xdr:blipFill>
      <xdr:spPr>
        <a:xfrm>
          <a:off x="6249240" y="69840"/>
          <a:ext cx="272520" cy="298080"/>
        </a:xfrm>
        <a:prstGeom prst="rect">
          <a:avLst/>
        </a:prstGeom>
        <a:ln>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28440</xdr:colOff>
      <xdr:row>60</xdr:row>
      <xdr:rowOff>0</xdr:rowOff>
    </xdr:from>
    <xdr:to>
      <xdr:col>10</xdr:col>
      <xdr:colOff>1058040</xdr:colOff>
      <xdr:row>61</xdr:row>
      <xdr:rowOff>180720</xdr:rowOff>
    </xdr:to>
    <xdr:sp>
      <xdr:nvSpPr>
        <xdr:cNvPr id="52" name="CustomShape 1"/>
        <xdr:cNvSpPr/>
      </xdr:nvSpPr>
      <xdr:spPr>
        <a:xfrm>
          <a:off x="28440" y="11487600"/>
          <a:ext cx="11615040" cy="3711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53</xdr:row>
      <xdr:rowOff>188280</xdr:rowOff>
    </xdr:from>
    <xdr:to>
      <xdr:col>10</xdr:col>
      <xdr:colOff>990360</xdr:colOff>
      <xdr:row>57</xdr:row>
      <xdr:rowOff>178560</xdr:rowOff>
    </xdr:to>
    <xdr:sp>
      <xdr:nvSpPr>
        <xdr:cNvPr id="53" name="CustomShape 1"/>
        <xdr:cNvSpPr/>
      </xdr:nvSpPr>
      <xdr:spPr>
        <a:xfrm>
          <a:off x="0" y="10342440"/>
          <a:ext cx="11575800" cy="7524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48</xdr:row>
      <xdr:rowOff>9360</xdr:rowOff>
    </xdr:from>
    <xdr:to>
      <xdr:col>10</xdr:col>
      <xdr:colOff>1058040</xdr:colOff>
      <xdr:row>51</xdr:row>
      <xdr:rowOff>180360</xdr:rowOff>
    </xdr:to>
    <xdr:sp>
      <xdr:nvSpPr>
        <xdr:cNvPr id="54" name="CustomShape 1"/>
        <xdr:cNvSpPr/>
      </xdr:nvSpPr>
      <xdr:spPr>
        <a:xfrm>
          <a:off x="9360" y="9210960"/>
          <a:ext cx="11634120" cy="7426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8</xdr:row>
      <xdr:rowOff>9360</xdr:rowOff>
    </xdr:from>
    <xdr:to>
      <xdr:col>10</xdr:col>
      <xdr:colOff>1058040</xdr:colOff>
      <xdr:row>29</xdr:row>
      <xdr:rowOff>190080</xdr:rowOff>
    </xdr:to>
    <xdr:sp>
      <xdr:nvSpPr>
        <xdr:cNvPr id="55" name="CustomShape 1"/>
        <xdr:cNvSpPr/>
      </xdr:nvSpPr>
      <xdr:spPr>
        <a:xfrm>
          <a:off x="9360" y="1657800"/>
          <a:ext cx="11634120" cy="403812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APPENDIX XX</a:t>
          </a:r>
          <a:endParaRPr b="0" lang="en-US" sz="1200" spc="-1" strike="noStrike">
            <a:latin typeface="Times New Roman"/>
          </a:endParaRPr>
        </a:p>
      </xdr:txBody>
    </xdr:sp>
    <xdr:clientData/>
  </xdr:twoCellAnchor>
  <xdr:twoCellAnchor editAs="oneCell">
    <xdr:from>
      <xdr:col>5</xdr:col>
      <xdr:colOff>304920</xdr:colOff>
      <xdr:row>9</xdr:row>
      <xdr:rowOff>123840</xdr:rowOff>
    </xdr:from>
    <xdr:to>
      <xdr:col>10</xdr:col>
      <xdr:colOff>742680</xdr:colOff>
      <xdr:row>30</xdr:row>
      <xdr:rowOff>95040</xdr:rowOff>
    </xdr:to>
    <xdr:sp>
      <xdr:nvSpPr>
        <xdr:cNvPr id="56" name="CustomShape 1" hidden="1"/>
        <xdr:cNvSpPr/>
      </xdr:nvSpPr>
      <xdr:spPr>
        <a:xfrm>
          <a:off x="5597640" y="1962720"/>
          <a:ext cx="5730480" cy="38286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4.0 Organization &amp; Human Resources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Organization chart</a:t>
          </a:r>
          <a:endParaRPr b="0" lang="en-US" sz="800" spc="-1" strike="noStrike">
            <a:latin typeface="Times New Roman"/>
          </a:endParaRPr>
        </a:p>
        <a:p>
          <a:pPr>
            <a:lnSpc>
              <a:spcPct val="100000"/>
            </a:lnSpc>
          </a:pPr>
          <a:r>
            <a:rPr b="0" lang="en-US" sz="800" spc="-1" strike="noStrike">
              <a:solidFill>
                <a:srgbClr val="000000"/>
              </a:solidFill>
              <a:latin typeface="Trebuchet MS"/>
            </a:rPr>
            <a:t>Show a chart of the organization in which the reporting lines are visible and all functions of the dealership are included with the number of people who fulfil that function. Also names may be added.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Human resources</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policy and strategy regarding human resources. What is the turnover of personnel, is there an employee specific training program in place,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Strengths of the organization and human resources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Weaknesses of the organization and human resources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Key success factor</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304920</xdr:colOff>
      <xdr:row>0</xdr:row>
      <xdr:rowOff>19080</xdr:rowOff>
    </xdr:from>
    <xdr:to>
      <xdr:col>5</xdr:col>
      <xdr:colOff>761760</xdr:colOff>
      <xdr:row>0</xdr:row>
      <xdr:rowOff>352080</xdr:rowOff>
    </xdr:to>
    <xdr:sp>
      <xdr:nvSpPr>
        <xdr:cNvPr id="57" name="CustomShape 1" hidden="1"/>
        <xdr:cNvSpPr/>
      </xdr:nvSpPr>
      <xdr:spPr>
        <a:xfrm>
          <a:off x="5597640" y="19080"/>
          <a:ext cx="456840" cy="333000"/>
        </a:xfrm>
        <a:prstGeom prst="rect">
          <a:avLst/>
        </a:prstGeom>
        <a:noFill/>
        <a:ln>
          <a:noFill/>
        </a:ln>
      </xdr:spPr>
      <xdr:style>
        <a:lnRef idx="0"/>
        <a:fillRef idx="0"/>
        <a:effectRef idx="0"/>
        <a:fontRef idx="minor"/>
      </xdr:style>
    </xdr:sp>
    <xdr:clientData/>
  </xdr:twoCellAnchor>
  <xdr:twoCellAnchor editAs="oneCell">
    <xdr:from>
      <xdr:col>5</xdr:col>
      <xdr:colOff>203040</xdr:colOff>
      <xdr:row>0</xdr:row>
      <xdr:rowOff>12600</xdr:rowOff>
    </xdr:from>
    <xdr:to>
      <xdr:col>5</xdr:col>
      <xdr:colOff>507600</xdr:colOff>
      <xdr:row>0</xdr:row>
      <xdr:rowOff>234360</xdr:rowOff>
    </xdr:to>
    <xdr:pic>
      <xdr:nvPicPr>
        <xdr:cNvPr id="58" name="CommandButton1" descr=""/>
        <xdr:cNvPicPr/>
      </xdr:nvPicPr>
      <xdr:blipFill>
        <a:blip r:embed="rId1"/>
        <a:stretch/>
      </xdr:blipFill>
      <xdr:spPr>
        <a:xfrm>
          <a:off x="5495760" y="12600"/>
          <a:ext cx="304560" cy="221760"/>
        </a:xfrm>
        <a:prstGeom prst="rect">
          <a:avLst/>
        </a:prstGeom>
        <a:ln>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24</xdr:row>
      <xdr:rowOff>0</xdr:rowOff>
    </xdr:from>
    <xdr:to>
      <xdr:col>10</xdr:col>
      <xdr:colOff>828360</xdr:colOff>
      <xdr:row>28</xdr:row>
      <xdr:rowOff>28080</xdr:rowOff>
    </xdr:to>
    <xdr:sp>
      <xdr:nvSpPr>
        <xdr:cNvPr id="59" name="CustomShape 1"/>
        <xdr:cNvSpPr/>
      </xdr:nvSpPr>
      <xdr:spPr>
        <a:xfrm>
          <a:off x="0" y="4825800"/>
          <a:ext cx="10516320" cy="9424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30</xdr:row>
      <xdr:rowOff>0</xdr:rowOff>
    </xdr:from>
    <xdr:to>
      <xdr:col>10</xdr:col>
      <xdr:colOff>828000</xdr:colOff>
      <xdr:row>32</xdr:row>
      <xdr:rowOff>218880</xdr:rowOff>
    </xdr:to>
    <xdr:sp>
      <xdr:nvSpPr>
        <xdr:cNvPr id="60" name="CustomShape 1"/>
        <xdr:cNvSpPr/>
      </xdr:nvSpPr>
      <xdr:spPr>
        <a:xfrm>
          <a:off x="9360" y="6121080"/>
          <a:ext cx="10506600" cy="6760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35</xdr:row>
      <xdr:rowOff>9360</xdr:rowOff>
    </xdr:from>
    <xdr:to>
      <xdr:col>10</xdr:col>
      <xdr:colOff>828000</xdr:colOff>
      <xdr:row>37</xdr:row>
      <xdr:rowOff>171000</xdr:rowOff>
    </xdr:to>
    <xdr:sp>
      <xdr:nvSpPr>
        <xdr:cNvPr id="61" name="CustomShape 1"/>
        <xdr:cNvSpPr/>
      </xdr:nvSpPr>
      <xdr:spPr>
        <a:xfrm>
          <a:off x="9360" y="7197480"/>
          <a:ext cx="10506600" cy="5425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314280</xdr:colOff>
      <xdr:row>13</xdr:row>
      <xdr:rowOff>0</xdr:rowOff>
    </xdr:from>
    <xdr:to>
      <xdr:col>10</xdr:col>
      <xdr:colOff>599760</xdr:colOff>
      <xdr:row>19</xdr:row>
      <xdr:rowOff>104400</xdr:rowOff>
    </xdr:to>
    <xdr:sp>
      <xdr:nvSpPr>
        <xdr:cNvPr id="62" name="CustomShape 1" hidden="1"/>
        <xdr:cNvSpPr/>
      </xdr:nvSpPr>
      <xdr:spPr>
        <a:xfrm>
          <a:off x="3247920" y="2577960"/>
          <a:ext cx="7039800" cy="12855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4.1.1 Management team</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 this section general background information is asked from the dealer owner/director. Provide some information about your professional background: your education, working experience and/or your relationship with other companies.</a:t>
          </a:r>
          <a:endParaRPr b="0" lang="en-US" sz="800" spc="-1" strike="noStrike">
            <a:latin typeface="Times New Roman"/>
          </a:endParaRPr>
        </a:p>
        <a:p>
          <a:pPr>
            <a:lnSpc>
              <a:spcPct val="100000"/>
            </a:lnSpc>
          </a:pPr>
          <a:r>
            <a:rPr b="0" lang="en-US" sz="800" spc="-1" strike="noStrike">
              <a:solidFill>
                <a:srgbClr val="000000"/>
              </a:solidFill>
              <a:latin typeface="Trebuchet MS"/>
            </a:rPr>
            <a:t>Give also information about the succession plan.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171360</xdr:colOff>
      <xdr:row>0</xdr:row>
      <xdr:rowOff>76320</xdr:rowOff>
    </xdr:from>
    <xdr:to>
      <xdr:col>5</xdr:col>
      <xdr:colOff>580680</xdr:colOff>
      <xdr:row>0</xdr:row>
      <xdr:rowOff>342720</xdr:rowOff>
    </xdr:to>
    <xdr:sp>
      <xdr:nvSpPr>
        <xdr:cNvPr id="63" name="CustomShape 1" hidden="1"/>
        <xdr:cNvSpPr/>
      </xdr:nvSpPr>
      <xdr:spPr>
        <a:xfrm>
          <a:off x="5060520" y="76320"/>
          <a:ext cx="409320" cy="266400"/>
        </a:xfrm>
        <a:prstGeom prst="rect">
          <a:avLst/>
        </a:prstGeom>
        <a:noFill/>
        <a:ln>
          <a:noFill/>
        </a:ln>
      </xdr:spPr>
      <xdr:style>
        <a:lnRef idx="0"/>
        <a:fillRef idx="0"/>
        <a:effectRef idx="0"/>
        <a:fontRef idx="minor"/>
      </xdr:style>
    </xdr:sp>
    <xdr:clientData/>
  </xdr:twoCellAnchor>
  <xdr:twoCellAnchor editAs="oneCell">
    <xdr:from>
      <xdr:col>5</xdr:col>
      <xdr:colOff>114480</xdr:colOff>
      <xdr:row>0</xdr:row>
      <xdr:rowOff>50760</xdr:rowOff>
    </xdr:from>
    <xdr:to>
      <xdr:col>5</xdr:col>
      <xdr:colOff>387000</xdr:colOff>
      <xdr:row>0</xdr:row>
      <xdr:rowOff>228240</xdr:rowOff>
    </xdr:to>
    <xdr:pic>
      <xdr:nvPicPr>
        <xdr:cNvPr id="64" name="CommandButton1" descr=""/>
        <xdr:cNvPicPr/>
      </xdr:nvPicPr>
      <xdr:blipFill>
        <a:blip r:embed="rId1"/>
        <a:stretch/>
      </xdr:blipFill>
      <xdr:spPr>
        <a:xfrm>
          <a:off x="5003640" y="50760"/>
          <a:ext cx="272520" cy="177480"/>
        </a:xfrm>
        <a:prstGeom prst="rect">
          <a:avLst/>
        </a:prstGeom>
        <a:ln>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17</xdr:row>
      <xdr:rowOff>0</xdr:rowOff>
    </xdr:from>
    <xdr:to>
      <xdr:col>10</xdr:col>
      <xdr:colOff>590040</xdr:colOff>
      <xdr:row>17</xdr:row>
      <xdr:rowOff>360</xdr:rowOff>
    </xdr:to>
    <xdr:sp>
      <xdr:nvSpPr>
        <xdr:cNvPr id="65"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17</xdr:row>
      <xdr:rowOff>0</xdr:rowOff>
    </xdr:from>
    <xdr:to>
      <xdr:col>10</xdr:col>
      <xdr:colOff>590040</xdr:colOff>
      <xdr:row>17</xdr:row>
      <xdr:rowOff>360</xdr:rowOff>
    </xdr:to>
    <xdr:sp>
      <xdr:nvSpPr>
        <xdr:cNvPr id="66"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17</xdr:row>
      <xdr:rowOff>0</xdr:rowOff>
    </xdr:from>
    <xdr:to>
      <xdr:col>10</xdr:col>
      <xdr:colOff>590040</xdr:colOff>
      <xdr:row>17</xdr:row>
      <xdr:rowOff>360</xdr:rowOff>
    </xdr:to>
    <xdr:sp>
      <xdr:nvSpPr>
        <xdr:cNvPr id="67"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17</xdr:row>
      <xdr:rowOff>0</xdr:rowOff>
    </xdr:from>
    <xdr:to>
      <xdr:col>10</xdr:col>
      <xdr:colOff>590040</xdr:colOff>
      <xdr:row>17</xdr:row>
      <xdr:rowOff>360</xdr:rowOff>
    </xdr:to>
    <xdr:sp>
      <xdr:nvSpPr>
        <xdr:cNvPr id="68"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17</xdr:row>
      <xdr:rowOff>0</xdr:rowOff>
    </xdr:from>
    <xdr:to>
      <xdr:col>10</xdr:col>
      <xdr:colOff>590040</xdr:colOff>
      <xdr:row>17</xdr:row>
      <xdr:rowOff>360</xdr:rowOff>
    </xdr:to>
    <xdr:sp>
      <xdr:nvSpPr>
        <xdr:cNvPr id="69"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17</xdr:row>
      <xdr:rowOff>0</xdr:rowOff>
    </xdr:from>
    <xdr:to>
      <xdr:col>10</xdr:col>
      <xdr:colOff>590040</xdr:colOff>
      <xdr:row>17</xdr:row>
      <xdr:rowOff>360</xdr:rowOff>
    </xdr:to>
    <xdr:sp>
      <xdr:nvSpPr>
        <xdr:cNvPr id="70" name="CustomShape 1"/>
        <xdr:cNvSpPr/>
      </xdr:nvSpPr>
      <xdr:spPr>
        <a:xfrm>
          <a:off x="0" y="36727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26</xdr:row>
      <xdr:rowOff>0</xdr:rowOff>
    </xdr:from>
    <xdr:to>
      <xdr:col>10</xdr:col>
      <xdr:colOff>590040</xdr:colOff>
      <xdr:row>26</xdr:row>
      <xdr:rowOff>360</xdr:rowOff>
    </xdr:to>
    <xdr:sp>
      <xdr:nvSpPr>
        <xdr:cNvPr id="71" name="CustomShape 1"/>
        <xdr:cNvSpPr/>
      </xdr:nvSpPr>
      <xdr:spPr>
        <a:xfrm>
          <a:off x="0" y="55015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26</xdr:row>
      <xdr:rowOff>0</xdr:rowOff>
    </xdr:from>
    <xdr:to>
      <xdr:col>10</xdr:col>
      <xdr:colOff>590040</xdr:colOff>
      <xdr:row>26</xdr:row>
      <xdr:rowOff>360</xdr:rowOff>
    </xdr:to>
    <xdr:sp>
      <xdr:nvSpPr>
        <xdr:cNvPr id="72" name="CustomShape 1"/>
        <xdr:cNvSpPr/>
      </xdr:nvSpPr>
      <xdr:spPr>
        <a:xfrm>
          <a:off x="0" y="55015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26</xdr:row>
      <xdr:rowOff>0</xdr:rowOff>
    </xdr:from>
    <xdr:to>
      <xdr:col>10</xdr:col>
      <xdr:colOff>590040</xdr:colOff>
      <xdr:row>26</xdr:row>
      <xdr:rowOff>360</xdr:rowOff>
    </xdr:to>
    <xdr:sp>
      <xdr:nvSpPr>
        <xdr:cNvPr id="73" name="CustomShape 1"/>
        <xdr:cNvSpPr/>
      </xdr:nvSpPr>
      <xdr:spPr>
        <a:xfrm>
          <a:off x="0" y="55015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26</xdr:row>
      <xdr:rowOff>0</xdr:rowOff>
    </xdr:from>
    <xdr:to>
      <xdr:col>10</xdr:col>
      <xdr:colOff>590040</xdr:colOff>
      <xdr:row>26</xdr:row>
      <xdr:rowOff>360</xdr:rowOff>
    </xdr:to>
    <xdr:sp>
      <xdr:nvSpPr>
        <xdr:cNvPr id="74" name="CustomShape 1"/>
        <xdr:cNvSpPr/>
      </xdr:nvSpPr>
      <xdr:spPr>
        <a:xfrm>
          <a:off x="0" y="55015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26</xdr:row>
      <xdr:rowOff>0</xdr:rowOff>
    </xdr:from>
    <xdr:to>
      <xdr:col>10</xdr:col>
      <xdr:colOff>590040</xdr:colOff>
      <xdr:row>26</xdr:row>
      <xdr:rowOff>360</xdr:rowOff>
    </xdr:to>
    <xdr:sp>
      <xdr:nvSpPr>
        <xdr:cNvPr id="75" name="CustomShape 1"/>
        <xdr:cNvSpPr/>
      </xdr:nvSpPr>
      <xdr:spPr>
        <a:xfrm>
          <a:off x="0" y="550152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76"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77"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78"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79"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80"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34</xdr:row>
      <xdr:rowOff>0</xdr:rowOff>
    </xdr:from>
    <xdr:to>
      <xdr:col>10</xdr:col>
      <xdr:colOff>590040</xdr:colOff>
      <xdr:row>34</xdr:row>
      <xdr:rowOff>360</xdr:rowOff>
    </xdr:to>
    <xdr:sp>
      <xdr:nvSpPr>
        <xdr:cNvPr id="81" name="CustomShape 1"/>
        <xdr:cNvSpPr/>
      </xdr:nvSpPr>
      <xdr:spPr>
        <a:xfrm>
          <a:off x="0" y="7254000"/>
          <a:ext cx="10165680" cy="360"/>
        </a:xfrm>
        <a:prstGeom prst="rect">
          <a:avLst/>
        </a:prstGeom>
        <a:solidFill>
          <a:srgbClr val="a6caf0"/>
        </a:solidFill>
        <a:ln w="9360">
          <a:solidFill>
            <a:srgbClr val="000000"/>
          </a:solidFill>
          <a:miter/>
        </a:ln>
      </xdr:spPr>
      <xdr:style>
        <a:lnRef idx="0"/>
        <a:fillRef idx="0"/>
        <a:effectRef idx="0"/>
        <a:fontRef idx="minor"/>
      </xdr:style>
      <xdr:txBody>
        <a:bodyPr lIns="27360" rIns="0" tIns="23040" bIns="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13</xdr:row>
      <xdr:rowOff>181080</xdr:rowOff>
    </xdr:from>
    <xdr:to>
      <xdr:col>10</xdr:col>
      <xdr:colOff>816120</xdr:colOff>
      <xdr:row>16</xdr:row>
      <xdr:rowOff>209160</xdr:rowOff>
    </xdr:to>
    <xdr:sp>
      <xdr:nvSpPr>
        <xdr:cNvPr id="82" name="CustomShape 1"/>
        <xdr:cNvSpPr/>
      </xdr:nvSpPr>
      <xdr:spPr>
        <a:xfrm>
          <a:off x="0" y="2977560"/>
          <a:ext cx="10391760" cy="6757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27</xdr:row>
      <xdr:rowOff>9360</xdr:rowOff>
    </xdr:from>
    <xdr:to>
      <xdr:col>11</xdr:col>
      <xdr:colOff>9000</xdr:colOff>
      <xdr:row>29</xdr:row>
      <xdr:rowOff>228240</xdr:rowOff>
    </xdr:to>
    <xdr:sp>
      <xdr:nvSpPr>
        <xdr:cNvPr id="83" name="CustomShape 1"/>
        <xdr:cNvSpPr/>
      </xdr:nvSpPr>
      <xdr:spPr>
        <a:xfrm>
          <a:off x="9360" y="5701320"/>
          <a:ext cx="10391760" cy="6760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44</xdr:row>
      <xdr:rowOff>0</xdr:rowOff>
    </xdr:from>
    <xdr:to>
      <xdr:col>10</xdr:col>
      <xdr:colOff>816120</xdr:colOff>
      <xdr:row>46</xdr:row>
      <xdr:rowOff>190080</xdr:rowOff>
    </xdr:to>
    <xdr:sp>
      <xdr:nvSpPr>
        <xdr:cNvPr id="84" name="CustomShape 1"/>
        <xdr:cNvSpPr/>
      </xdr:nvSpPr>
      <xdr:spPr>
        <a:xfrm>
          <a:off x="19080" y="9273240"/>
          <a:ext cx="10372680" cy="571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48</xdr:row>
      <xdr:rowOff>9360</xdr:rowOff>
    </xdr:from>
    <xdr:to>
      <xdr:col>10</xdr:col>
      <xdr:colOff>816120</xdr:colOff>
      <xdr:row>50</xdr:row>
      <xdr:rowOff>190440</xdr:rowOff>
    </xdr:to>
    <xdr:sp>
      <xdr:nvSpPr>
        <xdr:cNvPr id="85" name="CustomShape 1"/>
        <xdr:cNvSpPr/>
      </xdr:nvSpPr>
      <xdr:spPr>
        <a:xfrm>
          <a:off x="9360" y="10044720"/>
          <a:ext cx="10382400" cy="5619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10</xdr:row>
      <xdr:rowOff>9360</xdr:rowOff>
    </xdr:from>
    <xdr:to>
      <xdr:col>10</xdr:col>
      <xdr:colOff>816120</xdr:colOff>
      <xdr:row>12</xdr:row>
      <xdr:rowOff>228240</xdr:rowOff>
    </xdr:to>
    <xdr:sp>
      <xdr:nvSpPr>
        <xdr:cNvPr id="86" name="CustomShape 1"/>
        <xdr:cNvSpPr/>
      </xdr:nvSpPr>
      <xdr:spPr>
        <a:xfrm>
          <a:off x="0" y="2120040"/>
          <a:ext cx="10391760" cy="67608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27</xdr:row>
      <xdr:rowOff>0</xdr:rowOff>
    </xdr:from>
    <xdr:to>
      <xdr:col>10</xdr:col>
      <xdr:colOff>816120</xdr:colOff>
      <xdr:row>29</xdr:row>
      <xdr:rowOff>228240</xdr:rowOff>
    </xdr:to>
    <xdr:sp>
      <xdr:nvSpPr>
        <xdr:cNvPr id="87" name="CustomShape 1"/>
        <xdr:cNvSpPr/>
      </xdr:nvSpPr>
      <xdr:spPr>
        <a:xfrm>
          <a:off x="0" y="5691960"/>
          <a:ext cx="10391760" cy="6854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162000</xdr:colOff>
      <xdr:row>7</xdr:row>
      <xdr:rowOff>181080</xdr:rowOff>
    </xdr:from>
    <xdr:to>
      <xdr:col>10</xdr:col>
      <xdr:colOff>285480</xdr:colOff>
      <xdr:row>14</xdr:row>
      <xdr:rowOff>114120</xdr:rowOff>
    </xdr:to>
    <xdr:sp>
      <xdr:nvSpPr>
        <xdr:cNvPr id="88" name="CustomShape 1" hidden="1"/>
        <xdr:cNvSpPr/>
      </xdr:nvSpPr>
      <xdr:spPr>
        <a:xfrm>
          <a:off x="3034440" y="1681920"/>
          <a:ext cx="6826680" cy="14191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4.1.2 Management team (other)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 this section general background information is asked from three other people, who have key-positions in your organization (i.e. the controller, the truck sales manager and the after sales manager). The questions asked is to determine how experienced your management team is.</a:t>
          </a:r>
          <a:endParaRPr b="0" lang="en-US" sz="800" spc="-1" strike="noStrike">
            <a:latin typeface="Times New Roman"/>
          </a:endParaRPr>
        </a:p>
        <a:p>
          <a:pPr>
            <a:lnSpc>
              <a:spcPct val="100000"/>
            </a:lnSpc>
          </a:pPr>
          <a:r>
            <a:rPr b="0" lang="en-US" sz="800" spc="-1" strike="noStrike">
              <a:solidFill>
                <a:srgbClr val="000000"/>
              </a:solidFill>
              <a:latin typeface="Trebuchet MS"/>
            </a:rPr>
            <a:t>Give also information about the succession plan.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95400</xdr:colOff>
      <xdr:row>0</xdr:row>
      <xdr:rowOff>104760</xdr:rowOff>
    </xdr:from>
    <xdr:to>
      <xdr:col>5</xdr:col>
      <xdr:colOff>742680</xdr:colOff>
      <xdr:row>0</xdr:row>
      <xdr:rowOff>351720</xdr:rowOff>
    </xdr:to>
    <xdr:sp>
      <xdr:nvSpPr>
        <xdr:cNvPr id="89" name="CustomShape 1" hidden="1"/>
        <xdr:cNvSpPr/>
      </xdr:nvSpPr>
      <xdr:spPr>
        <a:xfrm>
          <a:off x="4883040" y="104760"/>
          <a:ext cx="647280" cy="246960"/>
        </a:xfrm>
        <a:prstGeom prst="rect">
          <a:avLst/>
        </a:prstGeom>
        <a:noFill/>
        <a:ln>
          <a:noFill/>
        </a:ln>
      </xdr:spPr>
      <xdr:style>
        <a:lnRef idx="0"/>
        <a:fillRef idx="0"/>
        <a:effectRef idx="0"/>
        <a:fontRef idx="minor"/>
      </xdr:style>
    </xdr:sp>
    <xdr:clientData/>
  </xdr:twoCellAnchor>
  <xdr:twoCellAnchor editAs="oneCell">
    <xdr:from>
      <xdr:col>5</xdr:col>
      <xdr:colOff>63360</xdr:colOff>
      <xdr:row>0</xdr:row>
      <xdr:rowOff>69840</xdr:rowOff>
    </xdr:from>
    <xdr:to>
      <xdr:col>5</xdr:col>
      <xdr:colOff>494640</xdr:colOff>
      <xdr:row>1</xdr:row>
      <xdr:rowOff>2880</xdr:rowOff>
    </xdr:to>
    <xdr:pic>
      <xdr:nvPicPr>
        <xdr:cNvPr id="90" name="CommandButton1" descr=""/>
        <xdr:cNvPicPr/>
      </xdr:nvPicPr>
      <xdr:blipFill>
        <a:blip r:embed="rId1"/>
        <a:stretch/>
      </xdr:blipFill>
      <xdr:spPr>
        <a:xfrm>
          <a:off x="4851000" y="69840"/>
          <a:ext cx="431280" cy="285120"/>
        </a:xfrm>
        <a:prstGeom prst="rect">
          <a:avLst/>
        </a:prstGeom>
        <a:ln>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10</xdr:col>
      <xdr:colOff>590040</xdr:colOff>
      <xdr:row>0</xdr:row>
      <xdr:rowOff>360</xdr:rowOff>
    </xdr:to>
    <xdr:sp>
      <xdr:nvSpPr>
        <xdr:cNvPr id="91" name="CustomShape 1"/>
        <xdr:cNvSpPr/>
      </xdr:nvSpPr>
      <xdr:spPr>
        <a:xfrm>
          <a:off x="0" y="0"/>
          <a:ext cx="11175480" cy="360"/>
        </a:xfrm>
        <a:prstGeom prst="rect">
          <a:avLst/>
        </a:prstGeom>
        <a:solidFill>
          <a:srgbClr val="ffffff"/>
        </a:solidFill>
        <a:ln w="9360">
          <a:solidFill>
            <a:srgbClr val="000000"/>
          </a:solidFill>
          <a:miter/>
        </a:ln>
      </xdr:spPr>
      <xdr:style>
        <a:lnRef idx="0"/>
        <a:fillRef idx="0"/>
        <a:effectRef idx="0"/>
        <a:fontRef idx="minor"/>
      </xdr:style>
      <xdr:txBody>
        <a:bodyPr lIns="27360" rIns="0" tIns="23040" bIns="0"/>
        <a:p>
          <a:pPr>
            <a:lnSpc>
              <a:spcPct val="100000"/>
            </a:lnSpc>
          </a:pPr>
          <a:r>
            <a:rPr b="0" lang="en-US" sz="1000" spc="-1" strike="noStrike">
              <a:solidFill>
                <a:srgbClr val="000000"/>
              </a:solidFill>
              <a:latin typeface="Arial"/>
            </a:rPr>
            <a:t>1)</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0</xdr:row>
      <xdr:rowOff>0</xdr:rowOff>
    </xdr:from>
    <xdr:to>
      <xdr:col>10</xdr:col>
      <xdr:colOff>571320</xdr:colOff>
      <xdr:row>0</xdr:row>
      <xdr:rowOff>360</xdr:rowOff>
    </xdr:to>
    <xdr:sp>
      <xdr:nvSpPr>
        <xdr:cNvPr id="92" name="CustomShape 1"/>
        <xdr:cNvSpPr/>
      </xdr:nvSpPr>
      <xdr:spPr>
        <a:xfrm>
          <a:off x="0" y="0"/>
          <a:ext cx="11156760" cy="360"/>
        </a:xfrm>
        <a:prstGeom prst="rect">
          <a:avLst/>
        </a:prstGeom>
        <a:solidFill>
          <a:srgbClr val="ffffff"/>
        </a:solidFill>
        <a:ln w="9360">
          <a:solidFill>
            <a:srgbClr val="000000"/>
          </a:solidFill>
          <a:miter/>
        </a:ln>
      </xdr:spPr>
      <xdr:style>
        <a:lnRef idx="0"/>
        <a:fillRef idx="0"/>
        <a:effectRef idx="0"/>
        <a:fontRef idx="minor"/>
      </xdr:style>
      <xdr:txBody>
        <a:bodyPr lIns="27360" rIns="0" tIns="23040" bIns="0"/>
        <a:p>
          <a:pPr>
            <a:lnSpc>
              <a:spcPct val="100000"/>
            </a:lnSpc>
          </a:pPr>
          <a:r>
            <a:rPr b="0" lang="en-US" sz="1000" spc="-1" strike="noStrike">
              <a:solidFill>
                <a:srgbClr val="000000"/>
              </a:solidFill>
              <a:latin typeface="Arial"/>
            </a:rPr>
            <a:t>1)</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19080</xdr:colOff>
      <xdr:row>0</xdr:row>
      <xdr:rowOff>0</xdr:rowOff>
    </xdr:from>
    <xdr:to>
      <xdr:col>8</xdr:col>
      <xdr:colOff>1058040</xdr:colOff>
      <xdr:row>0</xdr:row>
      <xdr:rowOff>360</xdr:rowOff>
    </xdr:to>
    <xdr:sp>
      <xdr:nvSpPr>
        <xdr:cNvPr id="93" name="CustomShape 1"/>
        <xdr:cNvSpPr/>
      </xdr:nvSpPr>
      <xdr:spPr>
        <a:xfrm>
          <a:off x="19080" y="0"/>
          <a:ext cx="9507240" cy="360"/>
        </a:xfrm>
        <a:prstGeom prst="rect">
          <a:avLst/>
        </a:prstGeom>
        <a:solidFill>
          <a:srgbClr val="ffffff"/>
        </a:solidFill>
        <a:ln w="9360">
          <a:solidFill>
            <a:srgbClr val="000000"/>
          </a:solidFill>
          <a:miter/>
        </a:ln>
      </xdr:spPr>
      <xdr:style>
        <a:lnRef idx="0"/>
        <a:fillRef idx="0"/>
        <a:effectRef idx="0"/>
        <a:fontRef idx="minor"/>
      </xdr:style>
      <xdr:txBody>
        <a:bodyPr lIns="27360" rIns="0" tIns="23040" bIns="0"/>
        <a:p>
          <a:pPr>
            <a:lnSpc>
              <a:spcPct val="100000"/>
            </a:lnSpc>
          </a:pPr>
          <a:r>
            <a:rPr b="0" lang="en-US" sz="1000" spc="-1" strike="noStrike">
              <a:solidFill>
                <a:srgbClr val="000000"/>
              </a:solidFill>
              <a:latin typeface="Arial"/>
            </a:rPr>
            <a:t>1)</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2)</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Arial"/>
            </a:rPr>
            <a:t>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0</xdr:colOff>
      <xdr:row>0</xdr:row>
      <xdr:rowOff>0</xdr:rowOff>
    </xdr:from>
    <xdr:to>
      <xdr:col>10</xdr:col>
      <xdr:colOff>590040</xdr:colOff>
      <xdr:row>0</xdr:row>
      <xdr:rowOff>360</xdr:rowOff>
    </xdr:to>
    <xdr:sp>
      <xdr:nvSpPr>
        <xdr:cNvPr id="94" name="CustomShape 1"/>
        <xdr:cNvSpPr/>
      </xdr:nvSpPr>
      <xdr:spPr>
        <a:xfrm>
          <a:off x="0" y="0"/>
          <a:ext cx="11175480" cy="360"/>
        </a:xfrm>
        <a:prstGeom prst="rect">
          <a:avLst/>
        </a:prstGeom>
        <a:solidFill>
          <a:srgbClr val="ffffff"/>
        </a:solidFill>
        <a:ln w="9360">
          <a:solidFill>
            <a:srgbClr val="000000"/>
          </a:solidFill>
          <a:miter/>
        </a:ln>
      </xdr:spPr>
      <xdr:style>
        <a:lnRef idx="0"/>
        <a:fillRef idx="0"/>
        <a:effectRef idx="0"/>
        <a:fontRef idx="minor"/>
      </xdr:style>
      <xdr:txBody>
        <a:bodyPr lIns="27360" rIns="0" tIns="23040" bIns="0"/>
        <a:p>
          <a:pPr>
            <a:lnSpc>
              <a:spcPct val="100000"/>
            </a:lnSpc>
          </a:pPr>
          <a:r>
            <a:rPr b="0" lang="en-US" sz="1000" spc="-1" strike="noStrike">
              <a:solidFill>
                <a:srgbClr val="000000"/>
              </a:solidFill>
              <a:latin typeface="Arial"/>
            </a:rPr>
            <a:t>[what kind of products will be sold by the dealer]</a:t>
          </a:r>
          <a:endParaRPr b="0" lang="en-US" sz="1000" spc="-1" strike="noStrike">
            <a:latin typeface="Times New Roman"/>
          </a:endParaRPr>
        </a:p>
      </xdr:txBody>
    </xdr:sp>
    <xdr:clientData/>
  </xdr:twoCellAnchor>
  <xdr:twoCellAnchor editAs="oneCell">
    <xdr:from>
      <xdr:col>0</xdr:col>
      <xdr:colOff>9360</xdr:colOff>
      <xdr:row>32</xdr:row>
      <xdr:rowOff>0</xdr:rowOff>
    </xdr:from>
    <xdr:to>
      <xdr:col>10</xdr:col>
      <xdr:colOff>990000</xdr:colOff>
      <xdr:row>35</xdr:row>
      <xdr:rowOff>171000</xdr:rowOff>
    </xdr:to>
    <xdr:sp>
      <xdr:nvSpPr>
        <xdr:cNvPr id="95" name="CustomShape 1"/>
        <xdr:cNvSpPr/>
      </xdr:nvSpPr>
      <xdr:spPr>
        <a:xfrm>
          <a:off x="9360" y="6257880"/>
          <a:ext cx="11566080" cy="742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38</xdr:row>
      <xdr:rowOff>0</xdr:rowOff>
    </xdr:from>
    <xdr:to>
      <xdr:col>10</xdr:col>
      <xdr:colOff>990000</xdr:colOff>
      <xdr:row>41</xdr:row>
      <xdr:rowOff>190080</xdr:rowOff>
    </xdr:to>
    <xdr:sp>
      <xdr:nvSpPr>
        <xdr:cNvPr id="96" name="CustomShape 1"/>
        <xdr:cNvSpPr/>
      </xdr:nvSpPr>
      <xdr:spPr>
        <a:xfrm>
          <a:off x="9360" y="7400880"/>
          <a:ext cx="11566080" cy="7614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638280</xdr:colOff>
      <xdr:row>5</xdr:row>
      <xdr:rowOff>57240</xdr:rowOff>
    </xdr:from>
    <xdr:to>
      <xdr:col>10</xdr:col>
      <xdr:colOff>990360</xdr:colOff>
      <xdr:row>27</xdr:row>
      <xdr:rowOff>171360</xdr:rowOff>
    </xdr:to>
    <xdr:sp>
      <xdr:nvSpPr>
        <xdr:cNvPr id="97" name="CustomShape 1" hidden="1"/>
        <xdr:cNvSpPr/>
      </xdr:nvSpPr>
      <xdr:spPr>
        <a:xfrm>
          <a:off x="3813840" y="1257120"/>
          <a:ext cx="7761960" cy="42195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5.0 Economy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Economic situation country</a:t>
          </a:r>
          <a:endParaRPr b="0" lang="en-US" sz="800" spc="-1" strike="noStrike">
            <a:latin typeface="Times New Roman"/>
          </a:endParaRPr>
        </a:p>
        <a:p>
          <a:pPr>
            <a:lnSpc>
              <a:spcPct val="100000"/>
            </a:lnSpc>
          </a:pPr>
          <a:r>
            <a:rPr b="0" lang="en-US" sz="800" spc="-1" strike="noStrike">
              <a:solidFill>
                <a:srgbClr val="000000"/>
              </a:solidFill>
              <a:latin typeface="Trebuchet MS"/>
            </a:rPr>
            <a:t>Give a general description of the economic situation in the country. Indicators are the economic growth, the economic development, the inflation rate, the interest development, the infrastructure development and the development within the truck market. The description should contain the history, the present situation and the future outlook.</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Economic situation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Give a general description of the economic situation in the dealer area specifically if this deviates from the country situation.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Main opportunities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economic situation offers for the dealership.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threats which the dealership faces regarding the economic situation.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Map of country with dealer area highlighted</a:t>
          </a:r>
          <a:endParaRPr b="0" lang="en-US" sz="800" spc="-1" strike="noStrike">
            <a:latin typeface="Times New Roman"/>
          </a:endParaRPr>
        </a:p>
        <a:p>
          <a:pPr>
            <a:lnSpc>
              <a:spcPct val="100000"/>
            </a:lnSpc>
          </a:pPr>
          <a:r>
            <a:rPr b="0" lang="en-US" sz="800" spc="-1" strike="noStrike">
              <a:solidFill>
                <a:srgbClr val="000000"/>
              </a:solidFill>
              <a:latin typeface="Trebuchet MS"/>
            </a:rPr>
            <a:t>Show a map of the whole country with the hub dealer area and dealership location clearly marked.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0</xdr:colOff>
      <xdr:row>0</xdr:row>
      <xdr:rowOff>76320</xdr:rowOff>
    </xdr:from>
    <xdr:to>
      <xdr:col>5</xdr:col>
      <xdr:colOff>409320</xdr:colOff>
      <xdr:row>0</xdr:row>
      <xdr:rowOff>342720</xdr:rowOff>
    </xdr:to>
    <xdr:sp>
      <xdr:nvSpPr>
        <xdr:cNvPr id="98" name="CustomShape 1" hidden="1"/>
        <xdr:cNvSpPr/>
      </xdr:nvSpPr>
      <xdr:spPr>
        <a:xfrm>
          <a:off x="5292720" y="76320"/>
          <a:ext cx="409320" cy="266400"/>
        </a:xfrm>
        <a:prstGeom prst="rect">
          <a:avLst/>
        </a:prstGeom>
        <a:noFill/>
        <a:ln>
          <a:noFill/>
        </a:ln>
      </xdr:spPr>
      <xdr:style>
        <a:lnRef idx="0"/>
        <a:fillRef idx="0"/>
        <a:effectRef idx="0"/>
        <a:fontRef idx="minor"/>
      </xdr:style>
    </xdr:sp>
    <xdr:clientData/>
  </xdr:twoCellAnchor>
  <xdr:twoCellAnchor editAs="oneCell">
    <xdr:from>
      <xdr:col>5</xdr:col>
      <xdr:colOff>0</xdr:colOff>
      <xdr:row>0</xdr:row>
      <xdr:rowOff>50760</xdr:rowOff>
    </xdr:from>
    <xdr:to>
      <xdr:col>5</xdr:col>
      <xdr:colOff>272520</xdr:colOff>
      <xdr:row>0</xdr:row>
      <xdr:rowOff>228240</xdr:rowOff>
    </xdr:to>
    <xdr:pic>
      <xdr:nvPicPr>
        <xdr:cNvPr id="99" name="CommandButton1" descr=""/>
        <xdr:cNvPicPr/>
      </xdr:nvPicPr>
      <xdr:blipFill>
        <a:blip r:embed="rId1"/>
        <a:stretch/>
      </xdr:blipFill>
      <xdr:spPr>
        <a:xfrm>
          <a:off x="5292720" y="50760"/>
          <a:ext cx="272520" cy="177480"/>
        </a:xfrm>
        <a:prstGeom prst="rect">
          <a:avLst/>
        </a:prstGeom>
        <a:ln>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95400</xdr:colOff>
      <xdr:row>4</xdr:row>
      <xdr:rowOff>114480</xdr:rowOff>
    </xdr:from>
    <xdr:to>
      <xdr:col>20</xdr:col>
      <xdr:colOff>775440</xdr:colOff>
      <xdr:row>23</xdr:row>
      <xdr:rowOff>190440</xdr:rowOff>
    </xdr:to>
    <xdr:sp>
      <xdr:nvSpPr>
        <xdr:cNvPr id="100" name="CustomShape 1" hidden="1"/>
        <xdr:cNvSpPr/>
      </xdr:nvSpPr>
      <xdr:spPr>
        <a:xfrm>
          <a:off x="7143120" y="1295280"/>
          <a:ext cx="3251880" cy="39337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1000" spc="-1" strike="noStrike">
              <a:solidFill>
                <a:srgbClr val="000000"/>
              </a:solidFill>
              <a:latin typeface="Trebuchet MS"/>
            </a:rPr>
            <a:t>For the Calculator to calculate the DAF sales potential for Parts, Workshop Hours and Oil please update the matrix.</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Enter the current number of DAF trucks in your region in the corresponding cells; where the years represent the age of the vehicles.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7</xdr:col>
      <xdr:colOff>104760</xdr:colOff>
      <xdr:row>6</xdr:row>
      <xdr:rowOff>162000</xdr:rowOff>
    </xdr:from>
    <xdr:to>
      <xdr:col>20</xdr:col>
      <xdr:colOff>552240</xdr:colOff>
      <xdr:row>36</xdr:row>
      <xdr:rowOff>152280</xdr:rowOff>
    </xdr:to>
    <xdr:sp>
      <xdr:nvSpPr>
        <xdr:cNvPr id="101" name="CustomShape 1" hidden="1"/>
        <xdr:cNvSpPr/>
      </xdr:nvSpPr>
      <xdr:spPr>
        <a:xfrm>
          <a:off x="3037680" y="1819080"/>
          <a:ext cx="7134120" cy="590544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5.1 DAF Vehicle Parc (Input)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New Truck market size country</a:t>
          </a:r>
          <a:endParaRPr b="0" lang="en-US" sz="800" spc="-1" strike="noStrike">
            <a:latin typeface="Times New Roman"/>
          </a:endParaRPr>
        </a:p>
        <a:p>
          <a:pPr>
            <a:lnSpc>
              <a:spcPct val="100000"/>
            </a:lnSpc>
          </a:pPr>
          <a:r>
            <a:rPr b="1" lang="en-US" sz="800" spc="-1" strike="noStrike">
              <a:solidFill>
                <a:srgbClr val="000000"/>
              </a:solidFill>
              <a:latin typeface="Trebuchet MS"/>
            </a:rPr>
            <a:t>Fill in the number of registrations of new trucks in the segment between 6 and 15 tons GVW and above 15 tons GVW. Please contact your Dealer Developer of DAF Trucks NV for the actual numbers of registrations and a forecast for the next 4 years.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New truck - Market size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registrations of new trucks in the segment between 6 and 15 tons GVW and above 15 tons GVW. Please contact the Central Marketing of DAF Trucks NV for the actual numbers of registrations and a forecast for the next 4 years.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Running parc DAF -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The year before basic year is automatically filled in.</a:t>
          </a:r>
          <a:endParaRPr b="0" lang="en-US" sz="800" spc="-1" strike="noStrike">
            <a:latin typeface="Times New Roman"/>
          </a:endParaRPr>
        </a:p>
        <a:p>
          <a:pPr>
            <a:lnSpc>
              <a:spcPct val="100000"/>
            </a:lnSpc>
          </a:pPr>
          <a:r>
            <a:rPr b="0" lang="en-US" sz="800" spc="-1" strike="noStrike">
              <a:solidFill>
                <a:srgbClr val="000000"/>
              </a:solidFill>
              <a:latin typeface="Trebuchet MS"/>
            </a:rPr>
            <a:t>The DAF parc is needed to calculate the potential DAF parts consumption and potential DAF workshop hour’s consumption later on in the financial part of the business plan. Based on the number per series and the age of the vehicles in the basic year the potential consumption can be calculated.</a:t>
          </a:r>
          <a:endParaRPr b="0" lang="en-US" sz="800" spc="-1" strike="noStrike">
            <a:latin typeface="Times New Roman"/>
          </a:endParaRPr>
        </a:p>
        <a:p>
          <a:pPr>
            <a:lnSpc>
              <a:spcPct val="100000"/>
            </a:lnSpc>
          </a:pPr>
          <a:r>
            <a:rPr b="0" lang="en-US" sz="800" spc="-1" strike="noStrike">
              <a:solidFill>
                <a:srgbClr val="000000"/>
              </a:solidFill>
              <a:latin typeface="Trebuchet MS"/>
            </a:rPr>
            <a:t>If the exact split over series and/or the age of the vehicles is not known, estimate as accurate as possible. Dealer Development Eindhoven can assist in obtaining this information.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Used truck sales dealer</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used trucks sales in the segment between 6 and 15 tons GVW and above 15 tons GVW for the dealership location. If a split up is not possible then indicate the total number of used truck sales per year. Forecast should be filled in if figures are available or a reliable estimation can be given.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Trailer sales dealer</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history and forecast the number of registrations of trailers for your dealership location.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6</a:t>
          </a:r>
          <a:r>
            <a:rPr b="1" lang="en-US" sz="800" spc="-1" strike="noStrike">
              <a:solidFill>
                <a:srgbClr val="000000"/>
              </a:solidFill>
              <a:latin typeface="Trebuchet MS"/>
            </a:rPr>
            <a:t>. Vehicle Parc Stand Still</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percentage of the estimated standstill of the vehicle parc in the dealer area.</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12</xdr:col>
      <xdr:colOff>171360</xdr:colOff>
      <xdr:row>17</xdr:row>
      <xdr:rowOff>95400</xdr:rowOff>
    </xdr:from>
    <xdr:to>
      <xdr:col>13</xdr:col>
      <xdr:colOff>152280</xdr:colOff>
      <xdr:row>17</xdr:row>
      <xdr:rowOff>95760</xdr:rowOff>
    </xdr:to>
    <xdr:sp>
      <xdr:nvSpPr>
        <xdr:cNvPr id="102" name="CustomShape 1" hidden="1"/>
        <xdr:cNvSpPr/>
      </xdr:nvSpPr>
      <xdr:spPr>
        <a:xfrm>
          <a:off x="5676120" y="3943440"/>
          <a:ext cx="495000" cy="36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Continue</a:t>
          </a:r>
          <a:endParaRPr b="0" lang="en-US" sz="1400" spc="-1" strike="noStrike">
            <a:latin typeface="Times New Roman"/>
          </a:endParaRPr>
        </a:p>
      </xdr:txBody>
    </xdr:sp>
    <xdr:clientData/>
  </xdr:twoCellAnchor>
  <xdr:twoCellAnchor editAs="oneCell">
    <xdr:from>
      <xdr:col>12</xdr:col>
      <xdr:colOff>171360</xdr:colOff>
      <xdr:row>31</xdr:row>
      <xdr:rowOff>9720</xdr:rowOff>
    </xdr:from>
    <xdr:to>
      <xdr:col>13</xdr:col>
      <xdr:colOff>152280</xdr:colOff>
      <xdr:row>31</xdr:row>
      <xdr:rowOff>10080</xdr:rowOff>
    </xdr:to>
    <xdr:sp>
      <xdr:nvSpPr>
        <xdr:cNvPr id="103" name="CustomShape 1" hidden="1"/>
        <xdr:cNvSpPr/>
      </xdr:nvSpPr>
      <xdr:spPr>
        <a:xfrm>
          <a:off x="5676120" y="6581880"/>
          <a:ext cx="495000" cy="36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Continue</a:t>
          </a:r>
          <a:endParaRPr b="0" lang="en-US" sz="1400" spc="-1" strike="noStrike">
            <a:latin typeface="Times New Roman"/>
          </a:endParaRPr>
        </a:p>
      </xdr:txBody>
    </xdr:sp>
    <xdr:clientData/>
  </xdr:twoCellAnchor>
  <xdr:twoCellAnchor editAs="oneCell">
    <xdr:from>
      <xdr:col>4</xdr:col>
      <xdr:colOff>425520</xdr:colOff>
      <xdr:row>1</xdr:row>
      <xdr:rowOff>19080</xdr:rowOff>
    </xdr:from>
    <xdr:to>
      <xdr:col>5</xdr:col>
      <xdr:colOff>37800</xdr:colOff>
      <xdr:row>1</xdr:row>
      <xdr:rowOff>101160</xdr:rowOff>
    </xdr:to>
    <xdr:pic>
      <xdr:nvPicPr>
        <xdr:cNvPr id="104" name="CommandButton1" descr=""/>
        <xdr:cNvPicPr/>
      </xdr:nvPicPr>
      <xdr:blipFill>
        <a:blip r:embed="rId1"/>
        <a:stretch/>
      </xdr:blipFill>
      <xdr:spPr>
        <a:xfrm>
          <a:off x="1815480" y="209520"/>
          <a:ext cx="126360" cy="82080"/>
        </a:xfrm>
        <a:prstGeom prst="rect">
          <a:avLst/>
        </a:prstGeom>
        <a:ln>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10</xdr:row>
      <xdr:rowOff>57240</xdr:rowOff>
    </xdr:from>
    <xdr:to>
      <xdr:col>10</xdr:col>
      <xdr:colOff>937080</xdr:colOff>
      <xdr:row>30</xdr:row>
      <xdr:rowOff>56880</xdr:rowOff>
    </xdr:to>
    <xdr:graphicFrame>
      <xdr:nvGraphicFramePr>
        <xdr:cNvPr id="105" name="Chart 1"/>
        <xdr:cNvGraphicFramePr/>
      </xdr:nvGraphicFramePr>
      <xdr:xfrm>
        <a:off x="0" y="1881360"/>
        <a:ext cx="9433080" cy="3238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9360</xdr:colOff>
      <xdr:row>32</xdr:row>
      <xdr:rowOff>9360</xdr:rowOff>
    </xdr:from>
    <xdr:to>
      <xdr:col>10</xdr:col>
      <xdr:colOff>875880</xdr:colOff>
      <xdr:row>41</xdr:row>
      <xdr:rowOff>9000</xdr:rowOff>
    </xdr:to>
    <xdr:sp>
      <xdr:nvSpPr>
        <xdr:cNvPr id="106" name="CustomShape 1"/>
        <xdr:cNvSpPr/>
      </xdr:nvSpPr>
      <xdr:spPr>
        <a:xfrm>
          <a:off x="9360" y="5396040"/>
          <a:ext cx="9362520" cy="14569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41</xdr:row>
      <xdr:rowOff>152280</xdr:rowOff>
    </xdr:from>
    <xdr:to>
      <xdr:col>10</xdr:col>
      <xdr:colOff>875880</xdr:colOff>
      <xdr:row>48</xdr:row>
      <xdr:rowOff>151920</xdr:rowOff>
    </xdr:to>
    <xdr:sp>
      <xdr:nvSpPr>
        <xdr:cNvPr id="107" name="CustomShape 1"/>
        <xdr:cNvSpPr/>
      </xdr:nvSpPr>
      <xdr:spPr>
        <a:xfrm>
          <a:off x="0" y="6996240"/>
          <a:ext cx="9371880" cy="11329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50</xdr:row>
      <xdr:rowOff>0</xdr:rowOff>
    </xdr:from>
    <xdr:to>
      <xdr:col>10</xdr:col>
      <xdr:colOff>937080</xdr:colOff>
      <xdr:row>55</xdr:row>
      <xdr:rowOff>151920</xdr:rowOff>
    </xdr:to>
    <xdr:sp>
      <xdr:nvSpPr>
        <xdr:cNvPr id="108" name="CustomShape 1"/>
        <xdr:cNvSpPr/>
      </xdr:nvSpPr>
      <xdr:spPr>
        <a:xfrm>
          <a:off x="19080" y="8301240"/>
          <a:ext cx="9414000" cy="9615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2</xdr:col>
      <xdr:colOff>428760</xdr:colOff>
      <xdr:row>9</xdr:row>
      <xdr:rowOff>142920</xdr:rowOff>
    </xdr:from>
    <xdr:to>
      <xdr:col>10</xdr:col>
      <xdr:colOff>599760</xdr:colOff>
      <xdr:row>32</xdr:row>
      <xdr:rowOff>18720</xdr:rowOff>
    </xdr:to>
    <xdr:sp>
      <xdr:nvSpPr>
        <xdr:cNvPr id="109" name="CustomShape 1" hidden="1"/>
        <xdr:cNvSpPr/>
      </xdr:nvSpPr>
      <xdr:spPr>
        <a:xfrm>
          <a:off x="1719000" y="1805040"/>
          <a:ext cx="7376760" cy="36003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5.1.1 New Truck Market – Country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Total market size country</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registrations of new trucks in the segment between 6 and 15 tons GVW and above 15 tons GVW. Please contact your Dealer Developer of DAF Trucks NV for the actual numbers of registrations and a forecast for the next 4 years. The graph will be made automatically.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Analysis truck market development</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developments in the truck market. This may concern all different kind of aspects like legislation, influence of economic aspects, supplier developments, developments in customer demands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Main opportunities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truck market offers for the dealership.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threats which the dealership faces regarding the truck market situation.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1023</xdr:col>
      <xdr:colOff>0</xdr:colOff>
      <xdr:row>17</xdr:row>
      <xdr:rowOff>19080</xdr:rowOff>
    </xdr:from>
    <xdr:to>
      <xdr:col>1023</xdr:col>
      <xdr:colOff>360</xdr:colOff>
      <xdr:row>19</xdr:row>
      <xdr:rowOff>47160</xdr:rowOff>
    </xdr:to>
    <xdr:sp>
      <xdr:nvSpPr>
        <xdr:cNvPr id="110" name="CustomShape 1" hidden="1"/>
        <xdr:cNvSpPr/>
      </xdr:nvSpPr>
      <xdr:spPr>
        <a:xfrm>
          <a:off x="9604080" y="2976840"/>
          <a:ext cx="360" cy="35172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a:t>
          </a:r>
          <a:endParaRPr b="0" lang="en-US" sz="1400" spc="-1" strike="noStrike">
            <a:latin typeface="Times New Roman"/>
          </a:endParaRPr>
        </a:p>
      </xdr:txBody>
    </xdr:sp>
    <xdr:clientData/>
  </xdr:twoCellAnchor>
  <xdr:twoCellAnchor editAs="oneCell">
    <xdr:from>
      <xdr:col>1023</xdr:col>
      <xdr:colOff>0</xdr:colOff>
      <xdr:row>17</xdr:row>
      <xdr:rowOff>19080</xdr:rowOff>
    </xdr:from>
    <xdr:to>
      <xdr:col>1023</xdr:col>
      <xdr:colOff>360</xdr:colOff>
      <xdr:row>19</xdr:row>
      <xdr:rowOff>47160</xdr:rowOff>
    </xdr:to>
    <xdr:sp>
      <xdr:nvSpPr>
        <xdr:cNvPr id="111" name="CustomShape 1" hidden="1"/>
        <xdr:cNvSpPr/>
      </xdr:nvSpPr>
      <xdr:spPr>
        <a:xfrm>
          <a:off x="9604080" y="2976840"/>
          <a:ext cx="360" cy="35172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a:t>
          </a:r>
          <a:endParaRPr b="0" lang="en-US" sz="1400" spc="-1" strike="noStrike">
            <a:latin typeface="Times New Roman"/>
          </a:endParaRPr>
        </a:p>
      </xdr:txBody>
    </xdr:sp>
    <xdr:clientData/>
  </xdr:twoCellAnchor>
  <xdr:twoCellAnchor editAs="oneCell">
    <xdr:from>
      <xdr:col>1023</xdr:col>
      <xdr:colOff>0</xdr:colOff>
      <xdr:row>14</xdr:row>
      <xdr:rowOff>19080</xdr:rowOff>
    </xdr:from>
    <xdr:to>
      <xdr:col>1023</xdr:col>
      <xdr:colOff>360</xdr:colOff>
      <xdr:row>16</xdr:row>
      <xdr:rowOff>47160</xdr:rowOff>
    </xdr:to>
    <xdr:sp>
      <xdr:nvSpPr>
        <xdr:cNvPr id="112" name="CustomShape 1" hidden="1"/>
        <xdr:cNvSpPr/>
      </xdr:nvSpPr>
      <xdr:spPr>
        <a:xfrm>
          <a:off x="9604080" y="2490840"/>
          <a:ext cx="360" cy="35208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a:t>
          </a:r>
          <a:endParaRPr b="0" lang="en-US" sz="1400" spc="-1" strike="noStrike">
            <a:latin typeface="Times New Roman"/>
          </a:endParaRPr>
        </a:p>
      </xdr:txBody>
    </xdr:sp>
    <xdr:clientData/>
  </xdr:twoCellAnchor>
  <xdr:twoCellAnchor editAs="oneCell">
    <xdr:from>
      <xdr:col>1023</xdr:col>
      <xdr:colOff>0</xdr:colOff>
      <xdr:row>1048575</xdr:row>
      <xdr:rowOff>0</xdr:rowOff>
    </xdr:from>
    <xdr:to>
      <xdr:col>1023</xdr:col>
      <xdr:colOff>360</xdr:colOff>
      <xdr:row>1048575</xdr:row>
      <xdr:rowOff>360</xdr:rowOff>
    </xdr:to>
    <xdr:sp>
      <xdr:nvSpPr>
        <xdr:cNvPr id="113" name="CustomShape 1" hidden="1"/>
        <xdr:cNvSpPr/>
      </xdr:nvSpPr>
      <xdr:spPr>
        <a:xfrm>
          <a:off x="9604080" y="9272880"/>
          <a:ext cx="360" cy="36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a:t>
          </a:r>
          <a:endParaRPr b="0" lang="en-US" sz="1400" spc="-1" strike="noStrike">
            <a:latin typeface="Times New Roman"/>
          </a:endParaRPr>
        </a:p>
      </xdr:txBody>
    </xdr:sp>
    <xdr:clientData/>
  </xdr:twoCellAnchor>
  <xdr:twoCellAnchor editAs="oneCell">
    <xdr:from>
      <xdr:col>1023</xdr:col>
      <xdr:colOff>0</xdr:colOff>
      <xdr:row>1048575</xdr:row>
      <xdr:rowOff>0</xdr:rowOff>
    </xdr:from>
    <xdr:to>
      <xdr:col>1023</xdr:col>
      <xdr:colOff>360</xdr:colOff>
      <xdr:row>1048575</xdr:row>
      <xdr:rowOff>360</xdr:rowOff>
    </xdr:to>
    <xdr:sp>
      <xdr:nvSpPr>
        <xdr:cNvPr id="114" name="CustomShape 1" hidden="1"/>
        <xdr:cNvSpPr/>
      </xdr:nvSpPr>
      <xdr:spPr>
        <a:xfrm>
          <a:off x="9604080" y="9272880"/>
          <a:ext cx="360" cy="360"/>
        </a:xfrm>
        <a:prstGeom prst="rect">
          <a:avLst/>
        </a:prstGeom>
        <a:noFill/>
        <a:ln w="9360">
          <a:noFill/>
        </a:ln>
      </xdr:spPr>
      <xdr:style>
        <a:lnRef idx="0"/>
        <a:fillRef idx="0"/>
        <a:effectRef idx="0"/>
        <a:fontRef idx="minor"/>
      </xdr:style>
      <xdr:txBody>
        <a:bodyPr lIns="36720" rIns="36720" tIns="32040" bIns="32040" anchor="ctr"/>
        <a:p>
          <a:pPr algn="ctr">
            <a:lnSpc>
              <a:spcPct val="100000"/>
            </a:lnSpc>
          </a:pPr>
          <a:r>
            <a:rPr b="1" lang="en-US" sz="1400" spc="-1" strike="noStrike">
              <a:solidFill>
                <a:srgbClr val="000000"/>
              </a:solidFill>
              <a:latin typeface="Trebuchet MS"/>
            </a:rPr>
            <a:t>?</a:t>
          </a:r>
          <a:endParaRPr b="0" lang="en-US" sz="1400" spc="-1" strike="noStrike">
            <a:latin typeface="Times New Roman"/>
          </a:endParaRPr>
        </a:p>
      </xdr:txBody>
    </xdr:sp>
    <xdr:clientData/>
  </xdr:twoCellAnchor>
  <xdr:twoCellAnchor editAs="oneCell">
    <xdr:from>
      <xdr:col>4</xdr:col>
      <xdr:colOff>0</xdr:colOff>
      <xdr:row>0</xdr:row>
      <xdr:rowOff>76320</xdr:rowOff>
    </xdr:from>
    <xdr:to>
      <xdr:col>4</xdr:col>
      <xdr:colOff>828360</xdr:colOff>
      <xdr:row>1</xdr:row>
      <xdr:rowOff>18720</xdr:rowOff>
    </xdr:to>
    <xdr:sp>
      <xdr:nvSpPr>
        <xdr:cNvPr id="115" name="CustomShape 1" hidden="1"/>
        <xdr:cNvSpPr/>
      </xdr:nvSpPr>
      <xdr:spPr>
        <a:xfrm>
          <a:off x="2872440" y="76320"/>
          <a:ext cx="828360" cy="304200"/>
        </a:xfrm>
        <a:prstGeom prst="rect">
          <a:avLst/>
        </a:prstGeom>
        <a:noFill/>
        <a:ln>
          <a:noFill/>
        </a:ln>
      </xdr:spPr>
      <xdr:style>
        <a:lnRef idx="0"/>
        <a:fillRef idx="0"/>
        <a:effectRef idx="0"/>
        <a:fontRef idx="minor"/>
      </xdr:style>
    </xdr:sp>
    <xdr:clientData/>
  </xdr:twoCellAnchor>
  <xdr:twoCellAnchor editAs="oneCell">
    <xdr:from>
      <xdr:col>4</xdr:col>
      <xdr:colOff>0</xdr:colOff>
      <xdr:row>0</xdr:row>
      <xdr:rowOff>50760</xdr:rowOff>
    </xdr:from>
    <xdr:to>
      <xdr:col>4</xdr:col>
      <xdr:colOff>552240</xdr:colOff>
      <xdr:row>1</xdr:row>
      <xdr:rowOff>18720</xdr:rowOff>
    </xdr:to>
    <xdr:pic>
      <xdr:nvPicPr>
        <xdr:cNvPr id="116" name="CommandButton1" descr=""/>
        <xdr:cNvPicPr/>
      </xdr:nvPicPr>
      <xdr:blipFill>
        <a:blip r:embed="rId2"/>
        <a:stretch/>
      </xdr:blipFill>
      <xdr:spPr>
        <a:xfrm>
          <a:off x="2872440" y="50760"/>
          <a:ext cx="552240" cy="329760"/>
        </a:xfrm>
        <a:prstGeom prst="rect">
          <a:avLst/>
        </a:prstGeom>
        <a:ln>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10</xdr:row>
      <xdr:rowOff>28440</xdr:rowOff>
    </xdr:from>
    <xdr:to>
      <xdr:col>10</xdr:col>
      <xdr:colOff>1068120</xdr:colOff>
      <xdr:row>30</xdr:row>
      <xdr:rowOff>132840</xdr:rowOff>
    </xdr:to>
    <xdr:graphicFrame>
      <xdr:nvGraphicFramePr>
        <xdr:cNvPr id="117" name="Chart 11"/>
        <xdr:cNvGraphicFramePr/>
      </xdr:nvGraphicFramePr>
      <xdr:xfrm>
        <a:off x="0" y="1987200"/>
        <a:ext cx="10585440" cy="34444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961920</xdr:colOff>
      <xdr:row>9</xdr:row>
      <xdr:rowOff>9360</xdr:rowOff>
    </xdr:from>
    <xdr:to>
      <xdr:col>11</xdr:col>
      <xdr:colOff>113760</xdr:colOff>
      <xdr:row>26</xdr:row>
      <xdr:rowOff>75600</xdr:rowOff>
    </xdr:to>
    <xdr:sp>
      <xdr:nvSpPr>
        <xdr:cNvPr id="118" name="CustomShape 1" hidden="1"/>
        <xdr:cNvSpPr/>
      </xdr:nvSpPr>
      <xdr:spPr>
        <a:xfrm>
          <a:off x="2998080" y="1801080"/>
          <a:ext cx="7701480" cy="29055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1. Total market size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registrations of new trucks in the segment between 6 and 15 tons GVW and above 15 tons GVW. Please contact the Central Marketing of DAF Trucks NV for the actual numbers of registrations and a forecast for the next 4 years. The graph will be made automatically.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Analysis truck market development</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developments in the truck market. This may concern all different kind of aspects like legislation, influence of economic aspects, supplier developments, developments in customer demands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Main opportunities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truck market offers for the dealership.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threats which the dealership faces regarding the truck market situation.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5</xdr:col>
      <xdr:colOff>0</xdr:colOff>
      <xdr:row>0</xdr:row>
      <xdr:rowOff>47520</xdr:rowOff>
    </xdr:from>
    <xdr:to>
      <xdr:col>5</xdr:col>
      <xdr:colOff>828360</xdr:colOff>
      <xdr:row>0</xdr:row>
      <xdr:rowOff>361440</xdr:rowOff>
    </xdr:to>
    <xdr:sp>
      <xdr:nvSpPr>
        <xdr:cNvPr id="119" name="CustomShape 1" hidden="1"/>
        <xdr:cNvSpPr/>
      </xdr:nvSpPr>
      <xdr:spPr>
        <a:xfrm>
          <a:off x="4173840" y="47520"/>
          <a:ext cx="828360" cy="313920"/>
        </a:xfrm>
        <a:prstGeom prst="rect">
          <a:avLst/>
        </a:prstGeom>
        <a:noFill/>
        <a:ln>
          <a:noFill/>
        </a:ln>
      </xdr:spPr>
      <xdr:style>
        <a:lnRef idx="0"/>
        <a:fillRef idx="0"/>
        <a:effectRef idx="0"/>
        <a:fontRef idx="minor"/>
      </xdr:style>
    </xdr:sp>
    <xdr:clientData/>
  </xdr:twoCellAnchor>
  <xdr:twoCellAnchor editAs="oneCell">
    <xdr:from>
      <xdr:col>5</xdr:col>
      <xdr:colOff>0</xdr:colOff>
      <xdr:row>0</xdr:row>
      <xdr:rowOff>31680</xdr:rowOff>
    </xdr:from>
    <xdr:to>
      <xdr:col>5</xdr:col>
      <xdr:colOff>552240</xdr:colOff>
      <xdr:row>0</xdr:row>
      <xdr:rowOff>361440</xdr:rowOff>
    </xdr:to>
    <xdr:pic>
      <xdr:nvPicPr>
        <xdr:cNvPr id="120" name="CommandButton1" descr=""/>
        <xdr:cNvPicPr/>
      </xdr:nvPicPr>
      <xdr:blipFill>
        <a:blip r:embed="rId2"/>
        <a:stretch/>
      </xdr:blipFill>
      <xdr:spPr>
        <a:xfrm>
          <a:off x="4173840" y="31680"/>
          <a:ext cx="552240" cy="329760"/>
        </a:xfrm>
        <a:prstGeom prst="rect">
          <a:avLst/>
        </a:prstGeom>
        <a:ln>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10</xdr:row>
      <xdr:rowOff>47520</xdr:rowOff>
    </xdr:from>
    <xdr:to>
      <xdr:col>10</xdr:col>
      <xdr:colOff>904680</xdr:colOff>
      <xdr:row>25</xdr:row>
      <xdr:rowOff>66240</xdr:rowOff>
    </xdr:to>
    <xdr:graphicFrame>
      <xdr:nvGraphicFramePr>
        <xdr:cNvPr id="121" name="Chart 1"/>
        <xdr:cNvGraphicFramePr/>
      </xdr:nvGraphicFramePr>
      <xdr:xfrm>
        <a:off x="0" y="2209680"/>
        <a:ext cx="11388240" cy="3018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27</xdr:row>
      <xdr:rowOff>0</xdr:rowOff>
    </xdr:from>
    <xdr:to>
      <xdr:col>10</xdr:col>
      <xdr:colOff>957240</xdr:colOff>
      <xdr:row>38</xdr:row>
      <xdr:rowOff>199800</xdr:rowOff>
    </xdr:to>
    <xdr:sp>
      <xdr:nvSpPr>
        <xdr:cNvPr id="122" name="CustomShape 1"/>
        <xdr:cNvSpPr/>
      </xdr:nvSpPr>
      <xdr:spPr>
        <a:xfrm>
          <a:off x="0" y="5562360"/>
          <a:ext cx="11440800" cy="24001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41</xdr:row>
      <xdr:rowOff>0</xdr:rowOff>
    </xdr:from>
    <xdr:to>
      <xdr:col>10</xdr:col>
      <xdr:colOff>957240</xdr:colOff>
      <xdr:row>46</xdr:row>
      <xdr:rowOff>151920</xdr:rowOff>
    </xdr:to>
    <xdr:sp>
      <xdr:nvSpPr>
        <xdr:cNvPr id="123" name="CustomShape 1"/>
        <xdr:cNvSpPr/>
      </xdr:nvSpPr>
      <xdr:spPr>
        <a:xfrm>
          <a:off x="19080" y="8362800"/>
          <a:ext cx="11421720" cy="11520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49</xdr:row>
      <xdr:rowOff>9360</xdr:rowOff>
    </xdr:from>
    <xdr:to>
      <xdr:col>10</xdr:col>
      <xdr:colOff>957240</xdr:colOff>
      <xdr:row>54</xdr:row>
      <xdr:rowOff>151920</xdr:rowOff>
    </xdr:to>
    <xdr:sp>
      <xdr:nvSpPr>
        <xdr:cNvPr id="124" name="CustomShape 1"/>
        <xdr:cNvSpPr/>
      </xdr:nvSpPr>
      <xdr:spPr>
        <a:xfrm>
          <a:off x="9360" y="9972360"/>
          <a:ext cx="11431440" cy="11426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247680</xdr:colOff>
      <xdr:row>10</xdr:row>
      <xdr:rowOff>95400</xdr:rowOff>
    </xdr:from>
    <xdr:to>
      <xdr:col>10</xdr:col>
      <xdr:colOff>904680</xdr:colOff>
      <xdr:row>24</xdr:row>
      <xdr:rowOff>95040</xdr:rowOff>
    </xdr:to>
    <xdr:sp>
      <xdr:nvSpPr>
        <xdr:cNvPr id="125" name="CustomShape 1" hidden="1"/>
        <xdr:cNvSpPr/>
      </xdr:nvSpPr>
      <xdr:spPr>
        <a:xfrm>
          <a:off x="3392640" y="2257560"/>
          <a:ext cx="7995600" cy="27997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800" spc="-1" strike="noStrike">
              <a:solidFill>
                <a:srgbClr val="000000"/>
              </a:solidFill>
              <a:latin typeface="Trebuchet MS"/>
            </a:rPr>
            <a:t>1. Total used truck market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used trucks sales in the segment between 6 and 15 tons GVW and above 15 tons GVW. If a split up is not possible then indicate the total number of used truck sales per year. Forecast should be filled in if figures are available or a reliable estimation can be given.</a:t>
          </a:r>
          <a:endParaRPr b="0" lang="en-US" sz="800" spc="-1" strike="noStrike">
            <a:latin typeface="Times New Roman"/>
          </a:endParaRPr>
        </a:p>
        <a:p>
          <a:pPr>
            <a:lnSpc>
              <a:spcPct val="100000"/>
            </a:lnSpc>
          </a:pPr>
          <a:r>
            <a:rPr b="0" lang="en-US" sz="800" spc="-1" strike="noStrike">
              <a:solidFill>
                <a:srgbClr val="000000"/>
              </a:solidFill>
              <a:latin typeface="Trebuchet MS"/>
            </a:rPr>
            <a:t>The graph will be made automatically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2. Market competitors and characteristics</a:t>
          </a:r>
          <a:endParaRPr b="0" lang="en-US" sz="800" spc="-1" strike="noStrike">
            <a:latin typeface="Times New Roman"/>
          </a:endParaRPr>
        </a:p>
        <a:p>
          <a:pPr>
            <a:lnSpc>
              <a:spcPct val="100000"/>
            </a:lnSpc>
          </a:pPr>
          <a:r>
            <a:rPr b="0" lang="en-US" sz="800" spc="-1" strike="noStrike">
              <a:solidFill>
                <a:srgbClr val="000000"/>
              </a:solidFill>
              <a:latin typeface="Trebuchet MS"/>
            </a:rPr>
            <a:t>List the main competitors regarding used truck sales. Describe also the strategy of these competitors.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3. Main opportunities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used truck market offers for the dealership.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4. 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threats which the dealership faces regarding the used truck market.</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3</xdr:col>
      <xdr:colOff>514440</xdr:colOff>
      <xdr:row>0</xdr:row>
      <xdr:rowOff>76320</xdr:rowOff>
    </xdr:from>
    <xdr:to>
      <xdr:col>4</xdr:col>
      <xdr:colOff>323640</xdr:colOff>
      <xdr:row>1</xdr:row>
      <xdr:rowOff>18720</xdr:rowOff>
    </xdr:to>
    <xdr:sp>
      <xdr:nvSpPr>
        <xdr:cNvPr id="126" name="CustomShape 1" hidden="1"/>
        <xdr:cNvSpPr/>
      </xdr:nvSpPr>
      <xdr:spPr>
        <a:xfrm>
          <a:off x="3659400" y="76320"/>
          <a:ext cx="857520" cy="304200"/>
        </a:xfrm>
        <a:prstGeom prst="rect">
          <a:avLst/>
        </a:prstGeom>
        <a:noFill/>
        <a:ln>
          <a:noFill/>
        </a:ln>
      </xdr:spPr>
      <xdr:style>
        <a:lnRef idx="0"/>
        <a:fillRef idx="0"/>
        <a:effectRef idx="0"/>
        <a:fontRef idx="minor"/>
      </xdr:style>
    </xdr:sp>
    <xdr:clientData/>
  </xdr:twoCellAnchor>
  <xdr:twoCellAnchor editAs="oneCell">
    <xdr:from>
      <xdr:col>3</xdr:col>
      <xdr:colOff>343080</xdr:colOff>
      <xdr:row>0</xdr:row>
      <xdr:rowOff>50760</xdr:rowOff>
    </xdr:from>
    <xdr:to>
      <xdr:col>4</xdr:col>
      <xdr:colOff>234720</xdr:colOff>
      <xdr:row>1</xdr:row>
      <xdr:rowOff>18720</xdr:rowOff>
    </xdr:to>
    <xdr:pic>
      <xdr:nvPicPr>
        <xdr:cNvPr id="127" name="CommandButton1" descr=""/>
        <xdr:cNvPicPr/>
      </xdr:nvPicPr>
      <xdr:blipFill>
        <a:blip r:embed="rId2"/>
        <a:stretch/>
      </xdr:blipFill>
      <xdr:spPr>
        <a:xfrm>
          <a:off x="3488040" y="50760"/>
          <a:ext cx="939960" cy="329760"/>
        </a:xfrm>
        <a:prstGeom prst="rect">
          <a:avLst/>
        </a:prstGeom>
        <a:ln>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22</xdr:row>
      <xdr:rowOff>104760</xdr:rowOff>
    </xdr:from>
    <xdr:to>
      <xdr:col>12</xdr:col>
      <xdr:colOff>937080</xdr:colOff>
      <xdr:row>42</xdr:row>
      <xdr:rowOff>28080</xdr:rowOff>
    </xdr:to>
    <xdr:graphicFrame>
      <xdr:nvGraphicFramePr>
        <xdr:cNvPr id="128" name="Chart 1"/>
        <xdr:cNvGraphicFramePr/>
      </xdr:nvGraphicFramePr>
      <xdr:xfrm>
        <a:off x="0" y="4311000"/>
        <a:ext cx="11891880" cy="31615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19080</xdr:colOff>
      <xdr:row>3</xdr:row>
      <xdr:rowOff>76320</xdr:rowOff>
    </xdr:from>
    <xdr:to>
      <xdr:col>12</xdr:col>
      <xdr:colOff>542520</xdr:colOff>
      <xdr:row>24</xdr:row>
      <xdr:rowOff>152280</xdr:rowOff>
    </xdr:to>
    <xdr:sp>
      <xdr:nvSpPr>
        <xdr:cNvPr id="129" name="CustomShape 1" hidden="1"/>
        <xdr:cNvSpPr/>
      </xdr:nvSpPr>
      <xdr:spPr>
        <a:xfrm>
          <a:off x="4413240" y="772200"/>
          <a:ext cx="7084080" cy="39099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5.3 Running Parc – Dealer Area</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Total running DAF parc in dealer area in year before basic year.</a:t>
          </a:r>
          <a:endParaRPr b="0" lang="en-US" sz="800" spc="-1" strike="noStrike">
            <a:latin typeface="Times New Roman"/>
          </a:endParaRPr>
        </a:p>
        <a:p>
          <a:pPr>
            <a:lnSpc>
              <a:spcPct val="100000"/>
            </a:lnSpc>
          </a:pPr>
          <a:r>
            <a:rPr b="1" lang="en-US" sz="800" spc="-1" strike="noStrike">
              <a:solidFill>
                <a:srgbClr val="000000"/>
              </a:solidFill>
              <a:latin typeface="Trebuchet MS"/>
            </a:rPr>
            <a:t>The year before basic year is automatically filled in.</a:t>
          </a:r>
          <a:endParaRPr b="0" lang="en-US" sz="800" spc="-1" strike="noStrike">
            <a:latin typeface="Times New Roman"/>
          </a:endParaRPr>
        </a:p>
        <a:p>
          <a:pPr>
            <a:lnSpc>
              <a:spcPct val="100000"/>
            </a:lnSpc>
          </a:pPr>
          <a:r>
            <a:rPr b="1" lang="en-US" sz="800" spc="-1" strike="noStrike">
              <a:solidFill>
                <a:srgbClr val="000000"/>
              </a:solidFill>
              <a:latin typeface="Trebuchet MS"/>
            </a:rPr>
            <a:t>The DAF parc is needed to calculate the potential DAF parts consumption and potential DAF workshop hour’s consumption later on in the financial part of the business plan. Based on the number per series and the age of the vehicles in the basic year the potential consumption can be calculated.</a:t>
          </a:r>
          <a:endParaRPr b="0" lang="en-US" sz="800" spc="-1" strike="noStrike">
            <a:latin typeface="Times New Roman"/>
          </a:endParaRPr>
        </a:p>
        <a:p>
          <a:pPr>
            <a:lnSpc>
              <a:spcPct val="100000"/>
            </a:lnSpc>
          </a:pPr>
          <a:r>
            <a:rPr b="1" lang="en-US" sz="800" spc="-1" strike="noStrike">
              <a:solidFill>
                <a:srgbClr val="000000"/>
              </a:solidFill>
              <a:latin typeface="Trebuchet MS"/>
            </a:rPr>
            <a:t>If the exact split over series and/or the age of the vehicles is not known, estimate as accurate as possible. Dealer Development Eindhoven can assist in obtaining this information.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Parc development dealer area</a:t>
          </a:r>
          <a:endParaRPr b="0" lang="en-US" sz="800" spc="-1" strike="noStrike">
            <a:latin typeface="Times New Roman"/>
          </a:endParaRPr>
        </a:p>
        <a:p>
          <a:pPr>
            <a:lnSpc>
              <a:spcPct val="100000"/>
            </a:lnSpc>
          </a:pPr>
          <a:r>
            <a:rPr b="1" lang="en-US" sz="800" spc="-1" strike="noStrike">
              <a:solidFill>
                <a:srgbClr val="000000"/>
              </a:solidFill>
              <a:latin typeface="Trebuchet MS"/>
            </a:rPr>
            <a:t>The running parc for DAF vehicles will be filled in if this information is available; otherwise a best estimation helps to indicate the running park in the dealer area.</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Analysis running park development DAF and other makes</a:t>
          </a:r>
          <a:endParaRPr b="0" lang="en-US" sz="800" spc="-1" strike="noStrike">
            <a:latin typeface="Times New Roman"/>
          </a:endParaRPr>
        </a:p>
        <a:p>
          <a:pPr>
            <a:lnSpc>
              <a:spcPct val="100000"/>
            </a:lnSpc>
          </a:pPr>
          <a:r>
            <a:rPr b="1" lang="en-US" sz="800" spc="-1" strike="noStrike">
              <a:solidFill>
                <a:srgbClr val="000000"/>
              </a:solidFill>
              <a:latin typeface="Trebuchet MS"/>
            </a:rPr>
            <a:t>Analysis should be made based on the present position of DAF compared the other makes and the influence of the sales over the last few years and the forecast for the next few years.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Main opportunities </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main opportunities the running parc offers for the dealer.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Main threats</a:t>
          </a:r>
          <a:endParaRPr b="0" lang="en-US" sz="800" spc="-1" strike="noStrike">
            <a:latin typeface="Times New Roman"/>
          </a:endParaRPr>
        </a:p>
        <a:p>
          <a:pPr>
            <a:lnSpc>
              <a:spcPct val="100000"/>
            </a:lnSpc>
          </a:pPr>
          <a:r>
            <a:rPr b="1" lang="en-US" sz="800" spc="-1" strike="noStrike">
              <a:solidFill>
                <a:srgbClr val="000000"/>
              </a:solidFill>
              <a:latin typeface="Trebuchet MS"/>
            </a:rPr>
            <a:t>Indicate the main threats which the dealer faces regarding the running park.</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4</xdr:col>
      <xdr:colOff>657360</xdr:colOff>
      <xdr:row>0</xdr:row>
      <xdr:rowOff>104760</xdr:rowOff>
    </xdr:from>
    <xdr:to>
      <xdr:col>5</xdr:col>
      <xdr:colOff>152280</xdr:colOff>
      <xdr:row>1</xdr:row>
      <xdr:rowOff>9000</xdr:rowOff>
    </xdr:to>
    <xdr:sp>
      <xdr:nvSpPr>
        <xdr:cNvPr id="130" name="CustomShape 1" hidden="1"/>
        <xdr:cNvSpPr/>
      </xdr:nvSpPr>
      <xdr:spPr>
        <a:xfrm>
          <a:off x="4114080" y="104760"/>
          <a:ext cx="432360" cy="266040"/>
        </a:xfrm>
        <a:prstGeom prst="rect">
          <a:avLst/>
        </a:prstGeom>
        <a:noFill/>
        <a:ln>
          <a:noFill/>
        </a:ln>
      </xdr:spPr>
      <xdr:style>
        <a:lnRef idx="0"/>
        <a:fillRef idx="0"/>
        <a:effectRef idx="0"/>
        <a:fontRef idx="minor"/>
      </xdr:style>
    </xdr:sp>
    <xdr:clientData/>
  </xdr:twoCellAnchor>
  <xdr:twoCellAnchor editAs="oneCell">
    <xdr:from>
      <xdr:col>4</xdr:col>
      <xdr:colOff>438120</xdr:colOff>
      <xdr:row>0</xdr:row>
      <xdr:rowOff>69840</xdr:rowOff>
    </xdr:from>
    <xdr:to>
      <xdr:col>5</xdr:col>
      <xdr:colOff>120240</xdr:colOff>
      <xdr:row>1</xdr:row>
      <xdr:rowOff>6120</xdr:rowOff>
    </xdr:to>
    <xdr:pic>
      <xdr:nvPicPr>
        <xdr:cNvPr id="131" name="CommandButton1" descr=""/>
        <xdr:cNvPicPr/>
      </xdr:nvPicPr>
      <xdr:blipFill>
        <a:blip r:embed="rId2"/>
        <a:stretch/>
      </xdr:blipFill>
      <xdr:spPr>
        <a:xfrm>
          <a:off x="3894840" y="69840"/>
          <a:ext cx="619560" cy="298080"/>
        </a:xfrm>
        <a:prstGeom prst="rect">
          <a:avLst/>
        </a:prstGeom>
        <a:ln>
          <a:noFill/>
        </a:ln>
      </xdr:spPr>
    </xdr:pic>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42</xdr:row>
      <xdr:rowOff>57240</xdr:rowOff>
    </xdr:from>
    <xdr:to>
      <xdr:col>10</xdr:col>
      <xdr:colOff>1037520</xdr:colOff>
      <xdr:row>53</xdr:row>
      <xdr:rowOff>75960</xdr:rowOff>
    </xdr:to>
    <xdr:graphicFrame>
      <xdr:nvGraphicFramePr>
        <xdr:cNvPr id="132" name="Chart 2"/>
        <xdr:cNvGraphicFramePr/>
      </xdr:nvGraphicFramePr>
      <xdr:xfrm>
        <a:off x="0" y="8267760"/>
        <a:ext cx="11413080" cy="21139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78</xdr:row>
      <xdr:rowOff>28440</xdr:rowOff>
    </xdr:from>
    <xdr:to>
      <xdr:col>10</xdr:col>
      <xdr:colOff>961560</xdr:colOff>
      <xdr:row>80</xdr:row>
      <xdr:rowOff>28080</xdr:rowOff>
    </xdr:to>
    <xdr:sp>
      <xdr:nvSpPr>
        <xdr:cNvPr id="133" name="CustomShape 1"/>
        <xdr:cNvSpPr/>
      </xdr:nvSpPr>
      <xdr:spPr>
        <a:xfrm>
          <a:off x="0" y="15096960"/>
          <a:ext cx="11337120" cy="4186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81</xdr:row>
      <xdr:rowOff>181080</xdr:rowOff>
    </xdr:from>
    <xdr:to>
      <xdr:col>10</xdr:col>
      <xdr:colOff>970920</xdr:colOff>
      <xdr:row>83</xdr:row>
      <xdr:rowOff>218880</xdr:rowOff>
    </xdr:to>
    <xdr:sp>
      <xdr:nvSpPr>
        <xdr:cNvPr id="134" name="CustomShape 1"/>
        <xdr:cNvSpPr/>
      </xdr:nvSpPr>
      <xdr:spPr>
        <a:xfrm>
          <a:off x="9360" y="15859080"/>
          <a:ext cx="11337120" cy="4186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0</xdr:colOff>
      <xdr:row>6</xdr:row>
      <xdr:rowOff>9360</xdr:rowOff>
    </xdr:from>
    <xdr:to>
      <xdr:col>10</xdr:col>
      <xdr:colOff>961560</xdr:colOff>
      <xdr:row>29</xdr:row>
      <xdr:rowOff>28080</xdr:rowOff>
    </xdr:to>
    <xdr:sp>
      <xdr:nvSpPr>
        <xdr:cNvPr id="135" name="CustomShape 1"/>
        <xdr:cNvSpPr/>
      </xdr:nvSpPr>
      <xdr:spPr>
        <a:xfrm>
          <a:off x="0" y="1323720"/>
          <a:ext cx="11337120" cy="44002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Appendix</a:t>
          </a:r>
          <a:endParaRPr b="0" lang="en-US" sz="1200" spc="-1" strike="noStrike">
            <a:latin typeface="Times New Roman"/>
          </a:endParaRPr>
        </a:p>
      </xdr:txBody>
    </xdr:sp>
    <xdr:clientData/>
  </xdr:twoCellAnchor>
  <xdr:twoCellAnchor editAs="oneCell">
    <xdr:from>
      <xdr:col>3</xdr:col>
      <xdr:colOff>190440</xdr:colOff>
      <xdr:row>10</xdr:row>
      <xdr:rowOff>181080</xdr:rowOff>
    </xdr:from>
    <xdr:to>
      <xdr:col>9</xdr:col>
      <xdr:colOff>771120</xdr:colOff>
      <xdr:row>27</xdr:row>
      <xdr:rowOff>161640</xdr:rowOff>
    </xdr:to>
    <xdr:sp>
      <xdr:nvSpPr>
        <xdr:cNvPr id="136" name="CustomShape 1" hidden="1"/>
        <xdr:cNvSpPr/>
      </xdr:nvSpPr>
      <xdr:spPr>
        <a:xfrm>
          <a:off x="3303000" y="2257200"/>
          <a:ext cx="6806160" cy="32191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5.4.1 Competition in the Area</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Map of dealer locations of competition and spokes in the area</a:t>
          </a:r>
          <a:endParaRPr b="0" lang="en-US" sz="800" spc="-1" strike="noStrike">
            <a:latin typeface="Times New Roman"/>
          </a:endParaRPr>
        </a:p>
        <a:p>
          <a:pPr>
            <a:lnSpc>
              <a:spcPct val="100000"/>
            </a:lnSpc>
          </a:pPr>
          <a:r>
            <a:rPr b="0" lang="en-US" sz="800" spc="-1" strike="noStrike">
              <a:solidFill>
                <a:srgbClr val="000000"/>
              </a:solidFill>
              <a:latin typeface="Trebuchet MS"/>
            </a:rPr>
            <a:t>Show the map of the dealer area and point where the competitive dealers are located. Also mark the locations of spokes in case present.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Market shares in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market shares of the different makes in the dealer area, split by segment and year. The graph is generated automatically. Please be aware that the total of the columns have to be 100%, otherwise the message "not equal 100%" will appear.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Value propositions (advantages for customers)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most important indicators of the (potential) customers.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Competitive edge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advantages your dealership is facing because of strengths, presence and position of the competition.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0</xdr:col>
      <xdr:colOff>0</xdr:colOff>
      <xdr:row>53</xdr:row>
      <xdr:rowOff>142920</xdr:rowOff>
    </xdr:from>
    <xdr:to>
      <xdr:col>11</xdr:col>
      <xdr:colOff>9000</xdr:colOff>
      <xdr:row>64</xdr:row>
      <xdr:rowOff>171000</xdr:rowOff>
    </xdr:to>
    <xdr:graphicFrame>
      <xdr:nvGraphicFramePr>
        <xdr:cNvPr id="137" name="Grafiek 18"/>
        <xdr:cNvGraphicFramePr/>
      </xdr:nvGraphicFramePr>
      <xdr:xfrm>
        <a:off x="0" y="10448640"/>
        <a:ext cx="11422440" cy="21236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65</xdr:row>
      <xdr:rowOff>47520</xdr:rowOff>
    </xdr:from>
    <xdr:to>
      <xdr:col>11</xdr:col>
      <xdr:colOff>18720</xdr:colOff>
      <xdr:row>76</xdr:row>
      <xdr:rowOff>85320</xdr:rowOff>
    </xdr:to>
    <xdr:graphicFrame>
      <xdr:nvGraphicFramePr>
        <xdr:cNvPr id="138" name="Grafiek 19"/>
        <xdr:cNvGraphicFramePr/>
      </xdr:nvGraphicFramePr>
      <xdr:xfrm>
        <a:off x="0" y="12639240"/>
        <a:ext cx="11432160" cy="213336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200160</xdr:colOff>
      <xdr:row>0</xdr:row>
      <xdr:rowOff>95400</xdr:rowOff>
    </xdr:from>
    <xdr:to>
      <xdr:col>4</xdr:col>
      <xdr:colOff>609480</xdr:colOff>
      <xdr:row>1</xdr:row>
      <xdr:rowOff>4680</xdr:rowOff>
    </xdr:to>
    <xdr:sp>
      <xdr:nvSpPr>
        <xdr:cNvPr id="139" name="CustomShape 1" hidden="1"/>
        <xdr:cNvSpPr/>
      </xdr:nvSpPr>
      <xdr:spPr>
        <a:xfrm>
          <a:off x="4350240" y="95400"/>
          <a:ext cx="409320" cy="271080"/>
        </a:xfrm>
        <a:prstGeom prst="rect">
          <a:avLst/>
        </a:prstGeom>
        <a:noFill/>
        <a:ln>
          <a:noFill/>
        </a:ln>
      </xdr:spPr>
      <xdr:style>
        <a:lnRef idx="0"/>
        <a:fillRef idx="0"/>
        <a:effectRef idx="0"/>
        <a:fontRef idx="minor"/>
      </xdr:style>
    </xdr:sp>
    <xdr:clientData/>
  </xdr:twoCellAnchor>
  <xdr:twoCellAnchor editAs="oneCell">
    <xdr:from>
      <xdr:col>4</xdr:col>
      <xdr:colOff>133200</xdr:colOff>
      <xdr:row>0</xdr:row>
      <xdr:rowOff>63360</xdr:rowOff>
    </xdr:from>
    <xdr:to>
      <xdr:col>4</xdr:col>
      <xdr:colOff>405720</xdr:colOff>
      <xdr:row>0</xdr:row>
      <xdr:rowOff>361440</xdr:rowOff>
    </xdr:to>
    <xdr:pic>
      <xdr:nvPicPr>
        <xdr:cNvPr id="140" name="CommandButton1" descr=""/>
        <xdr:cNvPicPr/>
      </xdr:nvPicPr>
      <xdr:blipFill>
        <a:blip r:embed="rId4"/>
        <a:stretch/>
      </xdr:blipFill>
      <xdr:spPr>
        <a:xfrm>
          <a:off x="4283280" y="63360"/>
          <a:ext cx="272520" cy="298080"/>
        </a:xfrm>
        <a:prstGeom prst="rect">
          <a:avLst/>
        </a:prstGeom>
        <a:ln>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447840</xdr:colOff>
      <xdr:row>9</xdr:row>
      <xdr:rowOff>9360</xdr:rowOff>
    </xdr:from>
    <xdr:to>
      <xdr:col>10</xdr:col>
      <xdr:colOff>580680</xdr:colOff>
      <xdr:row>30</xdr:row>
      <xdr:rowOff>9000</xdr:rowOff>
    </xdr:to>
    <xdr:sp>
      <xdr:nvSpPr>
        <xdr:cNvPr id="141" name="CustomShape 1" hidden="1"/>
        <xdr:cNvSpPr/>
      </xdr:nvSpPr>
      <xdr:spPr>
        <a:xfrm>
          <a:off x="3320280" y="1547640"/>
          <a:ext cx="6836040" cy="37144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800" spc="-1" strike="noStrike">
              <a:solidFill>
                <a:srgbClr val="000000"/>
              </a:solidFill>
              <a:latin typeface="Trebuchet MS"/>
            </a:rPr>
            <a:t>5.4.2 </a:t>
          </a:r>
          <a:r>
            <a:rPr b="1" lang="en-US" sz="800" spc="-1" strike="noStrike">
              <a:solidFill>
                <a:srgbClr val="000000"/>
              </a:solidFill>
              <a:latin typeface="Trebuchet MS"/>
            </a:rPr>
            <a:t>Competitive Analysis Table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1.</a:t>
          </a:r>
          <a:r>
            <a:rPr b="1" lang="en-US" sz="800" spc="-1" strike="noStrike">
              <a:solidFill>
                <a:srgbClr val="000000"/>
              </a:solidFill>
              <a:latin typeface="Trebuchet MS"/>
            </a:rPr>
            <a:t> Strengths and weaknesses of the competition in the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Indicators are listed in a table for all competitors in your dealer area. (There is also a column for another make than the makes already printed. The name of the column "Other" can be overwritten).</a:t>
          </a:r>
          <a:endParaRPr b="0" lang="en-US" sz="800" spc="-1" strike="noStrike">
            <a:latin typeface="Times New Roman"/>
          </a:endParaRPr>
        </a:p>
        <a:p>
          <a:pPr>
            <a:lnSpc>
              <a:spcPct val="100000"/>
            </a:lnSpc>
          </a:pPr>
          <a:r>
            <a:rPr b="0" lang="en-US" sz="800" spc="-1" strike="noStrike">
              <a:solidFill>
                <a:srgbClr val="000000"/>
              </a:solidFill>
              <a:latin typeface="Trebuchet MS"/>
            </a:rPr>
            <a:t>Please make for each indicator a top three of all competitors. Automatically the sum will be calculated for each competitor. The competitor with the highest score could be your main competitor. This table gives you an overview of the strength of all your competitors.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Example: </a:t>
          </a:r>
          <a:endParaRPr b="0" lang="en-US" sz="800" spc="-1" strike="noStrike">
            <a:latin typeface="Times New Roman"/>
          </a:endParaRPr>
        </a:p>
        <a:p>
          <a:pPr>
            <a:lnSpc>
              <a:spcPct val="100000"/>
            </a:lnSpc>
          </a:pPr>
          <a:r>
            <a:rPr b="0" lang="en-US" sz="800" spc="-1" strike="noStrike">
              <a:solidFill>
                <a:srgbClr val="000000"/>
              </a:solidFill>
              <a:latin typeface="Trebuchet MS"/>
            </a:rPr>
            <a:t>With reference to indicator "Dealer Network": if DAF has in your opinion the best dealer net work, please select "3" for DAF. Select "2" for the make with the second best dealer net work and "1" for the make with the third best dealer net work. Repeat this for all preselected indicators.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2. </a:t>
          </a:r>
          <a:r>
            <a:rPr b="1" lang="en-US" sz="800" spc="-1" strike="noStrike">
              <a:solidFill>
                <a:srgbClr val="000000"/>
              </a:solidFill>
              <a:latin typeface="Trebuchet MS"/>
            </a:rPr>
            <a:t>Main opportunities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competition offers for the dealer.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3. </a:t>
          </a:r>
          <a:r>
            <a:rPr b="1" lang="en-US" sz="800" spc="-1" strike="noStrike">
              <a:solidFill>
                <a:srgbClr val="000000"/>
              </a:solidFill>
              <a:latin typeface="Trebuchet MS"/>
            </a:rPr>
            <a:t>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threats which the dealer faces regarding the competition.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4</xdr:col>
      <xdr:colOff>333360</xdr:colOff>
      <xdr:row>0</xdr:row>
      <xdr:rowOff>104760</xdr:rowOff>
    </xdr:from>
    <xdr:to>
      <xdr:col>4</xdr:col>
      <xdr:colOff>742680</xdr:colOff>
      <xdr:row>1</xdr:row>
      <xdr:rowOff>9000</xdr:rowOff>
    </xdr:to>
    <xdr:sp>
      <xdr:nvSpPr>
        <xdr:cNvPr id="142" name="CustomShape 1" hidden="1"/>
        <xdr:cNvSpPr/>
      </xdr:nvSpPr>
      <xdr:spPr>
        <a:xfrm>
          <a:off x="4163400" y="104760"/>
          <a:ext cx="409320" cy="266040"/>
        </a:xfrm>
        <a:prstGeom prst="rect">
          <a:avLst/>
        </a:prstGeom>
        <a:noFill/>
        <a:ln>
          <a:noFill/>
        </a:ln>
      </xdr:spPr>
      <xdr:style>
        <a:lnRef idx="0"/>
        <a:fillRef idx="0"/>
        <a:effectRef idx="0"/>
        <a:fontRef idx="minor"/>
      </xdr:style>
    </xdr:sp>
    <xdr:clientData/>
  </xdr:twoCellAnchor>
  <xdr:twoCellAnchor editAs="oneCell">
    <xdr:from>
      <xdr:col>4</xdr:col>
      <xdr:colOff>222120</xdr:colOff>
      <xdr:row>0</xdr:row>
      <xdr:rowOff>69840</xdr:rowOff>
    </xdr:from>
    <xdr:to>
      <xdr:col>4</xdr:col>
      <xdr:colOff>494640</xdr:colOff>
      <xdr:row>1</xdr:row>
      <xdr:rowOff>6120</xdr:rowOff>
    </xdr:to>
    <xdr:pic>
      <xdr:nvPicPr>
        <xdr:cNvPr id="143" name="CommandButton1" descr=""/>
        <xdr:cNvPicPr/>
      </xdr:nvPicPr>
      <xdr:blipFill>
        <a:blip r:embed="rId1"/>
        <a:stretch/>
      </xdr:blipFill>
      <xdr:spPr>
        <a:xfrm>
          <a:off x="4052160" y="69840"/>
          <a:ext cx="272520" cy="298080"/>
        </a:xfrm>
        <a:prstGeom prst="rect">
          <a:avLst/>
        </a:prstGeom>
        <a:ln>
          <a:noFill/>
        </a:ln>
      </xdr:spPr>
    </xdr:pic>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47520</xdr:colOff>
      <xdr:row>20</xdr:row>
      <xdr:rowOff>28440</xdr:rowOff>
    </xdr:from>
    <xdr:to>
      <xdr:col>10</xdr:col>
      <xdr:colOff>94680</xdr:colOff>
      <xdr:row>27</xdr:row>
      <xdr:rowOff>190080</xdr:rowOff>
    </xdr:to>
    <xdr:sp>
      <xdr:nvSpPr>
        <xdr:cNvPr id="144" name="CustomShape 1" hidden="1"/>
        <xdr:cNvSpPr/>
      </xdr:nvSpPr>
      <xdr:spPr>
        <a:xfrm>
          <a:off x="3070440" y="3819240"/>
          <a:ext cx="7101360" cy="130464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800" spc="-1" strike="noStrike">
              <a:solidFill>
                <a:srgbClr val="000000"/>
              </a:solidFill>
              <a:latin typeface="Trebuchet MS"/>
            </a:rPr>
            <a:t>5.4.3 Competitive Analysis SWOT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Strengths and weaknesses of the competition in the dealer area.</a:t>
          </a:r>
          <a:endParaRPr b="0" lang="en-US" sz="800" spc="-1" strike="noStrike">
            <a:latin typeface="Times New Roman"/>
          </a:endParaRPr>
        </a:p>
        <a:p>
          <a:pPr>
            <a:lnSpc>
              <a:spcPct val="100000"/>
            </a:lnSpc>
          </a:pPr>
          <a:r>
            <a:rPr b="0" lang="en-US" sz="800" spc="-1" strike="noStrike">
              <a:solidFill>
                <a:srgbClr val="000000"/>
              </a:solidFill>
              <a:latin typeface="Trebuchet MS"/>
            </a:rPr>
            <a:t>For all competitors the three main strengths of the representation in the dealer area should be mentioned as well as the three main weaknesses. There is also space for another make than the makes already printed. </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4</xdr:col>
      <xdr:colOff>476280</xdr:colOff>
      <xdr:row>0</xdr:row>
      <xdr:rowOff>104760</xdr:rowOff>
    </xdr:from>
    <xdr:to>
      <xdr:col>4</xdr:col>
      <xdr:colOff>885600</xdr:colOff>
      <xdr:row>1</xdr:row>
      <xdr:rowOff>9000</xdr:rowOff>
    </xdr:to>
    <xdr:sp>
      <xdr:nvSpPr>
        <xdr:cNvPr id="145" name="CustomShape 1" hidden="1"/>
        <xdr:cNvSpPr/>
      </xdr:nvSpPr>
      <xdr:spPr>
        <a:xfrm>
          <a:off x="4507200" y="104760"/>
          <a:ext cx="409320" cy="266040"/>
        </a:xfrm>
        <a:prstGeom prst="rect">
          <a:avLst/>
        </a:prstGeom>
        <a:noFill/>
        <a:ln>
          <a:noFill/>
        </a:ln>
      </xdr:spPr>
      <xdr:style>
        <a:lnRef idx="0"/>
        <a:fillRef idx="0"/>
        <a:effectRef idx="0"/>
        <a:fontRef idx="minor"/>
      </xdr:style>
    </xdr:sp>
    <xdr:clientData/>
  </xdr:twoCellAnchor>
  <xdr:twoCellAnchor editAs="oneCell">
    <xdr:from>
      <xdr:col>4</xdr:col>
      <xdr:colOff>317520</xdr:colOff>
      <xdr:row>0</xdr:row>
      <xdr:rowOff>69840</xdr:rowOff>
    </xdr:from>
    <xdr:to>
      <xdr:col>4</xdr:col>
      <xdr:colOff>590040</xdr:colOff>
      <xdr:row>1</xdr:row>
      <xdr:rowOff>6120</xdr:rowOff>
    </xdr:to>
    <xdr:pic>
      <xdr:nvPicPr>
        <xdr:cNvPr id="146" name="CommandButton1" descr=""/>
        <xdr:cNvPicPr/>
      </xdr:nvPicPr>
      <xdr:blipFill>
        <a:blip r:embed="rId1"/>
        <a:stretch/>
      </xdr:blipFill>
      <xdr:spPr>
        <a:xfrm>
          <a:off x="4348440" y="69840"/>
          <a:ext cx="272520" cy="298080"/>
        </a:xfrm>
        <a:prstGeom prst="rect">
          <a:avLst/>
        </a:prstGeom>
        <a:ln>
          <a:noFill/>
        </a:ln>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552600</xdr:colOff>
      <xdr:row>9</xdr:row>
      <xdr:rowOff>9360</xdr:rowOff>
    </xdr:from>
    <xdr:to>
      <xdr:col>12</xdr:col>
      <xdr:colOff>599760</xdr:colOff>
      <xdr:row>37</xdr:row>
      <xdr:rowOff>28080</xdr:rowOff>
    </xdr:to>
    <xdr:sp>
      <xdr:nvSpPr>
        <xdr:cNvPr id="147" name="CustomShape 1" hidden="1"/>
        <xdr:cNvSpPr/>
      </xdr:nvSpPr>
      <xdr:spPr>
        <a:xfrm>
          <a:off x="4057560" y="1671480"/>
          <a:ext cx="7057800" cy="49978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5.5 Customers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Major customers</a:t>
          </a:r>
          <a:endParaRPr b="0" lang="en-US" sz="800" spc="-1" strike="noStrike">
            <a:latin typeface="Times New Roman"/>
          </a:endParaRPr>
        </a:p>
        <a:p>
          <a:pPr>
            <a:lnSpc>
              <a:spcPct val="100000"/>
            </a:lnSpc>
          </a:pPr>
          <a:r>
            <a:rPr b="0" lang="en-US" sz="800" spc="-1" strike="noStrike">
              <a:solidFill>
                <a:srgbClr val="000000"/>
              </a:solidFill>
              <a:latin typeface="Trebuchet MS"/>
            </a:rPr>
            <a:t>List the ten major customers of the dealer and their characteristics. Choose one of the pre-selected options for each customer. This analysis gives insight in the customer base of the dealer.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Purchase behaviour customers</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purchase behaviour of the customer; purchase on a regular basis or in batches? What are the main purchase criteria? Only trucks or including service packages (for example R&amp;M contracts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Major fleets in the area</a:t>
          </a:r>
          <a:endParaRPr b="0" lang="en-US" sz="800" spc="-1" strike="noStrike">
            <a:latin typeface="Times New Roman"/>
          </a:endParaRPr>
        </a:p>
        <a:p>
          <a:pPr>
            <a:lnSpc>
              <a:spcPct val="100000"/>
            </a:lnSpc>
          </a:pPr>
          <a:r>
            <a:rPr b="0" lang="en-US" sz="800" spc="-1" strike="noStrike">
              <a:solidFill>
                <a:srgbClr val="000000"/>
              </a:solidFill>
              <a:latin typeface="Trebuchet MS"/>
            </a:rPr>
            <a:t>List the major fleets in the dealer area with their characteristics. Choose one of the pre-selected options for each customer. This analysis gives some insight in the potential and the position of DAF.</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Main opportunities/action plan</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opportunities the potential customer base is offering for your dealership. Provide an action plan how to make these potential customers to DAF customers.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Main threats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possible threats the dealership is facing because of the potential customer base.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Customer satisfaction</a:t>
          </a:r>
          <a:endParaRPr b="0" lang="en-US" sz="800" spc="-1" strike="noStrike">
            <a:latin typeface="Times New Roman"/>
          </a:endParaRPr>
        </a:p>
        <a:p>
          <a:pPr>
            <a:lnSpc>
              <a:spcPct val="100000"/>
            </a:lnSpc>
          </a:pPr>
          <a:r>
            <a:rPr b="0" lang="en-US" sz="800" spc="-1" strike="noStrike">
              <a:solidFill>
                <a:srgbClr val="000000"/>
              </a:solidFill>
              <a:latin typeface="Trebuchet MS"/>
            </a:rPr>
            <a:t>Indicate how to satisfy the customers. What are the most important factors?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Dealer Management IT system</a:t>
          </a:r>
          <a:endParaRPr b="0" lang="en-US" sz="800" spc="-1" strike="noStrike">
            <a:latin typeface="Times New Roman"/>
          </a:endParaRPr>
        </a:p>
        <a:p>
          <a:pPr>
            <a:lnSpc>
              <a:spcPct val="100000"/>
            </a:lnSpc>
          </a:pPr>
          <a:r>
            <a:rPr b="0" lang="en-US" sz="800" spc="-1" strike="noStrike">
              <a:solidFill>
                <a:srgbClr val="000000"/>
              </a:solidFill>
              <a:latin typeface="Trebuchet MS"/>
            </a:rPr>
            <a:t>Is there a dealer management customer IT system? And which functionalities are available?</a:t>
          </a:r>
          <a:endParaRPr b="0" lang="en-US" sz="800" spc="-1" strike="noStrike">
            <a:latin typeface="Times New Roman"/>
          </a:endParaRPr>
        </a:p>
      </xdr:txBody>
    </xdr:sp>
    <xdr:clientData/>
  </xdr:twoCellAnchor>
  <xdr:twoCellAnchor editAs="oneCell">
    <xdr:from>
      <xdr:col>0</xdr:col>
      <xdr:colOff>9360</xdr:colOff>
      <xdr:row>40</xdr:row>
      <xdr:rowOff>0</xdr:rowOff>
    </xdr:from>
    <xdr:to>
      <xdr:col>12</xdr:col>
      <xdr:colOff>875880</xdr:colOff>
      <xdr:row>46</xdr:row>
      <xdr:rowOff>180720</xdr:rowOff>
    </xdr:to>
    <xdr:sp>
      <xdr:nvSpPr>
        <xdr:cNvPr id="148" name="CustomShape 1"/>
        <xdr:cNvSpPr/>
      </xdr:nvSpPr>
      <xdr:spPr>
        <a:xfrm>
          <a:off x="9360" y="7212960"/>
          <a:ext cx="11382120" cy="13237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40</xdr:row>
      <xdr:rowOff>0</xdr:rowOff>
    </xdr:from>
    <xdr:to>
      <xdr:col>12</xdr:col>
      <xdr:colOff>818640</xdr:colOff>
      <xdr:row>46</xdr:row>
      <xdr:rowOff>180720</xdr:rowOff>
    </xdr:to>
    <xdr:sp>
      <xdr:nvSpPr>
        <xdr:cNvPr id="149" name="CustomShape 1"/>
        <xdr:cNvSpPr/>
      </xdr:nvSpPr>
      <xdr:spPr>
        <a:xfrm>
          <a:off x="0" y="7212960"/>
          <a:ext cx="11334240" cy="132372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100" spc="-1" strike="noStrike">
              <a:latin typeface="Calibri"/>
            </a:rPr>
            <a:t> </a:t>
          </a:r>
          <a:r>
            <a:rPr b="0" lang="en-US" sz="1200" spc="-1" strike="noStrike">
              <a:latin typeface="Calibri"/>
            </a:rPr>
            <a:t> </a:t>
          </a:r>
          <a:endParaRPr b="0" lang="en-US" sz="1200" spc="-1" strike="noStrike">
            <a:latin typeface="Times New Roman"/>
          </a:endParaRPr>
        </a:p>
      </xdr:txBody>
    </xdr:sp>
    <xdr:clientData/>
  </xdr:twoCellAnchor>
  <xdr:twoCellAnchor editAs="oneCell">
    <xdr:from>
      <xdr:col>7</xdr:col>
      <xdr:colOff>476280</xdr:colOff>
      <xdr:row>0</xdr:row>
      <xdr:rowOff>104760</xdr:rowOff>
    </xdr:from>
    <xdr:to>
      <xdr:col>7</xdr:col>
      <xdr:colOff>828360</xdr:colOff>
      <xdr:row>1</xdr:row>
      <xdr:rowOff>4320</xdr:rowOff>
    </xdr:to>
    <xdr:sp>
      <xdr:nvSpPr>
        <xdr:cNvPr id="150" name="CustomShape 1" hidden="1"/>
        <xdr:cNvSpPr/>
      </xdr:nvSpPr>
      <xdr:spPr>
        <a:xfrm>
          <a:off x="6610320" y="104760"/>
          <a:ext cx="352080" cy="261360"/>
        </a:xfrm>
        <a:prstGeom prst="rect">
          <a:avLst/>
        </a:prstGeom>
        <a:noFill/>
        <a:ln>
          <a:noFill/>
        </a:ln>
      </xdr:spPr>
      <xdr:style>
        <a:lnRef idx="0"/>
        <a:fillRef idx="0"/>
        <a:effectRef idx="0"/>
        <a:fontRef idx="minor"/>
      </xdr:style>
    </xdr:sp>
    <xdr:clientData/>
  </xdr:twoCellAnchor>
  <xdr:twoCellAnchor editAs="oneCell">
    <xdr:from>
      <xdr:col>7</xdr:col>
      <xdr:colOff>317520</xdr:colOff>
      <xdr:row>0</xdr:row>
      <xdr:rowOff>69840</xdr:rowOff>
    </xdr:from>
    <xdr:to>
      <xdr:col>7</xdr:col>
      <xdr:colOff>748800</xdr:colOff>
      <xdr:row>0</xdr:row>
      <xdr:rowOff>355320</xdr:rowOff>
    </xdr:to>
    <xdr:pic>
      <xdr:nvPicPr>
        <xdr:cNvPr id="151" name="CommandButton1" descr=""/>
        <xdr:cNvPicPr/>
      </xdr:nvPicPr>
      <xdr:blipFill>
        <a:blip r:embed="rId1"/>
        <a:stretch/>
      </xdr:blipFill>
      <xdr:spPr>
        <a:xfrm>
          <a:off x="6451560" y="69840"/>
          <a:ext cx="431280" cy="285480"/>
        </a:xfrm>
        <a:prstGeom prst="rect">
          <a:avLst/>
        </a:prstGeom>
        <a:ln>
          <a:noFill/>
        </a:ln>
      </xdr:spPr>
    </xdr:pic>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22</xdr:row>
      <xdr:rowOff>0</xdr:rowOff>
    </xdr:from>
    <xdr:to>
      <xdr:col>10</xdr:col>
      <xdr:colOff>2123640</xdr:colOff>
      <xdr:row>25</xdr:row>
      <xdr:rowOff>151920</xdr:rowOff>
    </xdr:to>
    <xdr:sp>
      <xdr:nvSpPr>
        <xdr:cNvPr id="152" name="CustomShape 1"/>
        <xdr:cNvSpPr/>
      </xdr:nvSpPr>
      <xdr:spPr>
        <a:xfrm>
          <a:off x="9360" y="4015440"/>
          <a:ext cx="10280160" cy="6530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28</xdr:row>
      <xdr:rowOff>9360</xdr:rowOff>
    </xdr:from>
    <xdr:to>
      <xdr:col>10</xdr:col>
      <xdr:colOff>2123640</xdr:colOff>
      <xdr:row>32</xdr:row>
      <xdr:rowOff>9000</xdr:rowOff>
    </xdr:to>
    <xdr:sp>
      <xdr:nvSpPr>
        <xdr:cNvPr id="153" name="CustomShape 1"/>
        <xdr:cNvSpPr/>
      </xdr:nvSpPr>
      <xdr:spPr>
        <a:xfrm>
          <a:off x="9360" y="5027040"/>
          <a:ext cx="10280160" cy="66744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34</xdr:row>
      <xdr:rowOff>0</xdr:rowOff>
    </xdr:from>
    <xdr:to>
      <xdr:col>10</xdr:col>
      <xdr:colOff>2123640</xdr:colOff>
      <xdr:row>37</xdr:row>
      <xdr:rowOff>180720</xdr:rowOff>
    </xdr:to>
    <xdr:sp>
      <xdr:nvSpPr>
        <xdr:cNvPr id="154" name="CustomShape 1"/>
        <xdr:cNvSpPr/>
      </xdr:nvSpPr>
      <xdr:spPr>
        <a:xfrm>
          <a:off x="9360" y="6066720"/>
          <a:ext cx="10280160" cy="7520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40</xdr:row>
      <xdr:rowOff>9360</xdr:rowOff>
    </xdr:from>
    <xdr:to>
      <xdr:col>10</xdr:col>
      <xdr:colOff>2123640</xdr:colOff>
      <xdr:row>43</xdr:row>
      <xdr:rowOff>171000</xdr:rowOff>
    </xdr:to>
    <xdr:sp>
      <xdr:nvSpPr>
        <xdr:cNvPr id="155" name="CustomShape 1"/>
        <xdr:cNvSpPr/>
      </xdr:nvSpPr>
      <xdr:spPr>
        <a:xfrm>
          <a:off x="19080" y="7219080"/>
          <a:ext cx="10270440" cy="7329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45</xdr:row>
      <xdr:rowOff>181080</xdr:rowOff>
    </xdr:from>
    <xdr:to>
      <xdr:col>10</xdr:col>
      <xdr:colOff>2123640</xdr:colOff>
      <xdr:row>49</xdr:row>
      <xdr:rowOff>190080</xdr:rowOff>
    </xdr:to>
    <xdr:sp>
      <xdr:nvSpPr>
        <xdr:cNvPr id="156" name="CustomShape 1"/>
        <xdr:cNvSpPr/>
      </xdr:nvSpPr>
      <xdr:spPr>
        <a:xfrm>
          <a:off x="9360" y="8343360"/>
          <a:ext cx="10280160" cy="770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19080</xdr:colOff>
      <xdr:row>52</xdr:row>
      <xdr:rowOff>0</xdr:rowOff>
    </xdr:from>
    <xdr:to>
      <xdr:col>10</xdr:col>
      <xdr:colOff>2123640</xdr:colOff>
      <xdr:row>52</xdr:row>
      <xdr:rowOff>190080</xdr:rowOff>
    </xdr:to>
    <xdr:sp>
      <xdr:nvSpPr>
        <xdr:cNvPr id="157" name="CustomShape 1"/>
        <xdr:cNvSpPr/>
      </xdr:nvSpPr>
      <xdr:spPr>
        <a:xfrm>
          <a:off x="19080" y="9495720"/>
          <a:ext cx="10270440" cy="1900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63</xdr:row>
      <xdr:rowOff>0</xdr:rowOff>
    </xdr:from>
    <xdr:to>
      <xdr:col>10</xdr:col>
      <xdr:colOff>2123640</xdr:colOff>
      <xdr:row>63</xdr:row>
      <xdr:rowOff>180720</xdr:rowOff>
    </xdr:to>
    <xdr:sp>
      <xdr:nvSpPr>
        <xdr:cNvPr id="158" name="CustomShape 1"/>
        <xdr:cNvSpPr/>
      </xdr:nvSpPr>
      <xdr:spPr>
        <a:xfrm>
          <a:off x="9360" y="9686160"/>
          <a:ext cx="10280160" cy="1807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5</xdr:col>
      <xdr:colOff>657360</xdr:colOff>
      <xdr:row>3</xdr:row>
      <xdr:rowOff>85680</xdr:rowOff>
    </xdr:from>
    <xdr:to>
      <xdr:col>10</xdr:col>
      <xdr:colOff>2076120</xdr:colOff>
      <xdr:row>40</xdr:row>
      <xdr:rowOff>47160</xdr:rowOff>
    </xdr:to>
    <xdr:sp>
      <xdr:nvSpPr>
        <xdr:cNvPr id="159" name="CustomShape 1" hidden="1"/>
        <xdr:cNvSpPr/>
      </xdr:nvSpPr>
      <xdr:spPr>
        <a:xfrm>
          <a:off x="4740120" y="904680"/>
          <a:ext cx="5501880" cy="63522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6.0 New Truck Sales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New truck sales history</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trucks sold per series over the last three years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Analysis new truck sales</a:t>
          </a:r>
          <a:endParaRPr b="0" lang="en-US" sz="800" spc="-1" strike="noStrike">
            <a:latin typeface="Times New Roman"/>
          </a:endParaRPr>
        </a:p>
        <a:p>
          <a:pPr>
            <a:lnSpc>
              <a:spcPct val="100000"/>
            </a:lnSpc>
          </a:pPr>
          <a:r>
            <a:rPr b="0" lang="en-US" sz="800" spc="-1" strike="noStrike">
              <a:solidFill>
                <a:srgbClr val="000000"/>
              </a:solidFill>
              <a:latin typeface="Trebuchet MS"/>
            </a:rPr>
            <a:t>Analyze the development concerning the volume, the volume per series, the market shares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Positioning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split between rigids and tractors, the split between different series, sales to different segments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Price and costing</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position of DAF compared to the pricing of competitive vehicles, what pricing technique will you use? Explain why.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Advertising and promotion</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and the operational performance. Will you use direct marketing campaigns? What promotional literature will you be developing, i.e. flyers etc.? What other promotional tools will you use?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Sales/Marketing Management</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and the operational performance. Describe how potential customers are found and approached, what the target is at this moment, what kind of strategy there is concerning segment focusing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Strengths of the new truck sales process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new truck sales business.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8. Weaknesses of the new truck sales process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new truck sales business.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7</xdr:col>
      <xdr:colOff>276120</xdr:colOff>
      <xdr:row>0</xdr:row>
      <xdr:rowOff>76320</xdr:rowOff>
    </xdr:from>
    <xdr:to>
      <xdr:col>7</xdr:col>
      <xdr:colOff>685440</xdr:colOff>
      <xdr:row>0</xdr:row>
      <xdr:rowOff>342720</xdr:rowOff>
    </xdr:to>
    <xdr:sp>
      <xdr:nvSpPr>
        <xdr:cNvPr id="160" name="CustomShape 1" hidden="1"/>
        <xdr:cNvSpPr/>
      </xdr:nvSpPr>
      <xdr:spPr>
        <a:xfrm>
          <a:off x="5992200" y="76320"/>
          <a:ext cx="409320" cy="266400"/>
        </a:xfrm>
        <a:prstGeom prst="rect">
          <a:avLst/>
        </a:prstGeom>
        <a:noFill/>
        <a:ln>
          <a:noFill/>
        </a:ln>
      </xdr:spPr>
      <xdr:style>
        <a:lnRef idx="0"/>
        <a:fillRef idx="0"/>
        <a:effectRef idx="0"/>
        <a:fontRef idx="minor"/>
      </xdr:style>
    </xdr:sp>
    <xdr:clientData/>
  </xdr:twoCellAnchor>
  <xdr:twoCellAnchor editAs="oneCell">
    <xdr:from>
      <xdr:col>7</xdr:col>
      <xdr:colOff>184320</xdr:colOff>
      <xdr:row>0</xdr:row>
      <xdr:rowOff>50760</xdr:rowOff>
    </xdr:from>
    <xdr:to>
      <xdr:col>7</xdr:col>
      <xdr:colOff>456840</xdr:colOff>
      <xdr:row>0</xdr:row>
      <xdr:rowOff>228240</xdr:rowOff>
    </xdr:to>
    <xdr:pic>
      <xdr:nvPicPr>
        <xdr:cNvPr id="161" name="CommandButton1" descr=""/>
        <xdr:cNvPicPr/>
      </xdr:nvPicPr>
      <xdr:blipFill>
        <a:blip r:embed="rId1"/>
        <a:stretch/>
      </xdr:blipFill>
      <xdr:spPr>
        <a:xfrm>
          <a:off x="5900400" y="50760"/>
          <a:ext cx="272520" cy="177480"/>
        </a:xfrm>
        <a:prstGeom prst="rect">
          <a:avLst/>
        </a:prstGeom>
        <a:ln>
          <a:noFill/>
        </a:ln>
      </xdr:spPr>
    </xdr:pic>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10</xdr:row>
      <xdr:rowOff>152280</xdr:rowOff>
    </xdr:from>
    <xdr:to>
      <xdr:col>10</xdr:col>
      <xdr:colOff>609120</xdr:colOff>
      <xdr:row>16</xdr:row>
      <xdr:rowOff>151920</xdr:rowOff>
    </xdr:to>
    <xdr:sp>
      <xdr:nvSpPr>
        <xdr:cNvPr id="162" name="CustomShape 1"/>
        <xdr:cNvSpPr/>
      </xdr:nvSpPr>
      <xdr:spPr>
        <a:xfrm>
          <a:off x="9360" y="2064240"/>
          <a:ext cx="10975320" cy="10015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18</xdr:row>
      <xdr:rowOff>152280</xdr:rowOff>
    </xdr:from>
    <xdr:to>
      <xdr:col>10</xdr:col>
      <xdr:colOff>609120</xdr:colOff>
      <xdr:row>23</xdr:row>
      <xdr:rowOff>9000</xdr:rowOff>
    </xdr:to>
    <xdr:sp>
      <xdr:nvSpPr>
        <xdr:cNvPr id="163" name="CustomShape 1"/>
        <xdr:cNvSpPr/>
      </xdr:nvSpPr>
      <xdr:spPr>
        <a:xfrm>
          <a:off x="9360" y="3400200"/>
          <a:ext cx="10975320" cy="715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24</xdr:row>
      <xdr:rowOff>181080</xdr:rowOff>
    </xdr:from>
    <xdr:to>
      <xdr:col>10</xdr:col>
      <xdr:colOff>609120</xdr:colOff>
      <xdr:row>28</xdr:row>
      <xdr:rowOff>180720</xdr:rowOff>
    </xdr:to>
    <xdr:sp>
      <xdr:nvSpPr>
        <xdr:cNvPr id="164" name="CustomShape 1"/>
        <xdr:cNvSpPr/>
      </xdr:nvSpPr>
      <xdr:spPr>
        <a:xfrm>
          <a:off x="9360" y="4478040"/>
          <a:ext cx="10975320" cy="7614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38160</xdr:colOff>
      <xdr:row>31</xdr:row>
      <xdr:rowOff>9360</xdr:rowOff>
    </xdr:from>
    <xdr:to>
      <xdr:col>10</xdr:col>
      <xdr:colOff>609480</xdr:colOff>
      <xdr:row>34</xdr:row>
      <xdr:rowOff>180360</xdr:rowOff>
    </xdr:to>
    <xdr:sp>
      <xdr:nvSpPr>
        <xdr:cNvPr id="165" name="CustomShape 1"/>
        <xdr:cNvSpPr/>
      </xdr:nvSpPr>
      <xdr:spPr>
        <a:xfrm>
          <a:off x="38160" y="5639760"/>
          <a:ext cx="10946880" cy="742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37</xdr:row>
      <xdr:rowOff>0</xdr:rowOff>
    </xdr:from>
    <xdr:to>
      <xdr:col>10</xdr:col>
      <xdr:colOff>609120</xdr:colOff>
      <xdr:row>40</xdr:row>
      <xdr:rowOff>190440</xdr:rowOff>
    </xdr:to>
    <xdr:sp>
      <xdr:nvSpPr>
        <xdr:cNvPr id="166" name="CustomShape 1"/>
        <xdr:cNvSpPr/>
      </xdr:nvSpPr>
      <xdr:spPr>
        <a:xfrm>
          <a:off x="9360" y="6773400"/>
          <a:ext cx="1097532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43</xdr:row>
      <xdr:rowOff>9360</xdr:rowOff>
    </xdr:from>
    <xdr:to>
      <xdr:col>10</xdr:col>
      <xdr:colOff>609120</xdr:colOff>
      <xdr:row>46</xdr:row>
      <xdr:rowOff>180360</xdr:rowOff>
    </xdr:to>
    <xdr:sp>
      <xdr:nvSpPr>
        <xdr:cNvPr id="167" name="CustomShape 1"/>
        <xdr:cNvSpPr/>
      </xdr:nvSpPr>
      <xdr:spPr>
        <a:xfrm>
          <a:off x="9360" y="7925760"/>
          <a:ext cx="10975320" cy="742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49</xdr:row>
      <xdr:rowOff>0</xdr:rowOff>
    </xdr:from>
    <xdr:to>
      <xdr:col>10</xdr:col>
      <xdr:colOff>609120</xdr:colOff>
      <xdr:row>52</xdr:row>
      <xdr:rowOff>171000</xdr:rowOff>
    </xdr:to>
    <xdr:sp>
      <xdr:nvSpPr>
        <xdr:cNvPr id="168" name="CustomShape 1"/>
        <xdr:cNvSpPr/>
      </xdr:nvSpPr>
      <xdr:spPr>
        <a:xfrm>
          <a:off x="9360" y="9059400"/>
          <a:ext cx="10975320" cy="742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54</xdr:row>
      <xdr:rowOff>181080</xdr:rowOff>
    </xdr:from>
    <xdr:to>
      <xdr:col>10</xdr:col>
      <xdr:colOff>609120</xdr:colOff>
      <xdr:row>58</xdr:row>
      <xdr:rowOff>180720</xdr:rowOff>
    </xdr:to>
    <xdr:sp>
      <xdr:nvSpPr>
        <xdr:cNvPr id="169" name="CustomShape 1"/>
        <xdr:cNvSpPr/>
      </xdr:nvSpPr>
      <xdr:spPr>
        <a:xfrm>
          <a:off x="9360" y="10193040"/>
          <a:ext cx="10975320" cy="7614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3</xdr:col>
      <xdr:colOff>561960</xdr:colOff>
      <xdr:row>2</xdr:row>
      <xdr:rowOff>133200</xdr:rowOff>
    </xdr:from>
    <xdr:to>
      <xdr:col>11</xdr:col>
      <xdr:colOff>80640</xdr:colOff>
      <xdr:row>36</xdr:row>
      <xdr:rowOff>9000</xdr:rowOff>
    </xdr:to>
    <xdr:sp>
      <xdr:nvSpPr>
        <xdr:cNvPr id="170" name="CustomShape 1" hidden="1"/>
        <xdr:cNvSpPr/>
      </xdr:nvSpPr>
      <xdr:spPr>
        <a:xfrm>
          <a:off x="3674520" y="662040"/>
          <a:ext cx="7427160" cy="59299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1. Used truck sales history</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trucks sold per series over the last three years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Analysis used truck sales</a:t>
          </a:r>
          <a:endParaRPr b="0" lang="en-US" sz="800" spc="-1" strike="noStrike">
            <a:latin typeface="Times New Roman"/>
          </a:endParaRPr>
        </a:p>
        <a:p>
          <a:pPr>
            <a:lnSpc>
              <a:spcPct val="100000"/>
            </a:lnSpc>
          </a:pPr>
          <a:r>
            <a:rPr b="0" lang="en-US" sz="800" spc="-1" strike="noStrike">
              <a:solidFill>
                <a:srgbClr val="000000"/>
              </a:solidFill>
              <a:latin typeface="Trebuchet MS"/>
            </a:rPr>
            <a:t>Analyze the development concerning the volume, the market shares, the competition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Positioning</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approach concerning used trucks; there are basically three ways to the used truck department acquires a used truck to sell: trade-in, repossession and open market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Price and costing</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position of DAF compared to the pricing of used vehicles, what pricing technique will you use? Explain why.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Advertising and promotion</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in the field of used trucks and the operational performance. Is there a difference compared to new trucks or after sales performance?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Sales / Marketing management</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in the field of used trucks and the operational performance. Is there a difference compared to new trucks or after sales performance?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Strengths of the used truck sales process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used truck sales business.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8. Weaknesses of the used truck sales process </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used truck sales business.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9. Advantages towards competitors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7</xdr:col>
      <xdr:colOff>0</xdr:colOff>
      <xdr:row>0</xdr:row>
      <xdr:rowOff>95400</xdr:rowOff>
    </xdr:from>
    <xdr:to>
      <xdr:col>7</xdr:col>
      <xdr:colOff>409320</xdr:colOff>
      <xdr:row>0</xdr:row>
      <xdr:rowOff>361800</xdr:rowOff>
    </xdr:to>
    <xdr:sp>
      <xdr:nvSpPr>
        <xdr:cNvPr id="171" name="CustomShape 1" hidden="1"/>
        <xdr:cNvSpPr/>
      </xdr:nvSpPr>
      <xdr:spPr>
        <a:xfrm>
          <a:off x="7263000" y="95400"/>
          <a:ext cx="409320" cy="266400"/>
        </a:xfrm>
        <a:prstGeom prst="rect">
          <a:avLst/>
        </a:prstGeom>
        <a:noFill/>
        <a:ln>
          <a:noFill/>
        </a:ln>
      </xdr:spPr>
      <xdr:style>
        <a:lnRef idx="0"/>
        <a:fillRef idx="0"/>
        <a:effectRef idx="0"/>
        <a:fontRef idx="minor"/>
      </xdr:style>
    </xdr:sp>
    <xdr:clientData/>
  </xdr:twoCellAnchor>
  <xdr:twoCellAnchor editAs="oneCell">
    <xdr:from>
      <xdr:col>7</xdr:col>
      <xdr:colOff>0</xdr:colOff>
      <xdr:row>0</xdr:row>
      <xdr:rowOff>63360</xdr:rowOff>
    </xdr:from>
    <xdr:to>
      <xdr:col>7</xdr:col>
      <xdr:colOff>272520</xdr:colOff>
      <xdr:row>0</xdr:row>
      <xdr:rowOff>361440</xdr:rowOff>
    </xdr:to>
    <xdr:pic>
      <xdr:nvPicPr>
        <xdr:cNvPr id="172" name="CommandButton1" descr=""/>
        <xdr:cNvPicPr/>
      </xdr:nvPicPr>
      <xdr:blipFill>
        <a:blip r:embed="rId1"/>
        <a:stretch/>
      </xdr:blipFill>
      <xdr:spPr>
        <a:xfrm>
          <a:off x="7263000" y="63360"/>
          <a:ext cx="272520" cy="298080"/>
        </a:xfrm>
        <a:prstGeom prst="rect">
          <a:avLst/>
        </a:prstGeom>
        <a:ln>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22</xdr:row>
      <xdr:rowOff>9360</xdr:rowOff>
    </xdr:from>
    <xdr:to>
      <xdr:col>10</xdr:col>
      <xdr:colOff>771120</xdr:colOff>
      <xdr:row>27</xdr:row>
      <xdr:rowOff>180360</xdr:rowOff>
    </xdr:to>
    <xdr:sp>
      <xdr:nvSpPr>
        <xdr:cNvPr id="173" name="CustomShape 1"/>
        <xdr:cNvSpPr/>
      </xdr:nvSpPr>
      <xdr:spPr>
        <a:xfrm>
          <a:off x="9360" y="4157640"/>
          <a:ext cx="9532800" cy="112356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30</xdr:row>
      <xdr:rowOff>9360</xdr:rowOff>
    </xdr:from>
    <xdr:to>
      <xdr:col>10</xdr:col>
      <xdr:colOff>771120</xdr:colOff>
      <xdr:row>33</xdr:row>
      <xdr:rowOff>190080</xdr:rowOff>
    </xdr:to>
    <xdr:sp>
      <xdr:nvSpPr>
        <xdr:cNvPr id="174" name="CustomShape 1"/>
        <xdr:cNvSpPr/>
      </xdr:nvSpPr>
      <xdr:spPr>
        <a:xfrm>
          <a:off x="9360" y="5681520"/>
          <a:ext cx="9532800" cy="7524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36</xdr:row>
      <xdr:rowOff>9360</xdr:rowOff>
    </xdr:from>
    <xdr:to>
      <xdr:col>10</xdr:col>
      <xdr:colOff>771120</xdr:colOff>
      <xdr:row>39</xdr:row>
      <xdr:rowOff>190080</xdr:rowOff>
    </xdr:to>
    <xdr:sp>
      <xdr:nvSpPr>
        <xdr:cNvPr id="175" name="CustomShape 1"/>
        <xdr:cNvSpPr/>
      </xdr:nvSpPr>
      <xdr:spPr>
        <a:xfrm>
          <a:off x="9360" y="6824520"/>
          <a:ext cx="9532800" cy="75240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42</xdr:row>
      <xdr:rowOff>9360</xdr:rowOff>
    </xdr:from>
    <xdr:to>
      <xdr:col>10</xdr:col>
      <xdr:colOff>771120</xdr:colOff>
      <xdr:row>46</xdr:row>
      <xdr:rowOff>9000</xdr:rowOff>
    </xdr:to>
    <xdr:sp>
      <xdr:nvSpPr>
        <xdr:cNvPr id="176" name="CustomShape 1"/>
        <xdr:cNvSpPr/>
      </xdr:nvSpPr>
      <xdr:spPr>
        <a:xfrm>
          <a:off x="9360" y="7967520"/>
          <a:ext cx="953280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48</xdr:row>
      <xdr:rowOff>0</xdr:rowOff>
    </xdr:from>
    <xdr:to>
      <xdr:col>10</xdr:col>
      <xdr:colOff>771120</xdr:colOff>
      <xdr:row>51</xdr:row>
      <xdr:rowOff>190080</xdr:rowOff>
    </xdr:to>
    <xdr:sp>
      <xdr:nvSpPr>
        <xdr:cNvPr id="177" name="CustomShape 1"/>
        <xdr:cNvSpPr/>
      </xdr:nvSpPr>
      <xdr:spPr>
        <a:xfrm>
          <a:off x="9360" y="9101160"/>
          <a:ext cx="953280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54</xdr:row>
      <xdr:rowOff>0</xdr:rowOff>
    </xdr:from>
    <xdr:to>
      <xdr:col>10</xdr:col>
      <xdr:colOff>816120</xdr:colOff>
      <xdr:row>57</xdr:row>
      <xdr:rowOff>180720</xdr:rowOff>
    </xdr:to>
    <xdr:sp>
      <xdr:nvSpPr>
        <xdr:cNvPr id="178" name="CustomShape 1"/>
        <xdr:cNvSpPr/>
      </xdr:nvSpPr>
      <xdr:spPr>
        <a:xfrm>
          <a:off x="9360" y="10244160"/>
          <a:ext cx="9577800" cy="75240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0</xdr:colOff>
      <xdr:row>60</xdr:row>
      <xdr:rowOff>0</xdr:rowOff>
    </xdr:from>
    <xdr:to>
      <xdr:col>10</xdr:col>
      <xdr:colOff>771120</xdr:colOff>
      <xdr:row>63</xdr:row>
      <xdr:rowOff>190080</xdr:rowOff>
    </xdr:to>
    <xdr:sp>
      <xdr:nvSpPr>
        <xdr:cNvPr id="179" name="CustomShape 1"/>
        <xdr:cNvSpPr/>
      </xdr:nvSpPr>
      <xdr:spPr>
        <a:xfrm>
          <a:off x="0" y="11387160"/>
          <a:ext cx="954216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66</xdr:row>
      <xdr:rowOff>0</xdr:rowOff>
    </xdr:from>
    <xdr:to>
      <xdr:col>10</xdr:col>
      <xdr:colOff>771120</xdr:colOff>
      <xdr:row>67</xdr:row>
      <xdr:rowOff>180720</xdr:rowOff>
    </xdr:to>
    <xdr:sp>
      <xdr:nvSpPr>
        <xdr:cNvPr id="180" name="CustomShape 1"/>
        <xdr:cNvSpPr/>
      </xdr:nvSpPr>
      <xdr:spPr>
        <a:xfrm>
          <a:off x="9360" y="12530160"/>
          <a:ext cx="9532800" cy="37116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3</xdr:col>
      <xdr:colOff>561960</xdr:colOff>
      <xdr:row>3</xdr:row>
      <xdr:rowOff>76320</xdr:rowOff>
    </xdr:from>
    <xdr:to>
      <xdr:col>10</xdr:col>
      <xdr:colOff>771120</xdr:colOff>
      <xdr:row>36</xdr:row>
      <xdr:rowOff>152280</xdr:rowOff>
    </xdr:to>
    <xdr:sp>
      <xdr:nvSpPr>
        <xdr:cNvPr id="181" name="CustomShape 1" hidden="1"/>
        <xdr:cNvSpPr/>
      </xdr:nvSpPr>
      <xdr:spPr>
        <a:xfrm>
          <a:off x="2668680" y="819000"/>
          <a:ext cx="6873480" cy="614844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6.2 After Sales - Parts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Parts policy</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general policy regarding parts sales and the warehouse and also the present performance (more details on Help-button 6.2.1).</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Analysis part sales</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strenght, weaknesses, opportunities and threats of the part sales.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Positioning</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approach concerning parts.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Pricing and costing</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position of DAF compared to the pricing of parts, what pricing technique will you use? Explain why.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Advertising and promotion</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in the field of parts. Customer approach: Is the dealer pro-active in parts sales or passive by waiting the customers to ask for parts?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Sales / Marketing strategy</a:t>
          </a:r>
          <a:endParaRPr b="0" lang="en-US" sz="800" spc="-1" strike="noStrike">
            <a:latin typeface="Times New Roman"/>
          </a:endParaRPr>
        </a:p>
        <a:p>
          <a:pPr>
            <a:lnSpc>
              <a:spcPct val="100000"/>
            </a:lnSpc>
          </a:pPr>
          <a:r>
            <a:rPr b="0" lang="en-US" sz="800" spc="-1" strike="noStrike">
              <a:solidFill>
                <a:srgbClr val="000000"/>
              </a:solidFill>
              <a:latin typeface="Trebuchet MS"/>
            </a:rPr>
            <a:t>Describe the strategy concerning this activity in the field of parts and the operational performance.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7. Strengths of the after sales service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after sales service.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8. Weaknesses of the after sales service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after sales service.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9. Advantages towards competitors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6</xdr:col>
      <xdr:colOff>781200</xdr:colOff>
      <xdr:row>0</xdr:row>
      <xdr:rowOff>104760</xdr:rowOff>
    </xdr:from>
    <xdr:to>
      <xdr:col>7</xdr:col>
      <xdr:colOff>66600</xdr:colOff>
      <xdr:row>1</xdr:row>
      <xdr:rowOff>9000</xdr:rowOff>
    </xdr:to>
    <xdr:sp>
      <xdr:nvSpPr>
        <xdr:cNvPr id="182" name="CustomShape 1" hidden="1"/>
        <xdr:cNvSpPr/>
      </xdr:nvSpPr>
      <xdr:spPr>
        <a:xfrm>
          <a:off x="4955040" y="104760"/>
          <a:ext cx="434520" cy="266040"/>
        </a:xfrm>
        <a:prstGeom prst="rect">
          <a:avLst/>
        </a:prstGeom>
        <a:noFill/>
        <a:ln>
          <a:noFill/>
        </a:ln>
      </xdr:spPr>
      <xdr:style>
        <a:lnRef idx="0"/>
        <a:fillRef idx="0"/>
        <a:effectRef idx="0"/>
        <a:fontRef idx="minor"/>
      </xdr:style>
    </xdr:sp>
    <xdr:clientData/>
  </xdr:twoCellAnchor>
  <xdr:twoCellAnchor editAs="oneCell">
    <xdr:from>
      <xdr:col>6</xdr:col>
      <xdr:colOff>520560</xdr:colOff>
      <xdr:row>0</xdr:row>
      <xdr:rowOff>69840</xdr:rowOff>
    </xdr:from>
    <xdr:to>
      <xdr:col>7</xdr:col>
      <xdr:colOff>69480</xdr:colOff>
      <xdr:row>1</xdr:row>
      <xdr:rowOff>6120</xdr:rowOff>
    </xdr:to>
    <xdr:pic>
      <xdr:nvPicPr>
        <xdr:cNvPr id="183" name="CommandButton1" descr=""/>
        <xdr:cNvPicPr/>
      </xdr:nvPicPr>
      <xdr:blipFill>
        <a:blip r:embed="rId1"/>
        <a:stretch/>
      </xdr:blipFill>
      <xdr:spPr>
        <a:xfrm>
          <a:off x="4694400" y="69840"/>
          <a:ext cx="698040" cy="298080"/>
        </a:xfrm>
        <a:prstGeom prst="rect">
          <a:avLst/>
        </a:prstGeom>
        <a:ln>
          <a:noFill/>
        </a:ln>
      </xdr:spPr>
    </xdr:pic>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6</xdr:row>
      <xdr:rowOff>0</xdr:rowOff>
    </xdr:from>
    <xdr:to>
      <xdr:col>10</xdr:col>
      <xdr:colOff>914040</xdr:colOff>
      <xdr:row>10</xdr:row>
      <xdr:rowOff>180720</xdr:rowOff>
    </xdr:to>
    <xdr:sp>
      <xdr:nvSpPr>
        <xdr:cNvPr id="184" name="CustomShape 1"/>
        <xdr:cNvSpPr/>
      </xdr:nvSpPr>
      <xdr:spPr>
        <a:xfrm>
          <a:off x="9360" y="1290600"/>
          <a:ext cx="10683360" cy="94284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2</xdr:col>
      <xdr:colOff>9360</xdr:colOff>
      <xdr:row>16</xdr:row>
      <xdr:rowOff>181080</xdr:rowOff>
    </xdr:from>
    <xdr:to>
      <xdr:col>10</xdr:col>
      <xdr:colOff>977760</xdr:colOff>
      <xdr:row>19</xdr:row>
      <xdr:rowOff>180720</xdr:rowOff>
    </xdr:to>
    <xdr:sp>
      <xdr:nvSpPr>
        <xdr:cNvPr id="185" name="CustomShape 1"/>
        <xdr:cNvSpPr/>
      </xdr:nvSpPr>
      <xdr:spPr>
        <a:xfrm>
          <a:off x="1964880" y="3376800"/>
          <a:ext cx="8791560" cy="57132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2</xdr:col>
      <xdr:colOff>9360</xdr:colOff>
      <xdr:row>23</xdr:row>
      <xdr:rowOff>0</xdr:rowOff>
    </xdr:from>
    <xdr:to>
      <xdr:col>10</xdr:col>
      <xdr:colOff>914040</xdr:colOff>
      <xdr:row>25</xdr:row>
      <xdr:rowOff>180720</xdr:rowOff>
    </xdr:to>
    <xdr:sp>
      <xdr:nvSpPr>
        <xdr:cNvPr id="186" name="CustomShape 1"/>
        <xdr:cNvSpPr/>
      </xdr:nvSpPr>
      <xdr:spPr>
        <a:xfrm>
          <a:off x="1964880" y="4529160"/>
          <a:ext cx="8727840" cy="5619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28</xdr:row>
      <xdr:rowOff>0</xdr:rowOff>
    </xdr:from>
    <xdr:to>
      <xdr:col>10</xdr:col>
      <xdr:colOff>977760</xdr:colOff>
      <xdr:row>31</xdr:row>
      <xdr:rowOff>190080</xdr:rowOff>
    </xdr:to>
    <xdr:sp>
      <xdr:nvSpPr>
        <xdr:cNvPr id="187" name="CustomShape 1"/>
        <xdr:cNvSpPr/>
      </xdr:nvSpPr>
      <xdr:spPr>
        <a:xfrm>
          <a:off x="9360" y="5481720"/>
          <a:ext cx="10747080" cy="76176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0</xdr:col>
      <xdr:colOff>9360</xdr:colOff>
      <xdr:row>34</xdr:row>
      <xdr:rowOff>9360</xdr:rowOff>
    </xdr:from>
    <xdr:to>
      <xdr:col>10</xdr:col>
      <xdr:colOff>914040</xdr:colOff>
      <xdr:row>37</xdr:row>
      <xdr:rowOff>180360</xdr:rowOff>
    </xdr:to>
    <xdr:sp>
      <xdr:nvSpPr>
        <xdr:cNvPr id="188" name="CustomShape 1"/>
        <xdr:cNvSpPr/>
      </xdr:nvSpPr>
      <xdr:spPr>
        <a:xfrm>
          <a:off x="9360" y="6634080"/>
          <a:ext cx="10683360" cy="7426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9360</xdr:colOff>
      <xdr:row>40</xdr:row>
      <xdr:rowOff>0</xdr:rowOff>
    </xdr:from>
    <xdr:to>
      <xdr:col>10</xdr:col>
      <xdr:colOff>914040</xdr:colOff>
      <xdr:row>41</xdr:row>
      <xdr:rowOff>180720</xdr:rowOff>
    </xdr:to>
    <xdr:sp>
      <xdr:nvSpPr>
        <xdr:cNvPr id="189" name="CustomShape 1"/>
        <xdr:cNvSpPr/>
      </xdr:nvSpPr>
      <xdr:spPr>
        <a:xfrm>
          <a:off x="9360" y="7767720"/>
          <a:ext cx="10683360" cy="37116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3</xdr:col>
      <xdr:colOff>399960</xdr:colOff>
      <xdr:row>5</xdr:row>
      <xdr:rowOff>133200</xdr:rowOff>
    </xdr:from>
    <xdr:to>
      <xdr:col>10</xdr:col>
      <xdr:colOff>447120</xdr:colOff>
      <xdr:row>29</xdr:row>
      <xdr:rowOff>151920</xdr:rowOff>
    </xdr:to>
    <xdr:sp>
      <xdr:nvSpPr>
        <xdr:cNvPr id="190" name="CustomShape 1" hidden="1"/>
        <xdr:cNvSpPr/>
      </xdr:nvSpPr>
      <xdr:spPr>
        <a:xfrm>
          <a:off x="3333600" y="1233360"/>
          <a:ext cx="6892200" cy="45907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0" lang="en-US" sz="800" spc="-1" strike="noStrike">
              <a:solidFill>
                <a:srgbClr val="000000"/>
              </a:solidFill>
              <a:latin typeface="Trebuchet MS"/>
            </a:rPr>
            <a:t>6.3 After Sales - Service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1. Service policy</a:t>
          </a:r>
          <a:endParaRPr b="0" lang="en-US" sz="800" spc="-1" strike="noStrike">
            <a:latin typeface="Times New Roman"/>
          </a:endParaRPr>
        </a:p>
        <a:p>
          <a:pPr>
            <a:lnSpc>
              <a:spcPct val="100000"/>
            </a:lnSpc>
          </a:pPr>
          <a:r>
            <a:rPr b="0" lang="en-US" sz="800" spc="-1" strike="noStrike">
              <a:solidFill>
                <a:srgbClr val="000000"/>
              </a:solidFill>
              <a:latin typeface="Trebuchet MS"/>
            </a:rPr>
            <a:t>Describe in general the policy regarding service, what is the target,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2. Effectivity of the workshop</a:t>
          </a:r>
          <a:endParaRPr b="0" lang="en-US" sz="800" spc="-1" strike="noStrike">
            <a:latin typeface="Times New Roman"/>
          </a:endParaRPr>
        </a:p>
        <a:p>
          <a:pPr>
            <a:lnSpc>
              <a:spcPct val="100000"/>
            </a:lnSpc>
          </a:pPr>
          <a:r>
            <a:rPr b="0" lang="en-US" sz="800" spc="-1" strike="noStrike">
              <a:solidFill>
                <a:srgbClr val="000000"/>
              </a:solidFill>
              <a:latin typeface="Trebuchet MS"/>
            </a:rPr>
            <a:t>Definition: Output of the workshop as a result of productivity and efficiency.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3. Service retention</a:t>
          </a:r>
          <a:endParaRPr b="0" lang="en-US" sz="800" spc="-1" strike="noStrike">
            <a:latin typeface="Times New Roman"/>
          </a:endParaRPr>
        </a:p>
        <a:p>
          <a:pPr>
            <a:lnSpc>
              <a:spcPct val="100000"/>
            </a:lnSpc>
          </a:pPr>
          <a:r>
            <a:rPr b="0" lang="en-US" sz="800" spc="-1" strike="noStrike">
              <a:solidFill>
                <a:srgbClr val="000000"/>
              </a:solidFill>
              <a:latin typeface="Trebuchet MS"/>
            </a:rPr>
            <a:t>Definition: The numbers of workshop hours spend on DAF in relation to the potential DAF workshop hour’s consumption in the dealer area. The potential workshop hour’s consumption is a figure which DAF supplies based on the running park of DAF vehicles not older than 10 years.</a:t>
          </a:r>
          <a:endParaRPr b="0" lang="en-US" sz="800" spc="-1" strike="noStrike">
            <a:latin typeface="Times New Roman"/>
          </a:endParaRPr>
        </a:p>
        <a:p>
          <a:pPr>
            <a:lnSpc>
              <a:spcPct val="100000"/>
            </a:lnSpc>
          </a:pPr>
          <a:r>
            <a:rPr b="0" lang="en-US" sz="800" spc="-1" strike="noStrike">
              <a:solidFill>
                <a:srgbClr val="000000"/>
              </a:solidFill>
              <a:latin typeface="Trebuchet MS"/>
            </a:rPr>
            <a:t>Service retention is an objective way to measure what part of the potential business is taken by the dealer. It is also a good tool to forecast hour’s turnover based on a trend of retention instead of absolute turnover. See also [7.2.3 Turnover Service &amp; Body shop].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4. Strengths of the after sales service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strengths of the after sales service.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5. Weaknesses of the after sales service</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weaknesses of the after sales service.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6. Advantages towards competitors</a:t>
          </a:r>
          <a:endParaRPr b="0" lang="en-US" sz="800" spc="-1" strike="noStrike">
            <a:latin typeface="Times New Roman"/>
          </a:endParaRPr>
        </a:p>
        <a:p>
          <a:pPr>
            <a:lnSpc>
              <a:spcPct val="100000"/>
            </a:lnSpc>
          </a:pPr>
          <a:r>
            <a:rPr b="0" lang="en-US" sz="800" spc="-1" strike="noStrike">
              <a:solidFill>
                <a:srgbClr val="000000"/>
              </a:solidFill>
              <a:latin typeface="Trebuchet MS"/>
            </a:rPr>
            <a:t>Indicate the main issues for the coming planning period.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6</xdr:col>
      <xdr:colOff>457200</xdr:colOff>
      <xdr:row>0</xdr:row>
      <xdr:rowOff>76320</xdr:rowOff>
    </xdr:from>
    <xdr:to>
      <xdr:col>6</xdr:col>
      <xdr:colOff>866520</xdr:colOff>
      <xdr:row>0</xdr:row>
      <xdr:rowOff>342720</xdr:rowOff>
    </xdr:to>
    <xdr:sp>
      <xdr:nvSpPr>
        <xdr:cNvPr id="191" name="CustomShape 1" hidden="1"/>
        <xdr:cNvSpPr/>
      </xdr:nvSpPr>
      <xdr:spPr>
        <a:xfrm>
          <a:off x="6324480" y="76320"/>
          <a:ext cx="409320" cy="266400"/>
        </a:xfrm>
        <a:prstGeom prst="rect">
          <a:avLst/>
        </a:prstGeom>
        <a:noFill/>
        <a:ln>
          <a:noFill/>
        </a:ln>
      </xdr:spPr>
      <xdr:style>
        <a:lnRef idx="0"/>
        <a:fillRef idx="0"/>
        <a:effectRef idx="0"/>
        <a:fontRef idx="minor"/>
      </xdr:style>
    </xdr:sp>
    <xdr:clientData/>
  </xdr:twoCellAnchor>
  <xdr:twoCellAnchor editAs="oneCell">
    <xdr:from>
      <xdr:col>6</xdr:col>
      <xdr:colOff>304920</xdr:colOff>
      <xdr:row>0</xdr:row>
      <xdr:rowOff>50760</xdr:rowOff>
    </xdr:from>
    <xdr:to>
      <xdr:col>6</xdr:col>
      <xdr:colOff>577440</xdr:colOff>
      <xdr:row>0</xdr:row>
      <xdr:rowOff>228240</xdr:rowOff>
    </xdr:to>
    <xdr:pic>
      <xdr:nvPicPr>
        <xdr:cNvPr id="192" name="CommandButton1" descr=""/>
        <xdr:cNvPicPr/>
      </xdr:nvPicPr>
      <xdr:blipFill>
        <a:blip r:embed="rId1"/>
        <a:stretch/>
      </xdr:blipFill>
      <xdr:spPr>
        <a:xfrm>
          <a:off x="6172200" y="50760"/>
          <a:ext cx="272520" cy="177480"/>
        </a:xfrm>
        <a:prstGeom prst="rect">
          <a:avLst/>
        </a:prstGeom>
        <a:ln>
          <a:noFill/>
        </a:ln>
      </xdr:spPr>
    </xdr:pic>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0</xdr:colOff>
      <xdr:row>0</xdr:row>
      <xdr:rowOff>76320</xdr:rowOff>
    </xdr:from>
    <xdr:to>
      <xdr:col>5</xdr:col>
      <xdr:colOff>85320</xdr:colOff>
      <xdr:row>1</xdr:row>
      <xdr:rowOff>399960</xdr:rowOff>
    </xdr:to>
    <xdr:pic>
      <xdr:nvPicPr>
        <xdr:cNvPr id="193" name="Picture 2" descr=""/>
        <xdr:cNvPicPr/>
      </xdr:nvPicPr>
      <xdr:blipFill>
        <a:blip r:embed="rId1"/>
        <a:stretch/>
      </xdr:blipFill>
      <xdr:spPr>
        <a:xfrm>
          <a:off x="573840" y="76320"/>
          <a:ext cx="1183320" cy="514080"/>
        </a:xfrm>
        <a:prstGeom prst="rect">
          <a:avLst/>
        </a:prstGeom>
        <a:ln>
          <a:noFill/>
        </a:ln>
      </xdr:spPr>
    </xdr:pic>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0</xdr:colOff>
      <xdr:row>0</xdr:row>
      <xdr:rowOff>76320</xdr:rowOff>
    </xdr:from>
    <xdr:to>
      <xdr:col>4</xdr:col>
      <xdr:colOff>447480</xdr:colOff>
      <xdr:row>1</xdr:row>
      <xdr:rowOff>399960</xdr:rowOff>
    </xdr:to>
    <xdr:pic>
      <xdr:nvPicPr>
        <xdr:cNvPr id="194" name="Picture 1" descr=""/>
        <xdr:cNvPicPr/>
      </xdr:nvPicPr>
      <xdr:blipFill>
        <a:blip r:embed="rId1"/>
        <a:stretch/>
      </xdr:blipFill>
      <xdr:spPr>
        <a:xfrm>
          <a:off x="573840" y="76320"/>
          <a:ext cx="1162440" cy="514080"/>
        </a:xfrm>
        <a:prstGeom prst="rect">
          <a:avLst/>
        </a:prstGeom>
        <a:ln>
          <a:noFill/>
        </a:ln>
      </xdr:spPr>
    </xdr:pic>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9360</xdr:colOff>
      <xdr:row>0</xdr:row>
      <xdr:rowOff>66600</xdr:rowOff>
    </xdr:from>
    <xdr:to>
      <xdr:col>5</xdr:col>
      <xdr:colOff>94680</xdr:colOff>
      <xdr:row>1</xdr:row>
      <xdr:rowOff>390240</xdr:rowOff>
    </xdr:to>
    <xdr:pic>
      <xdr:nvPicPr>
        <xdr:cNvPr id="195" name="Picture 2" descr=""/>
        <xdr:cNvPicPr/>
      </xdr:nvPicPr>
      <xdr:blipFill>
        <a:blip r:embed="rId1"/>
        <a:stretch/>
      </xdr:blipFill>
      <xdr:spPr>
        <a:xfrm>
          <a:off x="583200" y="66600"/>
          <a:ext cx="1183320" cy="514080"/>
        </a:xfrm>
        <a:prstGeom prst="rect">
          <a:avLst/>
        </a:prstGeom>
        <a:ln>
          <a:noFill/>
        </a:ln>
      </xdr:spPr>
    </xdr:pic>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9360</xdr:colOff>
      <xdr:row>0</xdr:row>
      <xdr:rowOff>66600</xdr:rowOff>
    </xdr:from>
    <xdr:to>
      <xdr:col>4</xdr:col>
      <xdr:colOff>456840</xdr:colOff>
      <xdr:row>1</xdr:row>
      <xdr:rowOff>390240</xdr:rowOff>
    </xdr:to>
    <xdr:pic>
      <xdr:nvPicPr>
        <xdr:cNvPr id="196" name="Picture 1" descr=""/>
        <xdr:cNvPicPr/>
      </xdr:nvPicPr>
      <xdr:blipFill>
        <a:blip r:embed="rId1"/>
        <a:stretch/>
      </xdr:blipFill>
      <xdr:spPr>
        <a:xfrm>
          <a:off x="583200" y="66600"/>
          <a:ext cx="1162440" cy="514080"/>
        </a:xfrm>
        <a:prstGeom prst="rect">
          <a:avLst/>
        </a:prstGeom>
        <a:ln>
          <a:noFill/>
        </a:ln>
      </xdr:spPr>
    </xdr:pic>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0</xdr:colOff>
      <xdr:row>0</xdr:row>
      <xdr:rowOff>66600</xdr:rowOff>
    </xdr:from>
    <xdr:to>
      <xdr:col>5</xdr:col>
      <xdr:colOff>85320</xdr:colOff>
      <xdr:row>1</xdr:row>
      <xdr:rowOff>390240</xdr:rowOff>
    </xdr:to>
    <xdr:pic>
      <xdr:nvPicPr>
        <xdr:cNvPr id="197" name="Picture 2" descr=""/>
        <xdr:cNvPicPr/>
      </xdr:nvPicPr>
      <xdr:blipFill>
        <a:blip r:embed="rId1"/>
        <a:stretch/>
      </xdr:blipFill>
      <xdr:spPr>
        <a:xfrm>
          <a:off x="573840" y="66600"/>
          <a:ext cx="1183320" cy="514080"/>
        </a:xfrm>
        <a:prstGeom prst="rect">
          <a:avLst/>
        </a:prstGeom>
        <a:ln>
          <a:noFill/>
        </a:ln>
      </xdr:spPr>
    </xdr:pic>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9360</xdr:colOff>
      <xdr:row>0</xdr:row>
      <xdr:rowOff>66600</xdr:rowOff>
    </xdr:from>
    <xdr:to>
      <xdr:col>4</xdr:col>
      <xdr:colOff>456840</xdr:colOff>
      <xdr:row>1</xdr:row>
      <xdr:rowOff>390240</xdr:rowOff>
    </xdr:to>
    <xdr:pic>
      <xdr:nvPicPr>
        <xdr:cNvPr id="198" name="Picture 1" descr=""/>
        <xdr:cNvPicPr/>
      </xdr:nvPicPr>
      <xdr:blipFill>
        <a:blip r:embed="rId1"/>
        <a:stretch/>
      </xdr:blipFill>
      <xdr:spPr>
        <a:xfrm>
          <a:off x="583200" y="66600"/>
          <a:ext cx="1162440" cy="514080"/>
        </a:xfrm>
        <a:prstGeom prst="rect">
          <a:avLst/>
        </a:prstGeom>
        <a:ln>
          <a:noFill/>
        </a:ln>
      </xdr:spPr>
    </xdr:pic>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19080</xdr:colOff>
      <xdr:row>0</xdr:row>
      <xdr:rowOff>66600</xdr:rowOff>
    </xdr:from>
    <xdr:to>
      <xdr:col>4</xdr:col>
      <xdr:colOff>37800</xdr:colOff>
      <xdr:row>1</xdr:row>
      <xdr:rowOff>390240</xdr:rowOff>
    </xdr:to>
    <xdr:pic>
      <xdr:nvPicPr>
        <xdr:cNvPr id="199" name="Picture 2" descr=""/>
        <xdr:cNvPicPr/>
      </xdr:nvPicPr>
      <xdr:blipFill>
        <a:blip r:embed="rId1"/>
        <a:stretch/>
      </xdr:blipFill>
      <xdr:spPr>
        <a:xfrm>
          <a:off x="714240" y="66600"/>
          <a:ext cx="1187640" cy="514080"/>
        </a:xfrm>
        <a:prstGeom prst="rect">
          <a:avLst/>
        </a:prstGeom>
        <a:ln>
          <a:noFill/>
        </a:ln>
      </xdr:spPr>
    </xdr:pic>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19080</xdr:colOff>
      <xdr:row>0</xdr:row>
      <xdr:rowOff>66600</xdr:rowOff>
    </xdr:from>
    <xdr:to>
      <xdr:col>4</xdr:col>
      <xdr:colOff>37800</xdr:colOff>
      <xdr:row>1</xdr:row>
      <xdr:rowOff>390240</xdr:rowOff>
    </xdr:to>
    <xdr:pic>
      <xdr:nvPicPr>
        <xdr:cNvPr id="200" name="Picture 1" descr=""/>
        <xdr:cNvPicPr/>
      </xdr:nvPicPr>
      <xdr:blipFill>
        <a:blip r:embed="rId1"/>
        <a:stretch/>
      </xdr:blipFill>
      <xdr:spPr>
        <a:xfrm>
          <a:off x="714240" y="66600"/>
          <a:ext cx="1187640" cy="514080"/>
        </a:xfrm>
        <a:prstGeom prst="rect">
          <a:avLst/>
        </a:prstGeom>
        <a:ln>
          <a:noFill/>
        </a:ln>
      </xdr:spPr>
    </xdr:pic>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247680</xdr:colOff>
      <xdr:row>11</xdr:row>
      <xdr:rowOff>47520</xdr:rowOff>
    </xdr:from>
    <xdr:to>
      <xdr:col>6</xdr:col>
      <xdr:colOff>1390320</xdr:colOff>
      <xdr:row>19</xdr:row>
      <xdr:rowOff>75600</xdr:rowOff>
    </xdr:to>
    <xdr:sp>
      <xdr:nvSpPr>
        <xdr:cNvPr id="201" name="CustomShape 1" hidden="1"/>
        <xdr:cNvSpPr/>
      </xdr:nvSpPr>
      <xdr:spPr>
        <a:xfrm>
          <a:off x="3583800" y="2509920"/>
          <a:ext cx="4912560" cy="15519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6.4 SWOT Analysis &amp; Action Plan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Fill in the left tables to identify your main strengths, weaknesses, opportunities and threats of your dealership. </a:t>
          </a:r>
          <a:endParaRPr b="0" lang="en-US" sz="1000" spc="-1" strike="noStrike">
            <a:latin typeface="Times New Roman"/>
          </a:endParaRPr>
        </a:p>
        <a:p>
          <a:pPr>
            <a:lnSpc>
              <a:spcPct val="100000"/>
            </a:lnSpc>
          </a:pPr>
          <a:r>
            <a:rPr b="0" lang="en-US" sz="1000" spc="-1" strike="noStrike">
              <a:solidFill>
                <a:srgbClr val="000000"/>
              </a:solidFill>
              <a:latin typeface="Trebuchet MS"/>
            </a:rPr>
            <a:t>Fill in the right tables a description how you will take advantage of each strength and opportunity and what action you will take to counter each weakness or threat.</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4</xdr:col>
      <xdr:colOff>304920</xdr:colOff>
      <xdr:row>0</xdr:row>
      <xdr:rowOff>19080</xdr:rowOff>
    </xdr:from>
    <xdr:to>
      <xdr:col>4</xdr:col>
      <xdr:colOff>1266480</xdr:colOff>
      <xdr:row>1</xdr:row>
      <xdr:rowOff>4320</xdr:rowOff>
    </xdr:to>
    <xdr:sp>
      <xdr:nvSpPr>
        <xdr:cNvPr id="202" name="CustomShape 1" hidden="1"/>
        <xdr:cNvSpPr/>
      </xdr:nvSpPr>
      <xdr:spPr>
        <a:xfrm>
          <a:off x="5183280" y="19080"/>
          <a:ext cx="961560" cy="347040"/>
        </a:xfrm>
        <a:prstGeom prst="rect">
          <a:avLst/>
        </a:prstGeom>
        <a:noFill/>
        <a:ln>
          <a:noFill/>
        </a:ln>
      </xdr:spPr>
      <xdr:style>
        <a:lnRef idx="0"/>
        <a:fillRef idx="0"/>
        <a:effectRef idx="0"/>
        <a:fontRef idx="minor"/>
      </xdr:style>
    </xdr:sp>
    <xdr:clientData/>
  </xdr:twoCellAnchor>
  <xdr:twoCellAnchor editAs="oneCell">
    <xdr:from>
      <xdr:col>4</xdr:col>
      <xdr:colOff>203040</xdr:colOff>
      <xdr:row>0</xdr:row>
      <xdr:rowOff>12600</xdr:rowOff>
    </xdr:from>
    <xdr:to>
      <xdr:col>4</xdr:col>
      <xdr:colOff>844200</xdr:colOff>
      <xdr:row>0</xdr:row>
      <xdr:rowOff>355320</xdr:rowOff>
    </xdr:to>
    <xdr:pic>
      <xdr:nvPicPr>
        <xdr:cNvPr id="203" name="CommandButton1" descr=""/>
        <xdr:cNvPicPr/>
      </xdr:nvPicPr>
      <xdr:blipFill>
        <a:blip r:embed="rId1"/>
        <a:stretch/>
      </xdr:blipFill>
      <xdr:spPr>
        <a:xfrm>
          <a:off x="5081400" y="12600"/>
          <a:ext cx="641160" cy="342720"/>
        </a:xfrm>
        <a:prstGeom prst="rect">
          <a:avLst/>
        </a:prstGeom>
        <a:ln>
          <a:noFill/>
        </a:ln>
      </xdr:spPr>
    </xdr:pic>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257040</xdr:colOff>
      <xdr:row>2</xdr:row>
      <xdr:rowOff>76320</xdr:rowOff>
    </xdr:from>
    <xdr:to>
      <xdr:col>10</xdr:col>
      <xdr:colOff>847080</xdr:colOff>
      <xdr:row>50</xdr:row>
      <xdr:rowOff>104400</xdr:rowOff>
    </xdr:to>
    <xdr:sp>
      <xdr:nvSpPr>
        <xdr:cNvPr id="204" name="CustomShape 1" hidden="1"/>
        <xdr:cNvSpPr/>
      </xdr:nvSpPr>
      <xdr:spPr>
        <a:xfrm>
          <a:off x="3643920" y="628560"/>
          <a:ext cx="8452800" cy="69433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7.1 Dealer Area Analysis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This module is the basis of the financial business plan.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Market size</a:t>
          </a:r>
          <a:endParaRPr b="0" lang="en-US" sz="800" spc="-1" strike="noStrike">
            <a:latin typeface="Times New Roman"/>
          </a:endParaRPr>
        </a:p>
        <a:p>
          <a:pPr>
            <a:lnSpc>
              <a:spcPct val="100000"/>
            </a:lnSpc>
          </a:pPr>
          <a:r>
            <a:rPr b="0" lang="en-US" sz="800" spc="-1" strike="noStrike">
              <a:solidFill>
                <a:srgbClr val="000000"/>
              </a:solidFill>
              <a:latin typeface="Trebuchet MS"/>
            </a:rPr>
            <a:t>Indicate number of registrations of the total market.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size of the market is best be measured by the number of registrations. If registrations are not available, the number of deliveries is best suited.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the segment of vehicles with a Gross Vehicle Weight (GVW) between 6 and 15 tons and vehicles with a GVW above 15 tons.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Market share DAF </a:t>
          </a:r>
          <a:endParaRPr b="0" lang="en-US" sz="800" spc="-1" strike="noStrike">
            <a:latin typeface="Times New Roman"/>
          </a:endParaRPr>
        </a:p>
        <a:p>
          <a:pPr>
            <a:lnSpc>
              <a:spcPct val="100000"/>
            </a:lnSpc>
          </a:pPr>
          <a:r>
            <a:rPr b="0" lang="en-US" sz="800" spc="-1" strike="noStrike">
              <a:solidFill>
                <a:srgbClr val="000000"/>
              </a:solidFill>
              <a:latin typeface="Trebuchet MS"/>
            </a:rPr>
            <a:t>Indicate your DAF’s market share.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expected market share should reflect a realistic estimation mentioned in the action plan and should be filled in for both segments. Take into account that the market share relates to the DAF volume which will be invoiced in the concerning year.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An assumption is made that sales of a particular year equal deliveries and registrations of that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DAF volume</a:t>
          </a:r>
          <a:endParaRPr b="0" lang="en-US" sz="800" spc="-1" strike="noStrike">
            <a:latin typeface="Times New Roman"/>
          </a:endParaRPr>
        </a:p>
        <a:p>
          <a:pPr>
            <a:lnSpc>
              <a:spcPct val="100000"/>
            </a:lnSpc>
          </a:pPr>
          <a:r>
            <a:rPr b="0" lang="en-US" sz="800" spc="-1" strike="noStrike">
              <a:solidFill>
                <a:srgbClr val="000000"/>
              </a:solidFill>
              <a:latin typeface="Trebuchet MS"/>
            </a:rPr>
            <a:t>This volume is a result of the expected market share and the market size and is calculated automatically.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DAF volume mix</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expected split of the DAF volume in the basic year over the different DAF series. The sum of the volume mix per series should always be equal to 100%; otherwise a message will appear on the screen. The assumption is made that the split will stay the same in time. However, the mix-split-fields may be overwritten when the mix changes in time.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Fleet vs. total DAF sales</a:t>
          </a:r>
          <a:endParaRPr b="0" lang="en-US" sz="800" spc="-1" strike="noStrike">
            <a:latin typeface="Times New Roman"/>
          </a:endParaRPr>
        </a:p>
        <a:p>
          <a:pPr>
            <a:lnSpc>
              <a:spcPct val="100000"/>
            </a:lnSpc>
          </a:pPr>
          <a:r>
            <a:rPr b="0" lang="en-US" sz="800" spc="-1" strike="noStrike">
              <a:solidFill>
                <a:srgbClr val="000000"/>
              </a:solidFill>
              <a:latin typeface="Trebuchet MS"/>
            </a:rPr>
            <a:t>Fleet sales as a percentage of total sales, per series. The assumption is made that the percentage per series is the same for every year. If not, the percentages in the blue cells can be overwritten.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6. Running parc DAF</a:t>
          </a:r>
          <a:endParaRPr b="0" lang="en-US" sz="800" spc="-1" strike="noStrike">
            <a:latin typeface="Times New Roman"/>
          </a:endParaRPr>
        </a:p>
        <a:p>
          <a:pPr>
            <a:lnSpc>
              <a:spcPct val="100000"/>
            </a:lnSpc>
          </a:pPr>
          <a:r>
            <a:rPr b="0" lang="en-US" sz="800" spc="-1" strike="noStrike">
              <a:solidFill>
                <a:srgbClr val="000000"/>
              </a:solidFill>
              <a:latin typeface="Trebuchet MS"/>
            </a:rPr>
            <a:t>The figures are filled in automatically and are based on: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historical parc as filled in [5.3 Running Parc]</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survival rate (given by DAF Trucks and already included in the formulas)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new registrations by the dealer as stated in paragraph 4 of this sheet</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885960</xdr:colOff>
      <xdr:row>0</xdr:row>
      <xdr:rowOff>47520</xdr:rowOff>
    </xdr:from>
    <xdr:to>
      <xdr:col>2</xdr:col>
      <xdr:colOff>1066680</xdr:colOff>
      <xdr:row>0</xdr:row>
      <xdr:rowOff>256680</xdr:rowOff>
    </xdr:to>
    <xdr:sp>
      <xdr:nvSpPr>
        <xdr:cNvPr id="205" name="CustomShape 1" hidden="1"/>
        <xdr:cNvSpPr/>
      </xdr:nvSpPr>
      <xdr:spPr>
        <a:xfrm>
          <a:off x="3143880" y="47520"/>
          <a:ext cx="180720" cy="209160"/>
        </a:xfrm>
        <a:prstGeom prst="rect">
          <a:avLst/>
        </a:prstGeom>
        <a:noFill/>
        <a:ln>
          <a:noFill/>
        </a:ln>
      </xdr:spPr>
      <xdr:style>
        <a:lnRef idx="0"/>
        <a:fillRef idx="0"/>
        <a:effectRef idx="0"/>
        <a:fontRef idx="minor"/>
      </xdr:style>
    </xdr:sp>
    <xdr:clientData/>
  </xdr:twoCellAnchor>
  <xdr:twoCellAnchor editAs="oneCell">
    <xdr:from>
      <xdr:col>2</xdr:col>
      <xdr:colOff>590400</xdr:colOff>
      <xdr:row>0</xdr:row>
      <xdr:rowOff>31680</xdr:rowOff>
    </xdr:from>
    <xdr:to>
      <xdr:col>2</xdr:col>
      <xdr:colOff>799560</xdr:colOff>
      <xdr:row>0</xdr:row>
      <xdr:rowOff>171000</xdr:rowOff>
    </xdr:to>
    <xdr:pic>
      <xdr:nvPicPr>
        <xdr:cNvPr id="206" name="CommandButton1" descr=""/>
        <xdr:cNvPicPr/>
      </xdr:nvPicPr>
      <xdr:blipFill>
        <a:blip r:embed="rId1"/>
        <a:stretch/>
      </xdr:blipFill>
      <xdr:spPr>
        <a:xfrm>
          <a:off x="2848320" y="31680"/>
          <a:ext cx="209160" cy="139320"/>
        </a:xfrm>
        <a:prstGeom prst="rect">
          <a:avLst/>
        </a:prstGeom>
        <a:ln>
          <a:noFill/>
        </a:ln>
      </xdr:spPr>
    </xdr:pic>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581040</xdr:colOff>
      <xdr:row>8</xdr:row>
      <xdr:rowOff>19080</xdr:rowOff>
    </xdr:from>
    <xdr:to>
      <xdr:col>10</xdr:col>
      <xdr:colOff>732960</xdr:colOff>
      <xdr:row>54</xdr:row>
      <xdr:rowOff>190080</xdr:rowOff>
    </xdr:to>
    <xdr:sp>
      <xdr:nvSpPr>
        <xdr:cNvPr id="207" name="CustomShape 1" hidden="1"/>
        <xdr:cNvSpPr/>
      </xdr:nvSpPr>
      <xdr:spPr>
        <a:xfrm>
          <a:off x="3060000" y="1838160"/>
          <a:ext cx="7167960" cy="92959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7.2.1 Turnover Vehicles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 New DAF vehicles</a:t>
          </a:r>
          <a:endParaRPr b="0" lang="en-US" sz="1000" spc="-1" strike="noStrike">
            <a:latin typeface="Times New Roman"/>
          </a:endParaRPr>
        </a:p>
        <a:p>
          <a:pPr>
            <a:lnSpc>
              <a:spcPct val="100000"/>
            </a:lnSpc>
          </a:pPr>
          <a:r>
            <a:rPr b="1" lang="en-US" sz="1000" spc="-1" strike="noStrike">
              <a:solidFill>
                <a:srgbClr val="000000"/>
              </a:solidFill>
              <a:latin typeface="Trebuchet MS"/>
            </a:rPr>
            <a:t>1.1.1 Average turnover per vehicle excluding bodies and VAT but including accessories</a:t>
          </a:r>
          <a:endParaRPr b="0" lang="en-US" sz="1000" spc="-1" strike="noStrike">
            <a:latin typeface="Times New Roman"/>
          </a:endParaRPr>
        </a:p>
        <a:p>
          <a:pPr>
            <a:lnSpc>
              <a:spcPct val="100000"/>
            </a:lnSpc>
          </a:pPr>
          <a:r>
            <a:rPr b="0" lang="en-US" sz="1000" spc="-1" strike="noStrike">
              <a:solidFill>
                <a:srgbClr val="000000"/>
              </a:solidFill>
              <a:latin typeface="Trebuchet MS"/>
            </a:rPr>
            <a:t>Fill in the average sales price in the basis year per series and estimate the price increase per year.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1.1.2 Average turnover fleet sales per vehicle excluding bodies and VAT but including accessories</a:t>
          </a:r>
          <a:endParaRPr b="0" lang="en-US" sz="1000" spc="-1" strike="noStrike">
            <a:latin typeface="Times New Roman"/>
          </a:endParaRPr>
        </a:p>
        <a:p>
          <a:pPr>
            <a:lnSpc>
              <a:spcPct val="100000"/>
            </a:lnSpc>
          </a:pPr>
          <a:r>
            <a:rPr b="0" lang="en-US" sz="1000" spc="-1" strike="noStrike">
              <a:solidFill>
                <a:srgbClr val="000000"/>
              </a:solidFill>
              <a:latin typeface="Trebuchet MS"/>
            </a:rPr>
            <a:t>Provide also the average discount given on fleet sales. The turnover per vehicle of all other years and of the fleet sales of all years will be calculated automatically. </a:t>
          </a:r>
          <a:endParaRPr b="0" lang="en-US" sz="1000" spc="-1" strike="noStrike">
            <a:latin typeface="Times New Roman"/>
          </a:endParaRPr>
        </a:p>
        <a:p>
          <a:pPr>
            <a:lnSpc>
              <a:spcPct val="100000"/>
            </a:lnSpc>
          </a:pPr>
          <a:r>
            <a:rPr b="0" lang="en-US" sz="1000" spc="-1" strike="noStrike">
              <a:solidFill>
                <a:srgbClr val="000000"/>
              </a:solidFill>
              <a:latin typeface="Trebuchet MS"/>
            </a:rPr>
            <a:t>The turnover on the body should be excluded from the turnover on the vehicle.</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1.2. Total turnover DAF vehicles</a:t>
          </a:r>
          <a:endParaRPr b="0" lang="en-US" sz="1000" spc="-1" strike="noStrike">
            <a:latin typeface="Times New Roman"/>
          </a:endParaRPr>
        </a:p>
        <a:p>
          <a:pPr>
            <a:lnSpc>
              <a:spcPct val="100000"/>
            </a:lnSpc>
          </a:pPr>
          <a:r>
            <a:rPr b="0" lang="en-US" sz="1000" spc="-1" strike="noStrike">
              <a:solidFill>
                <a:srgbClr val="000000"/>
              </a:solidFill>
              <a:latin typeface="Trebuchet MS"/>
            </a:rPr>
            <a:t>Total turnover is automatically calculated as a result of the expected turnover per vehicle and the number of trucks delivered per series in [7.1 Dealer Area Analysis].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2. Used trucks</a:t>
          </a:r>
          <a:endParaRPr b="0" lang="en-US" sz="1000" spc="-1" strike="noStrike">
            <a:latin typeface="Times New Roman"/>
          </a:endParaRPr>
        </a:p>
        <a:p>
          <a:pPr>
            <a:lnSpc>
              <a:spcPct val="100000"/>
            </a:lnSpc>
          </a:pPr>
          <a:r>
            <a:rPr b="1" lang="en-US" sz="1000" spc="-1" strike="noStrike">
              <a:solidFill>
                <a:srgbClr val="000000"/>
              </a:solidFill>
              <a:latin typeface="Trebuchet MS"/>
            </a:rPr>
            <a:t>2.1. Turnover</a:t>
          </a:r>
          <a:endParaRPr b="0" lang="en-US" sz="1000" spc="-1" strike="noStrike">
            <a:latin typeface="Times New Roman"/>
          </a:endParaRPr>
        </a:p>
        <a:p>
          <a:pPr>
            <a:lnSpc>
              <a:spcPct val="100000"/>
            </a:lnSpc>
          </a:pPr>
          <a:r>
            <a:rPr b="0" lang="en-US" sz="1000" spc="-1" strike="noStrike">
              <a:solidFill>
                <a:srgbClr val="000000"/>
              </a:solidFill>
              <a:latin typeface="Trebuchet MS"/>
            </a:rPr>
            <a:t>The expected number of delivered used trucks and the average sales price per vehicle in every year (including bodies).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2.2. Stock used trucks</a:t>
          </a:r>
          <a:endParaRPr b="0" lang="en-US" sz="1000" spc="-1" strike="noStrike">
            <a:latin typeface="Times New Roman"/>
          </a:endParaRPr>
        </a:p>
        <a:p>
          <a:pPr>
            <a:lnSpc>
              <a:spcPct val="100000"/>
            </a:lnSpc>
          </a:pPr>
          <a:r>
            <a:rPr b="0" lang="en-US" sz="1000" spc="-1" strike="noStrike">
              <a:solidFill>
                <a:srgbClr val="000000"/>
              </a:solidFill>
              <a:latin typeface="Trebuchet MS"/>
            </a:rPr>
            <a:t>Enter the expected number of used trucks in stock at the end of the concerning year and enter also the initial stock of the basis year in value. The stock value at the end of the year is automatically calculated taking into account the margin on used trucks which will be given by the user.</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3. Other products</a:t>
          </a:r>
          <a:endParaRPr b="0" lang="en-US" sz="1000" spc="-1" strike="noStrike">
            <a:latin typeface="Times New Roman"/>
          </a:endParaRPr>
        </a:p>
        <a:p>
          <a:pPr>
            <a:lnSpc>
              <a:spcPct val="100000"/>
            </a:lnSpc>
          </a:pPr>
          <a:r>
            <a:rPr b="0" lang="en-US" sz="1000" spc="-1" strike="noStrike">
              <a:solidFill>
                <a:srgbClr val="000000"/>
              </a:solidFill>
              <a:latin typeface="Trebuchet MS"/>
            </a:rPr>
            <a:t>Fill in the type of product and the expected turnover per year. Product categories are trailers, vans and bodies. Not meant here are products like parts, tyres and oil.</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4. Decision required number of salesmen</a:t>
          </a:r>
          <a:endParaRPr b="0" lang="en-US" sz="1000" spc="-1" strike="noStrike">
            <a:latin typeface="Times New Roman"/>
          </a:endParaRPr>
        </a:p>
        <a:p>
          <a:pPr>
            <a:lnSpc>
              <a:spcPct val="100000"/>
            </a:lnSpc>
          </a:pPr>
          <a:r>
            <a:rPr b="0" lang="en-US" sz="1000" spc="-1" strike="noStrike">
              <a:solidFill>
                <a:srgbClr val="000000"/>
              </a:solidFill>
              <a:latin typeface="Trebuchet MS"/>
            </a:rPr>
            <a:t>Fill in the expected sales volume of DAF trucks for each year. The program is using this parameter for the forecast. However, when this parameter changes, the parameter for the other years can be overwritten. Based on the total volume to be sold, the program gives a suggestion of the number of DAF salesmen requested. The decision maker (dealer principal) always decides the actual number of salesmen. For used trucks and other products the decision maker needs to assess how many people he needs. Also take into account the role of the Managing Director and the Sales Manager; especially in small and medium sized dealerships they have a sales task as well. The salaries &amp; wages (see 7.4.1 Salaries &amp; Wages) are based on the decided number and not on the suggested one.</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In case a salesman is selling both new and used vehicles, one should make an estimation of the time spent on each of them and allocates accordingly.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Example: </a:t>
          </a:r>
          <a:endParaRPr b="0" lang="en-US" sz="1000" spc="-1" strike="noStrike">
            <a:latin typeface="Times New Roman"/>
          </a:endParaRPr>
        </a:p>
        <a:p>
          <a:pPr>
            <a:lnSpc>
              <a:spcPct val="100000"/>
            </a:lnSpc>
          </a:pPr>
          <a:r>
            <a:rPr b="0" lang="en-US" sz="1000" spc="-1" strike="noStrike">
              <a:solidFill>
                <a:srgbClr val="000000"/>
              </a:solidFill>
              <a:latin typeface="Trebuchet MS"/>
            </a:rPr>
            <a:t>Activity Time to spend Required salesmen</a:t>
          </a:r>
          <a:endParaRPr b="0" lang="en-US" sz="1000" spc="-1" strike="noStrike">
            <a:latin typeface="Times New Roman"/>
          </a:endParaRPr>
        </a:p>
        <a:p>
          <a:pPr>
            <a:lnSpc>
              <a:spcPct val="100000"/>
            </a:lnSpc>
          </a:pPr>
          <a:r>
            <a:rPr b="0" lang="en-US" sz="1000" spc="-1" strike="noStrike">
              <a:solidFill>
                <a:srgbClr val="000000"/>
              </a:solidFill>
              <a:latin typeface="Trebuchet MS"/>
            </a:rPr>
            <a:t>new trucks 75% 0,75</a:t>
          </a:r>
          <a:endParaRPr b="0" lang="en-US" sz="1000" spc="-1" strike="noStrike">
            <a:latin typeface="Times New Roman"/>
          </a:endParaRPr>
        </a:p>
        <a:p>
          <a:pPr>
            <a:lnSpc>
              <a:spcPct val="100000"/>
            </a:lnSpc>
          </a:pPr>
          <a:r>
            <a:rPr b="0" lang="en-US" sz="1000" spc="-1" strike="noStrike">
              <a:solidFill>
                <a:srgbClr val="000000"/>
              </a:solidFill>
              <a:latin typeface="Trebuchet MS"/>
            </a:rPr>
            <a:t>used trucks 25% 0,25</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100% 1</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1</xdr:col>
      <xdr:colOff>866880</xdr:colOff>
      <xdr:row>0</xdr:row>
      <xdr:rowOff>47520</xdr:rowOff>
    </xdr:from>
    <xdr:to>
      <xdr:col>2</xdr:col>
      <xdr:colOff>2160</xdr:colOff>
      <xdr:row>0</xdr:row>
      <xdr:rowOff>256680</xdr:rowOff>
    </xdr:to>
    <xdr:sp>
      <xdr:nvSpPr>
        <xdr:cNvPr id="208" name="CustomShape 1" hidden="1"/>
        <xdr:cNvSpPr/>
      </xdr:nvSpPr>
      <xdr:spPr>
        <a:xfrm>
          <a:off x="2398320" y="47520"/>
          <a:ext cx="82800" cy="209160"/>
        </a:xfrm>
        <a:prstGeom prst="rect">
          <a:avLst/>
        </a:prstGeom>
        <a:noFill/>
        <a:ln>
          <a:noFill/>
        </a:ln>
      </xdr:spPr>
      <xdr:style>
        <a:lnRef idx="0"/>
        <a:fillRef idx="0"/>
        <a:effectRef idx="0"/>
        <a:fontRef idx="minor"/>
      </xdr:style>
    </xdr:sp>
    <xdr:clientData/>
  </xdr:twoCellAnchor>
  <xdr:twoCellAnchor editAs="oneCell">
    <xdr:from>
      <xdr:col>1</xdr:col>
      <xdr:colOff>577800</xdr:colOff>
      <xdr:row>0</xdr:row>
      <xdr:rowOff>31680</xdr:rowOff>
    </xdr:from>
    <xdr:to>
      <xdr:col>1</xdr:col>
      <xdr:colOff>799560</xdr:colOff>
      <xdr:row>0</xdr:row>
      <xdr:rowOff>171000</xdr:rowOff>
    </xdr:to>
    <xdr:pic>
      <xdr:nvPicPr>
        <xdr:cNvPr id="209" name="CommandButton1" descr=""/>
        <xdr:cNvPicPr/>
      </xdr:nvPicPr>
      <xdr:blipFill>
        <a:blip r:embed="rId1"/>
        <a:stretch/>
      </xdr:blipFill>
      <xdr:spPr>
        <a:xfrm>
          <a:off x="2109240" y="31680"/>
          <a:ext cx="221760" cy="139320"/>
        </a:xfrm>
        <a:prstGeom prst="rect">
          <a:avLst/>
        </a:prstGeom>
        <a:ln>
          <a:noFill/>
        </a:ln>
      </xdr:spPr>
    </xdr:pic>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819000</xdr:colOff>
      <xdr:row>1</xdr:row>
      <xdr:rowOff>95400</xdr:rowOff>
    </xdr:from>
    <xdr:to>
      <xdr:col>10</xdr:col>
      <xdr:colOff>256680</xdr:colOff>
      <xdr:row>68</xdr:row>
      <xdr:rowOff>56880</xdr:rowOff>
    </xdr:to>
    <xdr:sp>
      <xdr:nvSpPr>
        <xdr:cNvPr id="210" name="CustomShape 1" hidden="1"/>
        <xdr:cNvSpPr/>
      </xdr:nvSpPr>
      <xdr:spPr>
        <a:xfrm>
          <a:off x="3308760" y="457200"/>
          <a:ext cx="7006680" cy="131439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7.2.2 Turnover Parts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Potential parts consumption on DAF vehicles</a:t>
          </a:r>
          <a:endParaRPr b="0" lang="en-US" sz="800" spc="-1" strike="noStrike">
            <a:latin typeface="Times New Roman"/>
          </a:endParaRPr>
        </a:p>
        <a:p>
          <a:pPr>
            <a:lnSpc>
              <a:spcPct val="100000"/>
            </a:lnSpc>
          </a:pPr>
          <a:r>
            <a:rPr b="0" lang="en-US" sz="800" spc="-1" strike="noStrike">
              <a:solidFill>
                <a:srgbClr val="000000"/>
              </a:solidFill>
              <a:latin typeface="Trebuchet MS"/>
            </a:rPr>
            <a:t>Based on the mix of the parc, the potential parts consumption per vehicle and the weighted average margin of the dealer, the total parts potential for the dealer area is calculated. The potential includes R&amp;M, damage repairs, accessories and warranty parts. Source of the consumption figures is the DAF Trucks After Sales Department in Eindhoven.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Maximum years in parts potential: This number of years will be taken into account for the calcullationof the potential parts consumption. The lower the number of years the lower the potential parts consumption will be.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2.1 Total parts turnover (after discount)</a:t>
          </a:r>
          <a:endParaRPr b="0" lang="en-US" sz="800" spc="-1" strike="noStrike">
            <a:latin typeface="Times New Roman"/>
          </a:endParaRPr>
        </a:p>
        <a:p>
          <a:pPr>
            <a:lnSpc>
              <a:spcPct val="100000"/>
            </a:lnSpc>
          </a:pPr>
          <a:r>
            <a:rPr b="0" lang="en-US" sz="800" spc="-1" strike="noStrike">
              <a:solidFill>
                <a:srgbClr val="000000"/>
              </a:solidFill>
              <a:latin typeface="Trebuchet MS"/>
            </a:rPr>
            <a:t>The parts retention is calculated as the relation between the parts turnover on DAF vehicles and the potential parts consumption on DAF vehicles. The parts retention of the basic year is used to forecast the parts retention of the coming years.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Oil and lubricants: Based upon potential parc a turnover is automatically calculated. This turnover can be overwritten.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Existing dealer: The parts retention of the basic year is a result of the actual parts turnover on DAF vehicles in the basic year and the potential parts consumption on DAF vehicles. </a:t>
          </a:r>
          <a:endParaRPr b="0" lang="en-US" sz="800" spc="-1" strike="noStrike">
            <a:latin typeface="Times New Roman"/>
          </a:endParaRPr>
        </a:p>
        <a:p>
          <a:pPr>
            <a:lnSpc>
              <a:spcPct val="100000"/>
            </a:lnSpc>
          </a:pPr>
          <a:r>
            <a:rPr b="0" lang="en-US" sz="800" spc="-1" strike="noStrike">
              <a:solidFill>
                <a:srgbClr val="000000"/>
              </a:solidFill>
              <a:latin typeface="Trebuchet MS"/>
            </a:rPr>
            <a:t>New dealer: The parts retention of the basic year is a result of the estimated parts turnover on DAF vehicles in the basic year and the potential parts consumption on DAF vehicles.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turnover on DAF vehicles; DAF vehicles only</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turnover on other activities; other makes than DAF, used trucks, buses, trailers, bodies,…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tyres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oil and lubricants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Preparation new and used trucks (internal invoiced parts as part of the total invoiced parts)</a:t>
          </a:r>
          <a:endParaRPr b="0" lang="en-US" sz="800" spc="-1" strike="noStrike">
            <a:latin typeface="Times New Roman"/>
          </a:endParaRPr>
        </a:p>
        <a:p>
          <a:pPr>
            <a:lnSpc>
              <a:spcPct val="100000"/>
            </a:lnSpc>
          </a:pPr>
          <a:r>
            <a:rPr b="0" lang="en-US" sz="800" spc="-1" strike="noStrike">
              <a:solidFill>
                <a:srgbClr val="000000"/>
              </a:solidFill>
              <a:latin typeface="Trebuchet MS"/>
            </a:rPr>
            <a:t>Meant here are the parts/accessories mounted by the dealer for the preparation of new and used vehicles, at sales price.</a:t>
          </a:r>
          <a:endParaRPr b="0" lang="en-US" sz="800" spc="-1" strike="noStrike">
            <a:latin typeface="Times New Roman"/>
          </a:endParaRPr>
        </a:p>
        <a:p>
          <a:pPr>
            <a:lnSpc>
              <a:spcPct val="100000"/>
            </a:lnSpc>
          </a:pPr>
          <a:r>
            <a:rPr b="0" lang="en-US" sz="800" spc="-1" strike="noStrike">
              <a:solidFill>
                <a:srgbClr val="000000"/>
              </a:solidFill>
              <a:latin typeface="Trebuchet MS"/>
            </a:rPr>
            <a:t>This module is part of the total turnover in paragraph [2.1 Total parts turnover (after discount)]. The parts/accessories are sold by the parts department to the sales department through internal invoicing. This implies that the parts, which represents an internal turnover for the parts department is an internal cost for the sales department. The sales department itself is responsible for the invoicing to the customer. In the philosophy of lean profit centers the turnover is registered in two different places; once in the parts department and once in the sales department. </a:t>
          </a:r>
          <a:endParaRPr b="0" lang="en-US" sz="800" spc="-1" strike="noStrike">
            <a:latin typeface="Times New Roman"/>
          </a:endParaRPr>
        </a:p>
        <a:p>
          <a:pPr>
            <a:lnSpc>
              <a:spcPct val="100000"/>
            </a:lnSpc>
          </a:pPr>
          <a:r>
            <a:rPr b="0" lang="en-US" sz="800" spc="-1" strike="noStrike">
              <a:solidFill>
                <a:srgbClr val="000000"/>
              </a:solidFill>
              <a:latin typeface="Trebuchet MS"/>
            </a:rPr>
            <a:t>From an accounting point of view, this turnover is only registered once in total turnover, namely in the profit center where external invoicing takes place.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the consumption per vehicle for: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new trucks; as a part of parts turnover on DAF vehicles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used trucks; as a part of parts turnover on other activities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Split parts turnover over counter and workshop</a:t>
          </a:r>
          <a:endParaRPr b="0" lang="en-US" sz="800" spc="-1" strike="noStrike">
            <a:latin typeface="Times New Roman"/>
          </a:endParaRPr>
        </a:p>
        <a:p>
          <a:pPr>
            <a:lnSpc>
              <a:spcPct val="100000"/>
            </a:lnSpc>
          </a:pPr>
          <a:r>
            <a:rPr b="0" lang="en-US" sz="800" spc="-1" strike="noStrike">
              <a:solidFill>
                <a:srgbClr val="000000"/>
              </a:solidFill>
              <a:latin typeface="Trebuchet MS"/>
            </a:rPr>
            <a:t>To take into account the possible difference in margin between parts sold over the counter and through the workshop, the percentage of the workshop is asked in relation to the total parts turnover. </a:t>
          </a:r>
          <a:endParaRPr b="0" lang="en-US" sz="800" spc="-1" strike="noStrike">
            <a:latin typeface="Times New Roman"/>
          </a:endParaRPr>
        </a:p>
        <a:p>
          <a:pPr>
            <a:lnSpc>
              <a:spcPct val="100000"/>
            </a:lnSpc>
          </a:pPr>
          <a:r>
            <a:rPr b="0" lang="en-US" sz="800" spc="-1" strike="noStrike">
              <a:solidFill>
                <a:srgbClr val="000000"/>
              </a:solidFill>
              <a:latin typeface="Trebuchet MS"/>
            </a:rPr>
            <a:t>The counter sales itself can be divided into sales to spokes/service dealer and ordinary counter sales.</a:t>
          </a:r>
          <a:endParaRPr b="0" lang="en-US" sz="800" spc="-1" strike="noStrike">
            <a:latin typeface="Times New Roman"/>
          </a:endParaRPr>
        </a:p>
        <a:p>
          <a:pPr>
            <a:lnSpc>
              <a:spcPct val="100000"/>
            </a:lnSpc>
          </a:pPr>
          <a:r>
            <a:rPr b="0" lang="en-US" sz="800" spc="-1" strike="noStrike">
              <a:solidFill>
                <a:srgbClr val="000000"/>
              </a:solidFill>
              <a:latin typeface="Trebuchet MS"/>
            </a:rPr>
            <a:t>A general distinction is made between parts on DAF vehicles and other activities.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Decision required number of parts personnel</a:t>
          </a:r>
          <a:endParaRPr b="0" lang="en-US" sz="800" spc="-1" strike="noStrike">
            <a:latin typeface="Times New Roman"/>
          </a:endParaRPr>
        </a:p>
        <a:p>
          <a:pPr>
            <a:lnSpc>
              <a:spcPct val="100000"/>
            </a:lnSpc>
          </a:pPr>
          <a:r>
            <a:rPr b="0" lang="en-US" sz="800" spc="-1" strike="noStrike">
              <a:solidFill>
                <a:srgbClr val="000000"/>
              </a:solidFill>
              <a:latin typeface="Trebuchet MS"/>
            </a:rPr>
            <a:t>Based on the total parts turnover and the estimated turnover per person (DTNV can give guidelines when requested), the program makes a suggestion on the number of parts employees required. The turnover per parts employee is kept constant over time. However, when this parameter changes, the calculated fields may be overwritten. The decision maker has to decide how many employees he really wants. 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warehouse clerks (all makes)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sales managers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manager (= warehouse manager)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administration and other</a:t>
          </a:r>
          <a:endParaRPr b="0" lang="en-US" sz="800" spc="-1" strike="noStrike">
            <a:latin typeface="Times New Roman"/>
          </a:endParaRPr>
        </a:p>
        <a:p>
          <a:pPr>
            <a:lnSpc>
              <a:spcPct val="100000"/>
            </a:lnSpc>
          </a:pPr>
          <a:r>
            <a:rPr b="0" lang="en-US" sz="800" spc="-1" strike="noStrike">
              <a:solidFill>
                <a:srgbClr val="000000"/>
              </a:solidFill>
              <a:latin typeface="Trebuchet MS"/>
            </a:rPr>
            <a:t>The salaries &amp; wages (see 7.4.1) are based on the decisions and not on the suggestion.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Parts stock</a:t>
          </a:r>
          <a:endParaRPr b="0" lang="en-US" sz="800" spc="-1" strike="noStrike">
            <a:latin typeface="Times New Roman"/>
          </a:endParaRPr>
        </a:p>
        <a:p>
          <a:pPr>
            <a:lnSpc>
              <a:spcPct val="100000"/>
            </a:lnSpc>
          </a:pPr>
          <a:r>
            <a:rPr b="0" lang="en-US" sz="800" spc="-1" strike="noStrike">
              <a:solidFill>
                <a:srgbClr val="000000"/>
              </a:solidFill>
              <a:latin typeface="Trebuchet MS"/>
            </a:rPr>
            <a:t>In order to determine the closing stock, both the total parts turnover and the stock rotation are used. Finally, the value at sales price is discounted by means of the weighted average parts margin.</a:t>
          </a:r>
          <a:endParaRPr b="0" lang="en-US" sz="800" spc="-1" strike="noStrike">
            <a:latin typeface="Times New Roman"/>
          </a:endParaRPr>
        </a:p>
        <a:p>
          <a:pPr>
            <a:lnSpc>
              <a:spcPct val="100000"/>
            </a:lnSpc>
          </a:pPr>
          <a:r>
            <a:rPr b="1" lang="en-US" sz="800" spc="-1" strike="noStrike">
              <a:solidFill>
                <a:srgbClr val="000000"/>
              </a:solidFill>
              <a:latin typeface="Trebuchet MS"/>
            </a:rPr>
            <a:t>4.1  Stock rotation</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number of times the stock turns in relation to the turnover. Based on this input, the stock rotation in months is calculated. At the same time, the closing stock at sales price is given.</a:t>
          </a:r>
          <a:endParaRPr b="0" lang="en-US" sz="800" spc="-1" strike="noStrike">
            <a:latin typeface="Times New Roman"/>
          </a:endParaRPr>
        </a:p>
        <a:p>
          <a:pPr>
            <a:lnSpc>
              <a:spcPct val="100000"/>
            </a:lnSpc>
          </a:pPr>
          <a:r>
            <a:rPr b="1" lang="en-US" sz="800" spc="-1" strike="noStrike">
              <a:solidFill>
                <a:srgbClr val="000000"/>
              </a:solidFill>
              <a:latin typeface="Trebuchet MS"/>
            </a:rPr>
            <a:t>4.2  Change in stock at purchase price (based on sales price)</a:t>
          </a:r>
          <a:endParaRPr b="0" lang="en-US" sz="800" spc="-1" strike="noStrike">
            <a:latin typeface="Times New Roman"/>
          </a:endParaRPr>
        </a:p>
        <a:p>
          <a:pPr>
            <a:lnSpc>
              <a:spcPct val="100000"/>
            </a:lnSpc>
          </a:pPr>
          <a:r>
            <a:rPr b="0" lang="en-US" sz="800" spc="-1" strike="noStrike">
              <a:solidFill>
                <a:srgbClr val="000000"/>
              </a:solidFill>
              <a:latin typeface="Trebuchet MS"/>
            </a:rPr>
            <a:t>Both for a new dealer as for an existing dealer, the initial parts stock at purchase price should be filled in.</a:t>
          </a:r>
          <a:endParaRPr b="0" lang="en-US" sz="800" spc="-1" strike="noStrike">
            <a:latin typeface="Times New Roman"/>
          </a:endParaRPr>
        </a:p>
        <a:p>
          <a:pPr>
            <a:lnSpc>
              <a:spcPct val="100000"/>
            </a:lnSpc>
          </a:pPr>
          <a:r>
            <a:rPr b="1" lang="en-US" sz="800" spc="-1" strike="noStrike">
              <a:solidFill>
                <a:srgbClr val="000000"/>
              </a:solidFill>
              <a:latin typeface="Trebuchet MS"/>
            </a:rPr>
            <a:t>4.3  Purchases during year</a:t>
          </a:r>
          <a:endParaRPr b="0" lang="en-US" sz="800" spc="-1" strike="noStrike">
            <a:latin typeface="Times New Roman"/>
          </a:endParaRPr>
        </a:p>
        <a:p>
          <a:pPr>
            <a:lnSpc>
              <a:spcPct val="100000"/>
            </a:lnSpc>
          </a:pPr>
          <a:r>
            <a:rPr b="0" lang="en-US" sz="800" spc="-1" strike="noStrike">
              <a:solidFill>
                <a:srgbClr val="000000"/>
              </a:solidFill>
              <a:latin typeface="Trebuchet MS"/>
            </a:rPr>
            <a:t>This module calculates the total purchases (of all makes) during the year. The amounts calculated here are only for your information and have no further consequences in the business plan whatsoever.</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104760</xdr:colOff>
      <xdr:row>0</xdr:row>
      <xdr:rowOff>47520</xdr:rowOff>
    </xdr:from>
    <xdr:to>
      <xdr:col>2</xdr:col>
      <xdr:colOff>475920</xdr:colOff>
      <xdr:row>0</xdr:row>
      <xdr:rowOff>275760</xdr:rowOff>
    </xdr:to>
    <xdr:sp>
      <xdr:nvSpPr>
        <xdr:cNvPr id="211" name="CustomShape 1" hidden="1"/>
        <xdr:cNvSpPr/>
      </xdr:nvSpPr>
      <xdr:spPr>
        <a:xfrm>
          <a:off x="2594520" y="47520"/>
          <a:ext cx="371160" cy="228240"/>
        </a:xfrm>
        <a:prstGeom prst="rect">
          <a:avLst/>
        </a:prstGeom>
        <a:noFill/>
        <a:ln>
          <a:noFill/>
        </a:ln>
      </xdr:spPr>
      <xdr:style>
        <a:lnRef idx="0"/>
        <a:fillRef idx="0"/>
        <a:effectRef idx="0"/>
        <a:fontRef idx="minor"/>
      </xdr:style>
    </xdr:sp>
    <xdr:clientData/>
  </xdr:twoCellAnchor>
  <xdr:twoCellAnchor editAs="oneCell">
    <xdr:from>
      <xdr:col>2</xdr:col>
      <xdr:colOff>69840</xdr:colOff>
      <xdr:row>0</xdr:row>
      <xdr:rowOff>31680</xdr:rowOff>
    </xdr:from>
    <xdr:to>
      <xdr:col>2</xdr:col>
      <xdr:colOff>317160</xdr:colOff>
      <xdr:row>0</xdr:row>
      <xdr:rowOff>183600</xdr:rowOff>
    </xdr:to>
    <xdr:pic>
      <xdr:nvPicPr>
        <xdr:cNvPr id="212" name="CommandButton1" descr=""/>
        <xdr:cNvPicPr/>
      </xdr:nvPicPr>
      <xdr:blipFill>
        <a:blip r:embed="rId1"/>
        <a:stretch/>
      </xdr:blipFill>
      <xdr:spPr>
        <a:xfrm>
          <a:off x="2559600" y="31680"/>
          <a:ext cx="247320" cy="151920"/>
        </a:xfrm>
        <a:prstGeom prst="rect">
          <a:avLst/>
        </a:prstGeom>
        <a:ln>
          <a:noFill/>
        </a:ln>
      </xdr:spPr>
    </xdr:pic>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552600</xdr:colOff>
      <xdr:row>1</xdr:row>
      <xdr:rowOff>162000</xdr:rowOff>
    </xdr:from>
    <xdr:to>
      <xdr:col>9</xdr:col>
      <xdr:colOff>523800</xdr:colOff>
      <xdr:row>71</xdr:row>
      <xdr:rowOff>180720</xdr:rowOff>
    </xdr:to>
    <xdr:sp>
      <xdr:nvSpPr>
        <xdr:cNvPr id="213" name="CustomShape 1" hidden="1"/>
        <xdr:cNvSpPr/>
      </xdr:nvSpPr>
      <xdr:spPr>
        <a:xfrm>
          <a:off x="2246040" y="523800"/>
          <a:ext cx="6542640" cy="137250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7.2.3  Turnover Service &amp; Body shop</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Potential Service &amp; Body shop hour’s consumption on DAF vehicles</a:t>
          </a:r>
          <a:endParaRPr b="0" lang="en-US" sz="800" spc="-1" strike="noStrike">
            <a:latin typeface="Times New Roman"/>
          </a:endParaRPr>
        </a:p>
        <a:p>
          <a:pPr>
            <a:lnSpc>
              <a:spcPct val="100000"/>
            </a:lnSpc>
          </a:pPr>
          <a:r>
            <a:rPr b="0" lang="en-US" sz="800" spc="-1" strike="noStrike">
              <a:solidFill>
                <a:srgbClr val="000000"/>
              </a:solidFill>
              <a:latin typeface="Trebuchet MS"/>
            </a:rPr>
            <a:t>Based on the mix of the park and the potential labour consumption per vehicle, the total labour potential for the dealer territory is calculated. Source of these consumption figures is the DAF Trucks After Sales Department in Eindhoven.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2.1 Total hours</a:t>
          </a:r>
          <a:endParaRPr b="0" lang="en-US" sz="800" spc="-1" strike="noStrike">
            <a:latin typeface="Times New Roman"/>
          </a:endParaRPr>
        </a:p>
        <a:p>
          <a:pPr>
            <a:lnSpc>
              <a:spcPct val="100000"/>
            </a:lnSpc>
          </a:pPr>
          <a:r>
            <a:rPr b="0" lang="en-US" sz="800" spc="-1" strike="noStrike">
              <a:solidFill>
                <a:srgbClr val="000000"/>
              </a:solidFill>
              <a:latin typeface="Trebuchet MS"/>
            </a:rPr>
            <a:t>The service retention is calculated as the relation between the number of hours on DAF vehicles and the potential labour consumption on DAF vehicles. The service retention of the basic year is used to forecast the service retention of the coming years.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Existing dealer: The service retention of the basic year is a result of the actual labour on DAF vehicles in the basic year and the potential labour consumption on DAF vehicles.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New dealer: The service retention of the basic year is a result of the estimated labour on DAF vehicles in the basic year and the potential labour consumption on DAF vehicles.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 Number of hours on DAF vehicles: DAF vehicles only. The pre-calculated numbers of hours can be overwritten. Please be aware that the formula will be erased! The number over hours calculated can be overwritten.</a:t>
          </a:r>
          <a:endParaRPr b="0" lang="en-US" sz="800" spc="-1" strike="noStrike">
            <a:latin typeface="Times New Roman"/>
          </a:endParaRPr>
        </a:p>
        <a:p>
          <a:pPr>
            <a:lnSpc>
              <a:spcPct val="100000"/>
            </a:lnSpc>
          </a:pPr>
          <a:r>
            <a:rPr b="0" lang="en-US" sz="800" spc="-1" strike="noStrike">
              <a:solidFill>
                <a:srgbClr val="000000"/>
              </a:solidFill>
              <a:latin typeface="Trebuchet MS"/>
            </a:rPr>
            <a:t>- Number of hours on other activities: other makes than DAF, used trucks, buses, trailers, bodies,…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Preparation new and used trucks (internal invoiced hours as of the total invoiced hours)</a:t>
          </a:r>
          <a:endParaRPr b="0" lang="en-US" sz="800" spc="-1" strike="noStrike">
            <a:latin typeface="Times New Roman"/>
          </a:endParaRPr>
        </a:p>
        <a:p>
          <a:pPr>
            <a:lnSpc>
              <a:spcPct val="100000"/>
            </a:lnSpc>
          </a:pPr>
          <a:r>
            <a:rPr b="0" lang="en-US" sz="800" spc="-1" strike="noStrike">
              <a:solidFill>
                <a:srgbClr val="000000"/>
              </a:solidFill>
              <a:latin typeface="Trebuchet MS"/>
            </a:rPr>
            <a:t>The labour spent by the dealer for the preparation of new and used vehicles.</a:t>
          </a:r>
          <a:endParaRPr b="0" lang="en-US" sz="800" spc="-1" strike="noStrike">
            <a:latin typeface="Times New Roman"/>
          </a:endParaRPr>
        </a:p>
        <a:p>
          <a:pPr>
            <a:lnSpc>
              <a:spcPct val="100000"/>
            </a:lnSpc>
          </a:pPr>
          <a:r>
            <a:rPr b="0" lang="en-US" sz="800" spc="-1" strike="noStrike">
              <a:solidFill>
                <a:srgbClr val="000000"/>
              </a:solidFill>
              <a:latin typeface="Trebuchet MS"/>
            </a:rPr>
            <a:t>This module is a part of the total hours in module [2.1 Total hours].  In case labour is sold by the workshop to the sales department, we talk about internal invoicing. This </a:t>
          </a:r>
          <a:r>
            <a:rPr b="0" lang="en-US" sz="900" spc="-1" strike="noStrike">
              <a:solidFill>
                <a:srgbClr val="000000"/>
              </a:solidFill>
              <a:latin typeface="Trebuchet MS"/>
            </a:rPr>
            <a:t>implies that work, which represents an internal turnover for the workshop is an internal cost for the sales department. The price paid by the sales department for these services is finally invoiced to the customer. In the philosophy of lean profit centers the turnover is registered two times:</a:t>
          </a:r>
          <a:endParaRPr b="0" lang="en-US" sz="900" spc="-1" strike="noStrike">
            <a:latin typeface="Times New Roman"/>
          </a:endParaRPr>
        </a:p>
        <a:p>
          <a:pPr>
            <a:lnSpc>
              <a:spcPct val="100000"/>
            </a:lnSpc>
          </a:pPr>
          <a:r>
            <a:rPr b="0" lang="en-US" sz="900" spc="-1" strike="noStrike">
              <a:solidFill>
                <a:srgbClr val="000000"/>
              </a:solidFill>
              <a:latin typeface="Trebuchet MS"/>
            </a:rPr>
            <a:t>once in the workshop</a:t>
          </a:r>
          <a:endParaRPr b="0" lang="en-US" sz="900" spc="-1" strike="noStrike">
            <a:latin typeface="Times New Roman"/>
          </a:endParaRPr>
        </a:p>
        <a:p>
          <a:pPr>
            <a:lnSpc>
              <a:spcPct val="100000"/>
            </a:lnSpc>
          </a:pPr>
          <a:r>
            <a:rPr b="0" lang="en-US" sz="900" spc="-1" strike="noStrike">
              <a:solidFill>
                <a:srgbClr val="000000"/>
              </a:solidFill>
              <a:latin typeface="Trebuchet MS"/>
            </a:rPr>
            <a:t>once in the sales department (as a part of the total invoice)</a:t>
          </a:r>
          <a:endParaRPr b="0" lang="en-US" sz="900" spc="-1" strike="noStrike">
            <a:latin typeface="Times New Roman"/>
          </a:endParaRPr>
        </a:p>
        <a:p>
          <a:pPr>
            <a:lnSpc>
              <a:spcPct val="100000"/>
            </a:lnSpc>
          </a:pPr>
          <a:endParaRPr b="0" lang="en-US" sz="900" spc="-1" strike="noStrike">
            <a:latin typeface="Times New Roman"/>
          </a:endParaRPr>
        </a:p>
        <a:p>
          <a:pPr>
            <a:lnSpc>
              <a:spcPct val="100000"/>
            </a:lnSpc>
          </a:pPr>
          <a:r>
            <a:rPr b="0" lang="en-US" sz="900" spc="-1" strike="noStrike">
              <a:solidFill>
                <a:srgbClr val="000000"/>
              </a:solidFill>
              <a:latin typeface="Trebuchet MS"/>
            </a:rPr>
            <a:t>From an accounting point of view, this turnover is only registered once in total turnover, namely in the profit center where external invoicing takes place.</a:t>
          </a:r>
          <a:endParaRPr b="0" lang="en-US" sz="900" spc="-1" strike="noStrike">
            <a:latin typeface="Times New Roman"/>
          </a:endParaRPr>
        </a:p>
        <a:p>
          <a:pPr>
            <a:lnSpc>
              <a:spcPct val="100000"/>
            </a:lnSpc>
          </a:pPr>
          <a:endParaRPr b="0" lang="en-US" sz="900" spc="-1" strike="noStrike">
            <a:latin typeface="Times New Roman"/>
          </a:endParaRPr>
        </a:p>
        <a:p>
          <a:pPr>
            <a:lnSpc>
              <a:spcPct val="100000"/>
            </a:lnSpc>
          </a:pPr>
          <a:r>
            <a:rPr b="0" lang="en-US" sz="900" spc="-1" strike="noStrike">
              <a:solidFill>
                <a:srgbClr val="000000"/>
              </a:solidFill>
              <a:latin typeface="Trebuchet MS"/>
            </a:rPr>
            <a:t>A distinction is made between the consumption per vehicle for:</a:t>
          </a:r>
          <a:endParaRPr b="0" lang="en-US" sz="900" spc="-1" strike="noStrike">
            <a:latin typeface="Times New Roman"/>
          </a:endParaRPr>
        </a:p>
        <a:p>
          <a:pPr>
            <a:lnSpc>
              <a:spcPct val="100000"/>
            </a:lnSpc>
          </a:pPr>
          <a:r>
            <a:rPr b="0" lang="en-US" sz="900" spc="-1" strike="noStrike">
              <a:solidFill>
                <a:srgbClr val="000000"/>
              </a:solidFill>
              <a:latin typeface="Trebuchet MS"/>
            </a:rPr>
            <a:t>new trucks: as a part of number of hours on DAF vehicles </a:t>
          </a:r>
          <a:endParaRPr b="0" lang="en-US" sz="900" spc="-1" strike="noStrike">
            <a:latin typeface="Times New Roman"/>
          </a:endParaRPr>
        </a:p>
        <a:p>
          <a:pPr>
            <a:lnSpc>
              <a:spcPct val="100000"/>
            </a:lnSpc>
          </a:pPr>
          <a:r>
            <a:rPr b="0" lang="en-US" sz="900" spc="-1" strike="noStrike">
              <a:solidFill>
                <a:srgbClr val="000000"/>
              </a:solidFill>
              <a:latin typeface="Trebuchet MS"/>
            </a:rPr>
            <a:t>used trucks: as a part of number of hours on other activities</a:t>
          </a:r>
          <a:endParaRPr b="0" lang="en-US" sz="900" spc="-1" strike="noStrike">
            <a:latin typeface="Times New Roman"/>
          </a:endParaRPr>
        </a:p>
        <a:p>
          <a:pPr>
            <a:lnSpc>
              <a:spcPct val="100000"/>
            </a:lnSpc>
          </a:pPr>
          <a:endParaRPr b="0" lang="en-US" sz="900" spc="-1" strike="noStrike">
            <a:latin typeface="Times New Roman"/>
          </a:endParaRPr>
        </a:p>
        <a:p>
          <a:pPr>
            <a:lnSpc>
              <a:spcPct val="100000"/>
            </a:lnSpc>
          </a:pPr>
          <a:r>
            <a:rPr b="1" lang="en-US" sz="900" spc="-1" strike="noStrike">
              <a:solidFill>
                <a:srgbClr val="000000"/>
              </a:solidFill>
              <a:latin typeface="Trebuchet MS"/>
            </a:rPr>
            <a:t>3. Total turnover hours</a:t>
          </a:r>
          <a:endParaRPr b="0" lang="en-US" sz="900" spc="-1" strike="noStrike">
            <a:latin typeface="Times New Roman"/>
          </a:endParaRPr>
        </a:p>
        <a:p>
          <a:pPr>
            <a:lnSpc>
              <a:spcPct val="100000"/>
            </a:lnSpc>
          </a:pPr>
          <a:r>
            <a:rPr b="0" lang="en-US" sz="900" spc="-1" strike="noStrike">
              <a:solidFill>
                <a:srgbClr val="000000"/>
              </a:solidFill>
              <a:latin typeface="Trebuchet MS"/>
            </a:rPr>
            <a:t>Definition of tariff (or labour rate): the weighted average tariff (day, evening, night, weekend,…) based on the tariff mentioned on the invoice to the customer.</a:t>
          </a:r>
          <a:endParaRPr b="0" lang="en-US" sz="900" spc="-1" strike="noStrike">
            <a:latin typeface="Times New Roman"/>
          </a:endParaRPr>
        </a:p>
        <a:p>
          <a:pPr>
            <a:lnSpc>
              <a:spcPct val="100000"/>
            </a:lnSpc>
          </a:pPr>
          <a:r>
            <a:rPr b="0" lang="en-US" sz="900" spc="-1" strike="noStrike">
              <a:solidFill>
                <a:srgbClr val="000000"/>
              </a:solidFill>
              <a:latin typeface="Trebuchet MS"/>
            </a:rPr>
            <a:t>     </a:t>
          </a:r>
          <a:endParaRPr b="0" lang="en-US" sz="900" spc="-1" strike="noStrike">
            <a:latin typeface="Times New Roman"/>
          </a:endParaRPr>
        </a:p>
        <a:p>
          <a:pPr>
            <a:lnSpc>
              <a:spcPct val="100000"/>
            </a:lnSpc>
          </a:pPr>
          <a:r>
            <a:rPr b="0" lang="en-US" sz="900" spc="-1" strike="noStrike">
              <a:solidFill>
                <a:srgbClr val="000000"/>
              </a:solidFill>
              <a:latin typeface="Trebuchet MS"/>
            </a:rPr>
            <a:t>A distinction is made between three tariffs (labour rates):</a:t>
          </a:r>
          <a:endParaRPr b="0" lang="en-US" sz="900" spc="-1" strike="noStrike">
            <a:latin typeface="Times New Roman"/>
          </a:endParaRPr>
        </a:p>
        <a:p>
          <a:pPr>
            <a:lnSpc>
              <a:spcPct val="100000"/>
            </a:lnSpc>
          </a:pPr>
          <a:r>
            <a:rPr b="0" lang="en-US" sz="900" spc="-1" strike="noStrike">
              <a:solidFill>
                <a:srgbClr val="000000"/>
              </a:solidFill>
              <a:latin typeface="Trebuchet MS"/>
            </a:rPr>
            <a:t>DAF service (external invoicing): on DAF vehicles only</a:t>
          </a:r>
          <a:endParaRPr b="0" lang="en-US" sz="900" spc="-1" strike="noStrike">
            <a:latin typeface="Times New Roman"/>
          </a:endParaRPr>
        </a:p>
        <a:p>
          <a:pPr>
            <a:lnSpc>
              <a:spcPct val="100000"/>
            </a:lnSpc>
          </a:pPr>
          <a:r>
            <a:rPr b="0" lang="en-US" sz="900" spc="-1" strike="noStrike">
              <a:solidFill>
                <a:srgbClr val="000000"/>
              </a:solidFill>
              <a:latin typeface="Trebuchet MS"/>
            </a:rPr>
            <a:t>Preparation trucks (internal invoicing): the preparation of new and used vehicles</a:t>
          </a:r>
          <a:endParaRPr b="0" lang="en-US" sz="900" spc="-1" strike="noStrike">
            <a:latin typeface="Times New Roman"/>
          </a:endParaRPr>
        </a:p>
        <a:p>
          <a:pPr>
            <a:lnSpc>
              <a:spcPct val="100000"/>
            </a:lnSpc>
          </a:pPr>
          <a:r>
            <a:rPr b="0" lang="en-US" sz="800" spc="-1" strike="noStrike">
              <a:solidFill>
                <a:srgbClr val="000000"/>
              </a:solidFill>
              <a:latin typeface="Trebuchet MS"/>
            </a:rPr>
            <a:t>Other activities: other truck makes, vans, trailers, etc.</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tariffs filled in the first year can be corrected with an annual price increase.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Outsourced workshop activities </a:t>
          </a:r>
          <a:endParaRPr b="0" lang="en-US" sz="800" spc="-1" strike="noStrike">
            <a:latin typeface="Times New Roman"/>
          </a:endParaRPr>
        </a:p>
        <a:p>
          <a:pPr>
            <a:lnSpc>
              <a:spcPct val="100000"/>
            </a:lnSpc>
          </a:pPr>
          <a:r>
            <a:rPr b="0" lang="en-US" sz="800" spc="-1" strike="noStrike">
              <a:solidFill>
                <a:srgbClr val="000000"/>
              </a:solidFill>
              <a:latin typeface="Trebuchet MS"/>
            </a:rPr>
            <a:t>All the work which cannot be done in your own dealership but is carried out by external companies and which is a service to your customer (sublet).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Next to the turnover on body &amp; paint (as an example and only if not done internally), the turnover of two more services can be filled in.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Required number of mechanics</a:t>
          </a:r>
          <a:endParaRPr b="0" lang="en-US" sz="800" spc="-1" strike="noStrike">
            <a:latin typeface="Times New Roman"/>
          </a:endParaRPr>
        </a:p>
        <a:p>
          <a:pPr>
            <a:lnSpc>
              <a:spcPct val="100000"/>
            </a:lnSpc>
          </a:pPr>
          <a:r>
            <a:rPr b="0" lang="en-US" sz="800" spc="-1" strike="noStrike">
              <a:solidFill>
                <a:srgbClr val="000000"/>
              </a:solidFill>
              <a:latin typeface="Trebuchet MS"/>
            </a:rPr>
            <a:t>Hours per mechanic: total yearly number of hours a mechanic is available for work</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Example :</a:t>
          </a:r>
          <a:endParaRPr b="0" lang="en-US" sz="800" spc="-1" strike="noStrike">
            <a:latin typeface="Times New Roman"/>
          </a:endParaRPr>
        </a:p>
        <a:p>
          <a:pPr>
            <a:lnSpc>
              <a:spcPct val="100000"/>
            </a:lnSpc>
          </a:pPr>
          <a:r>
            <a:rPr b="0" lang="en-US" sz="800" spc="-1" strike="noStrike">
              <a:solidFill>
                <a:srgbClr val="000000"/>
              </a:solidFill>
              <a:latin typeface="Trebuchet MS"/>
            </a:rPr>
            <a:t>Description Days Hours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Days per year + 365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Weekends  - 104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Holidays  -   20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Banking holidays  -   10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Illness  -     3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Training  -     5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Compensation overtime  -   10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Other  -     2 </a:t>
          </a:r>
          <a:endParaRPr b="0" lang="en-US" sz="800" spc="-1" strike="noStrike">
            <a:latin typeface="Times New Roman"/>
          </a:endParaRPr>
        </a:p>
        <a:p>
          <a:pPr>
            <a:lnSpc>
              <a:spcPct val="100000"/>
            </a:lnSpc>
          </a:pPr>
          <a:r>
            <a:rPr b="0" lang="en-US" sz="800" spc="-1" strike="noStrike">
              <a:solidFill>
                <a:srgbClr val="000000"/>
              </a:solidFill>
              <a:latin typeface="Trebuchet MS"/>
            </a:rPr>
            <a:t>Total available days = 211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Number of hours available per day  8</a:t>
          </a:r>
          <a:endParaRPr b="0" lang="en-US" sz="800" spc="-1" strike="noStrike">
            <a:latin typeface="Times New Roman"/>
          </a:endParaRPr>
        </a:p>
        <a:p>
          <a:pPr>
            <a:lnSpc>
              <a:spcPct val="100000"/>
            </a:lnSpc>
          </a:pPr>
          <a:r>
            <a:rPr b="0" lang="en-US" sz="800" spc="-1" strike="noStrike">
              <a:solidFill>
                <a:srgbClr val="000000"/>
              </a:solidFill>
              <a:latin typeface="Trebuchet MS"/>
            </a:rPr>
            <a:t>Available hours per mechanic  = 1688</a:t>
          </a:r>
          <a:endParaRPr b="0" lang="en-US" sz="800" spc="-1" strike="noStrike">
            <a:latin typeface="Times New Roman"/>
          </a:endParaRPr>
        </a:p>
        <a:p>
          <a:pPr>
            <a:lnSpc>
              <a:spcPct val="100000"/>
            </a:lnSpc>
          </a:pPr>
          <a:r>
            <a:rPr b="0" lang="en-US" sz="800" spc="-1" strike="noStrike">
              <a:solidFill>
                <a:srgbClr val="000000"/>
              </a:solidFill>
              <a:latin typeface="Trebuchet MS"/>
            </a:rPr>
            <a:t>  </a:t>
          </a:r>
          <a:endParaRPr b="0" lang="en-US" sz="800" spc="-1" strike="noStrike">
            <a:latin typeface="Times New Roman"/>
          </a:endParaRPr>
        </a:p>
        <a:p>
          <a:pPr>
            <a:lnSpc>
              <a:spcPct val="100000"/>
            </a:lnSpc>
          </a:pPr>
          <a:r>
            <a:rPr b="0" lang="en-US" sz="800" spc="-1" strike="noStrike">
              <a:solidFill>
                <a:srgbClr val="000000"/>
              </a:solidFill>
              <a:latin typeface="Trebuchet MS"/>
            </a:rPr>
            <a:t>Efficiency: the number of hours that can be invoiced in comparison with the number of hours really worked to complete a job.</a:t>
          </a:r>
          <a:endParaRPr b="0" lang="en-US" sz="800" spc="-1" strike="noStrike">
            <a:latin typeface="Times New Roman"/>
          </a:endParaRPr>
        </a:p>
        <a:p>
          <a:pPr>
            <a:lnSpc>
              <a:spcPct val="100000"/>
            </a:lnSpc>
          </a:pPr>
          <a:r>
            <a:rPr b="0" lang="en-US" sz="800" spc="-1" strike="noStrike">
              <a:solidFill>
                <a:srgbClr val="000000"/>
              </a:solidFill>
              <a:latin typeface="Trebuchet MS"/>
            </a:rPr>
            <a:t>Productivity: the number of turnover producing hours (invoiced hours) in relation to the available hours of the mechanics (number of hours paid).</a:t>
          </a:r>
          <a:endParaRPr b="0" lang="en-US" sz="800" spc="-1" strike="noStrike">
            <a:latin typeface="Times New Roman"/>
          </a:endParaRPr>
        </a:p>
        <a:p>
          <a:pPr>
            <a:lnSpc>
              <a:spcPct val="100000"/>
            </a:lnSpc>
          </a:pPr>
          <a:r>
            <a:rPr b="0" lang="en-US" sz="800" spc="-1" strike="noStrike">
              <a:solidFill>
                <a:srgbClr val="000000"/>
              </a:solidFill>
              <a:latin typeface="Trebuchet MS"/>
            </a:rPr>
            <a:t>Effectivity = Efficiency * Productivity (see example in 6.2)</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Based on the effectivity of the workshop the program calculates the number of productive hours per mechanic and gives a suggestion on the required number of DAF mechanics and mechanics other activities. The number of hours per mechanic is kept constant over time.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decision maker has to decide about the actual number of mechanics. 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Mechanics DAF</a:t>
          </a:r>
          <a:endParaRPr b="0" lang="en-US" sz="800" spc="-1" strike="noStrike">
            <a:latin typeface="Times New Roman"/>
          </a:endParaRPr>
        </a:p>
        <a:p>
          <a:pPr>
            <a:lnSpc>
              <a:spcPct val="100000"/>
            </a:lnSpc>
          </a:pPr>
          <a:r>
            <a:rPr b="0" lang="en-US" sz="800" spc="-1" strike="noStrike">
              <a:solidFill>
                <a:srgbClr val="000000"/>
              </a:solidFill>
              <a:latin typeface="Trebuchet MS"/>
            </a:rPr>
            <a:t>Mechanics other activities</a:t>
          </a:r>
          <a:endParaRPr b="0" lang="en-US" sz="800" spc="-1" strike="noStrike">
            <a:latin typeface="Times New Roman"/>
          </a:endParaRPr>
        </a:p>
        <a:p>
          <a:pPr>
            <a:lnSpc>
              <a:spcPct val="100000"/>
            </a:lnSpc>
          </a:pPr>
          <a:r>
            <a:rPr b="0" lang="en-US" sz="800" spc="-1" strike="noStrike">
              <a:solidFill>
                <a:srgbClr val="000000"/>
              </a:solidFill>
              <a:latin typeface="Trebuchet MS"/>
            </a:rPr>
            <a:t>Workshop managers</a:t>
          </a:r>
          <a:endParaRPr b="0" lang="en-US" sz="800" spc="-1" strike="noStrike">
            <a:latin typeface="Times New Roman"/>
          </a:endParaRPr>
        </a:p>
        <a:p>
          <a:pPr>
            <a:lnSpc>
              <a:spcPct val="100000"/>
            </a:lnSpc>
          </a:pPr>
          <a:r>
            <a:rPr b="0" lang="en-US" sz="800" spc="-1" strike="noStrike">
              <a:solidFill>
                <a:srgbClr val="000000"/>
              </a:solidFill>
              <a:latin typeface="Trebuchet MS"/>
            </a:rPr>
            <a:t>Administration and other workshop related personnel</a:t>
          </a:r>
          <a:endParaRPr b="0" lang="en-US" sz="800" spc="-1" strike="noStrike">
            <a:latin typeface="Times New Roman"/>
          </a:endParaRPr>
        </a:p>
        <a:p>
          <a:pPr>
            <a:lnSpc>
              <a:spcPct val="100000"/>
            </a:lnSpc>
          </a:pPr>
          <a:r>
            <a:rPr b="0" lang="en-US" sz="800" spc="-1" strike="noStrike">
              <a:solidFill>
                <a:srgbClr val="000000"/>
              </a:solidFill>
              <a:latin typeface="Trebuchet MS"/>
            </a:rPr>
            <a:t>The salaries &amp; wages (see further) are based on the decisions and not on the suggestion.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866880</xdr:colOff>
      <xdr:row>0</xdr:row>
      <xdr:rowOff>57240</xdr:rowOff>
    </xdr:from>
    <xdr:to>
      <xdr:col>2</xdr:col>
      <xdr:colOff>904680</xdr:colOff>
      <xdr:row>0</xdr:row>
      <xdr:rowOff>323640</xdr:rowOff>
    </xdr:to>
    <xdr:sp>
      <xdr:nvSpPr>
        <xdr:cNvPr id="214" name="CustomShape 1" hidden="1"/>
        <xdr:cNvSpPr/>
      </xdr:nvSpPr>
      <xdr:spPr>
        <a:xfrm>
          <a:off x="3477960" y="57240"/>
          <a:ext cx="37800" cy="266400"/>
        </a:xfrm>
        <a:prstGeom prst="rect">
          <a:avLst/>
        </a:prstGeom>
        <a:noFill/>
        <a:ln>
          <a:noFill/>
        </a:ln>
      </xdr:spPr>
      <xdr:style>
        <a:lnRef idx="0"/>
        <a:fillRef idx="0"/>
        <a:effectRef idx="0"/>
        <a:fontRef idx="minor"/>
      </xdr:style>
    </xdr:sp>
    <xdr:clientData/>
  </xdr:twoCellAnchor>
  <xdr:twoCellAnchor editAs="oneCell">
    <xdr:from>
      <xdr:col>2</xdr:col>
      <xdr:colOff>577800</xdr:colOff>
      <xdr:row>0</xdr:row>
      <xdr:rowOff>38160</xdr:rowOff>
    </xdr:from>
    <xdr:to>
      <xdr:col>2</xdr:col>
      <xdr:colOff>850320</xdr:colOff>
      <xdr:row>0</xdr:row>
      <xdr:rowOff>215640</xdr:rowOff>
    </xdr:to>
    <xdr:pic>
      <xdr:nvPicPr>
        <xdr:cNvPr id="215" name="CommandButton1" descr=""/>
        <xdr:cNvPicPr/>
      </xdr:nvPicPr>
      <xdr:blipFill>
        <a:blip r:embed="rId1"/>
        <a:stretch/>
      </xdr:blipFill>
      <xdr:spPr>
        <a:xfrm>
          <a:off x="3188880" y="38160"/>
          <a:ext cx="272520" cy="177480"/>
        </a:xfrm>
        <a:prstGeom prst="rect">
          <a:avLst/>
        </a:prstGeom>
        <a:ln>
          <a:noFill/>
        </a:ln>
      </xdr:spPr>
    </xdr:pic>
    <xdr:clientData/>
  </xdr:twoCellAnchor>
</xdr:wsDr>
</file>

<file path=xl/drawings/drawing4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849600</xdr:colOff>
      <xdr:row>4</xdr:row>
      <xdr:rowOff>9720</xdr:rowOff>
    </xdr:from>
    <xdr:to>
      <xdr:col>11</xdr:col>
      <xdr:colOff>100440</xdr:colOff>
      <xdr:row>75</xdr:row>
      <xdr:rowOff>190440</xdr:rowOff>
    </xdr:to>
    <xdr:sp>
      <xdr:nvSpPr>
        <xdr:cNvPr id="216" name="CustomShape 1" hidden="1"/>
        <xdr:cNvSpPr/>
      </xdr:nvSpPr>
      <xdr:spPr>
        <a:xfrm>
          <a:off x="5416200" y="981000"/>
          <a:ext cx="6214320" cy="139107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7.3 Cost of Sales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Vehicles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1.1 New: Gross margin per vehicle &amp; average purchase cost per vehicle excluding accessories &amp; bodies mounted by dealer</a:t>
          </a:r>
          <a:endParaRPr b="0" lang="en-US" sz="800" spc="-1" strike="noStrike">
            <a:latin typeface="Times New Roman"/>
          </a:endParaRPr>
        </a:p>
        <a:p>
          <a:pPr>
            <a:lnSpc>
              <a:spcPct val="100000"/>
            </a:lnSpc>
          </a:pPr>
          <a:r>
            <a:rPr b="0" lang="en-US" sz="800" spc="-1" strike="noStrike">
              <a:solidFill>
                <a:srgbClr val="000000"/>
              </a:solidFill>
              <a:latin typeface="Trebuchet MS"/>
            </a:rPr>
            <a:t>The gross margin is taken as a percentage of the turnover including the accessories and can be changed yearly. As soon as the margin for the first year is filled in, it is copied to the other as well but may be overwritten if applicable.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Definition cost of sales new trucks: average purchase price per truck per series (45, …, 105), as mentioned on the invoice of the supplier.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Items not included are: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accessories mounted by dealer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labour to mount accessories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body &amp; paint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Items included are: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accessories mounted ex factory</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transportation costs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sales allowance and/or special actions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Only the average gross margin per series has to be entered. The formula to calculate the purchase costs of a vehicle is: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Turnover -/- margin -/- accessories mounted by the dealer -/- labour hours to mount the accessories</a:t>
          </a:r>
          <a:endParaRPr b="0" lang="en-US" sz="800" spc="-1" strike="noStrike">
            <a:latin typeface="Times New Roman"/>
          </a:endParaRPr>
        </a:p>
        <a:p>
          <a:pPr>
            <a:lnSpc>
              <a:spcPct val="100000"/>
            </a:lnSpc>
          </a:pPr>
          <a:r>
            <a:rPr b="0" lang="en-US" sz="800" spc="-1" strike="noStrike">
              <a:solidFill>
                <a:srgbClr val="000000"/>
              </a:solidFill>
              <a:latin typeface="Trebuchet MS"/>
            </a:rPr>
            <a:t>Example: </a:t>
          </a:r>
          <a:endParaRPr b="0" lang="en-US" sz="800" spc="-1" strike="noStrike">
            <a:latin typeface="Times New Roman"/>
          </a:endParaRPr>
        </a:p>
        <a:p>
          <a:pPr>
            <a:lnSpc>
              <a:spcPct val="100000"/>
            </a:lnSpc>
          </a:pPr>
          <a:r>
            <a:rPr b="0" lang="en-US" sz="800" spc="-1" strike="noStrike">
              <a:solidFill>
                <a:srgbClr val="000000"/>
              </a:solidFill>
              <a:latin typeface="Trebuchet MS"/>
            </a:rPr>
            <a:t>Turnover   125</a:t>
          </a:r>
          <a:endParaRPr b="0" lang="en-US" sz="800" spc="-1" strike="noStrike">
            <a:latin typeface="Times New Roman"/>
          </a:endParaRPr>
        </a:p>
        <a:p>
          <a:pPr>
            <a:lnSpc>
              <a:spcPct val="100000"/>
            </a:lnSpc>
          </a:pPr>
          <a:r>
            <a:rPr b="0" lang="en-US" sz="800" spc="-1" strike="noStrike">
              <a:solidFill>
                <a:srgbClr val="000000"/>
              </a:solidFill>
              <a:latin typeface="Trebuchet MS"/>
            </a:rPr>
            <a:t>-/- margin 4%      5</a:t>
          </a:r>
          <a:endParaRPr b="0" lang="en-US" sz="800" spc="-1" strike="noStrike">
            <a:latin typeface="Times New Roman"/>
          </a:endParaRPr>
        </a:p>
        <a:p>
          <a:pPr>
            <a:lnSpc>
              <a:spcPct val="100000"/>
            </a:lnSpc>
          </a:pPr>
          <a:r>
            <a:rPr b="0" lang="en-US" sz="800" spc="-1" strike="noStrike">
              <a:solidFill>
                <a:srgbClr val="000000"/>
              </a:solidFill>
              <a:latin typeface="Trebuchet MS"/>
            </a:rPr>
            <a:t>-/- accessories    10</a:t>
          </a:r>
          <a:endParaRPr b="0" lang="en-US" sz="800" spc="-1" strike="noStrike">
            <a:latin typeface="Times New Roman"/>
          </a:endParaRPr>
        </a:p>
        <a:p>
          <a:pPr>
            <a:lnSpc>
              <a:spcPct val="100000"/>
            </a:lnSpc>
          </a:pPr>
          <a:r>
            <a:rPr b="0" lang="en-US" sz="800" spc="-1" strike="noStrike">
              <a:solidFill>
                <a:srgbClr val="000000"/>
              </a:solidFill>
              <a:latin typeface="Trebuchet MS"/>
            </a:rPr>
            <a:t>-/- hours    10</a:t>
          </a:r>
          <a:endParaRPr b="0" lang="en-US" sz="800" spc="-1" strike="noStrike">
            <a:latin typeface="Times New Roman"/>
          </a:endParaRPr>
        </a:p>
        <a:p>
          <a:pPr>
            <a:lnSpc>
              <a:spcPct val="100000"/>
            </a:lnSpc>
          </a:pPr>
          <a:r>
            <a:rPr b="0" lang="en-US" sz="800" spc="-1" strike="noStrike">
              <a:solidFill>
                <a:srgbClr val="000000"/>
              </a:solidFill>
              <a:latin typeface="Trebuchet MS"/>
            </a:rPr>
            <a:t>Purchase costs  100</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costs for accessories and hours are taken against the internal purchase value.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retail and fleet margins and purchase costs.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1.2 Used: Gross margin &amp; average purchase cost per vehicle</a:t>
          </a:r>
          <a:endParaRPr b="0" lang="en-US" sz="800" spc="-1" strike="noStrike">
            <a:latin typeface="Times New Roman"/>
          </a:endParaRPr>
        </a:p>
        <a:p>
          <a:pPr>
            <a:lnSpc>
              <a:spcPct val="100000"/>
            </a:lnSpc>
          </a:pPr>
          <a:r>
            <a:rPr b="0" lang="en-US" sz="800" spc="-1" strike="noStrike">
              <a:solidFill>
                <a:srgbClr val="000000"/>
              </a:solidFill>
              <a:latin typeface="Trebuchet MS"/>
            </a:rPr>
            <a:t>Based on: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the average turnover per used vehicle (including body)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the yearly gross margin which has to be entered here (copied from the first year, but may be overwritten)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the parts mounted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and the hours used for mounting</a:t>
          </a:r>
          <a:endParaRPr b="0" lang="en-US" sz="800" spc="-1" strike="noStrike">
            <a:latin typeface="Times New Roman"/>
          </a:endParaRPr>
        </a:p>
        <a:p>
          <a:pPr>
            <a:lnSpc>
              <a:spcPct val="100000"/>
            </a:lnSpc>
          </a:pPr>
          <a:r>
            <a:rPr b="0" lang="en-US" sz="800" spc="-1" strike="noStrike">
              <a:solidFill>
                <a:srgbClr val="000000"/>
              </a:solidFill>
              <a:latin typeface="Trebuchet MS"/>
            </a:rPr>
            <a:t>the average cost of sales is calculated.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1.3 Other: Gross margin &amp; purchase costs</a:t>
          </a:r>
          <a:endParaRPr b="0" lang="en-US" sz="800" spc="-1" strike="noStrike">
            <a:latin typeface="Times New Roman"/>
          </a:endParaRPr>
        </a:p>
        <a:p>
          <a:pPr>
            <a:lnSpc>
              <a:spcPct val="100000"/>
            </a:lnSpc>
          </a:pPr>
          <a:r>
            <a:rPr b="0" lang="en-US" sz="800" spc="-1" strike="noStrike">
              <a:solidFill>
                <a:srgbClr val="000000"/>
              </a:solidFill>
              <a:latin typeface="Trebuchet MS"/>
            </a:rPr>
            <a:t>When other products than trucks are sold, then enter the average gross margin per product per year. The cost of sale is calculated as a total and not per vehicle. The other products entered on sheet 7.2 are automatically printed here.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1.4 Total cost of sales</a:t>
          </a:r>
          <a:endParaRPr b="0" lang="en-US" sz="800" spc="-1" strike="noStrike">
            <a:latin typeface="Times New Roman"/>
          </a:endParaRPr>
        </a:p>
        <a:p>
          <a:pPr>
            <a:lnSpc>
              <a:spcPct val="100000"/>
            </a:lnSpc>
          </a:pPr>
          <a:r>
            <a:rPr b="0" lang="en-US" sz="800" spc="-1" strike="noStrike">
              <a:solidFill>
                <a:srgbClr val="000000"/>
              </a:solidFill>
              <a:latin typeface="Trebuchet MS"/>
            </a:rPr>
            <a:t>The total cost of sales is calculated per product type. All fields are calculation fields.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1.5 Annual bonus, DAF and other activities</a:t>
          </a:r>
          <a:endParaRPr b="0" lang="en-US" sz="800" spc="-1" strike="noStrike">
            <a:latin typeface="Times New Roman"/>
          </a:endParaRPr>
        </a:p>
        <a:p>
          <a:pPr>
            <a:lnSpc>
              <a:spcPct val="100000"/>
            </a:lnSpc>
          </a:pPr>
          <a:r>
            <a:rPr b="0" lang="en-US" sz="800" spc="-1" strike="noStrike">
              <a:solidFill>
                <a:srgbClr val="000000"/>
              </a:solidFill>
              <a:latin typeface="Trebuchet MS"/>
            </a:rPr>
            <a:t>Bonus paid by supplier when target is achieved (if applicable). The bonus percentage may differ per year.</a:t>
          </a: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retail DAF and other activities. The assumption is made that there is no bonus on fleet sales.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Parts</a:t>
          </a:r>
          <a:endParaRPr b="0" lang="en-US" sz="800" spc="-1" strike="noStrike">
            <a:latin typeface="Times New Roman"/>
          </a:endParaRPr>
        </a:p>
        <a:p>
          <a:pPr>
            <a:lnSpc>
              <a:spcPct val="100000"/>
            </a:lnSpc>
          </a:pPr>
          <a:r>
            <a:rPr b="1" lang="en-US" sz="800" spc="-1" strike="noStrike">
              <a:solidFill>
                <a:srgbClr val="000000"/>
              </a:solidFill>
              <a:latin typeface="Trebuchet MS"/>
            </a:rPr>
            <a:t>2.1 Gross margin (after discount given to the customer) and purchase costs parts (excluding bonuses)</a:t>
          </a:r>
          <a:endParaRPr b="0" lang="en-US" sz="800" spc="-1" strike="noStrike">
            <a:latin typeface="Times New Roman"/>
          </a:endParaRPr>
        </a:p>
        <a:p>
          <a:pPr>
            <a:lnSpc>
              <a:spcPct val="100000"/>
            </a:lnSpc>
          </a:pPr>
          <a:r>
            <a:rPr b="1" lang="en-US" sz="800" spc="-1" strike="noStrike">
              <a:solidFill>
                <a:srgbClr val="000000"/>
              </a:solidFill>
              <a:latin typeface="Trebuchet MS"/>
            </a:rPr>
            <a:t>Gross margin = turnover parts -/- purchase costs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average gross margin percentage per product group is the only variable to be entered. Based upon the total parts turnover [7.2.2 Total parts turnover (after discount)] and the average gross margin, the cost of sales is calculated.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a:t>
          </a:r>
          <a:endParaRPr b="0" lang="en-US" sz="800" spc="-1" strike="noStrike">
            <a:latin typeface="Times New Roman"/>
          </a:endParaRPr>
        </a:p>
        <a:p>
          <a:pPr>
            <a:lnSpc>
              <a:spcPct val="100000"/>
            </a:lnSpc>
          </a:pPr>
          <a:r>
            <a:rPr b="0" lang="en-US" sz="800" spc="-1" strike="noStrike">
              <a:solidFill>
                <a:srgbClr val="000000"/>
              </a:solidFill>
              <a:latin typeface="Trebuchet MS"/>
            </a:rPr>
            <a:t>Workshop DAF   : parts mounted on DAF trucks only </a:t>
          </a:r>
          <a:endParaRPr b="0" lang="en-US" sz="800" spc="-1" strike="noStrike">
            <a:latin typeface="Times New Roman"/>
          </a:endParaRPr>
        </a:p>
        <a:p>
          <a:pPr>
            <a:lnSpc>
              <a:spcPct val="100000"/>
            </a:lnSpc>
          </a:pPr>
          <a:r>
            <a:rPr b="0" lang="en-US" sz="800" spc="-1" strike="noStrike">
              <a:solidFill>
                <a:srgbClr val="000000"/>
              </a:solidFill>
              <a:latin typeface="Trebuchet MS"/>
            </a:rPr>
            <a:t>Workshop other activities : other makes than DAF, used trucks, buses, trailers, bodies,…</a:t>
          </a:r>
          <a:endParaRPr b="0" lang="en-US" sz="800" spc="-1" strike="noStrike">
            <a:latin typeface="Times New Roman"/>
          </a:endParaRPr>
        </a:p>
        <a:p>
          <a:pPr>
            <a:lnSpc>
              <a:spcPct val="100000"/>
            </a:lnSpc>
          </a:pPr>
          <a:r>
            <a:rPr b="0" lang="en-US" sz="800" spc="-1" strike="noStrike">
              <a:solidFill>
                <a:srgbClr val="000000"/>
              </a:solidFill>
              <a:latin typeface="Trebuchet MS"/>
            </a:rPr>
            <a:t>Preparation new  : accessories/parts on mounted on new DAF trucks. Based on the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philosophy of a lean profit center approach, the margin is taken in the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department instead of the sales department.</a:t>
          </a:r>
          <a:endParaRPr b="0" lang="en-US" sz="800" spc="-1" strike="noStrike">
            <a:latin typeface="Times New Roman"/>
          </a:endParaRPr>
        </a:p>
        <a:p>
          <a:pPr>
            <a:lnSpc>
              <a:spcPct val="100000"/>
            </a:lnSpc>
          </a:pPr>
          <a:r>
            <a:rPr b="0" lang="en-US" sz="800" spc="-1" strike="noStrike">
              <a:solidFill>
                <a:srgbClr val="000000"/>
              </a:solidFill>
              <a:latin typeface="Trebuchet MS"/>
            </a:rPr>
            <a:t>Preparation used  : accessories/parts on mounted on used trucks. Based on the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philosophy of a lean profit center approach, the margin is taken in the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parts department instead of the sales department.</a:t>
          </a:r>
          <a:endParaRPr b="0" lang="en-US" sz="800" spc="-1" strike="noStrike">
            <a:latin typeface="Times New Roman"/>
          </a:endParaRPr>
        </a:p>
        <a:p>
          <a:pPr>
            <a:lnSpc>
              <a:spcPct val="100000"/>
            </a:lnSpc>
          </a:pPr>
          <a:r>
            <a:rPr b="0" lang="en-US" sz="800" spc="-1" strike="noStrike">
              <a:solidFill>
                <a:srgbClr val="000000"/>
              </a:solidFill>
              <a:latin typeface="Trebuchet MS"/>
            </a:rPr>
            <a:t>Counter DAF   : DAF parts sold over the counter</a:t>
          </a:r>
          <a:endParaRPr b="0" lang="en-US" sz="800" spc="-1" strike="noStrike">
            <a:latin typeface="Times New Roman"/>
          </a:endParaRPr>
        </a:p>
        <a:p>
          <a:pPr>
            <a:lnSpc>
              <a:spcPct val="100000"/>
            </a:lnSpc>
          </a:pPr>
          <a:r>
            <a:rPr b="0" lang="en-US" sz="800" spc="-1" strike="noStrike">
              <a:solidFill>
                <a:srgbClr val="000000"/>
              </a:solidFill>
              <a:latin typeface="Trebuchet MS"/>
            </a:rPr>
            <a:t>Counter other activities  : other than DAF parts sold over the counter</a:t>
          </a:r>
          <a:endParaRPr b="0" lang="en-US" sz="800" spc="-1" strike="noStrike">
            <a:latin typeface="Times New Roman"/>
          </a:endParaRPr>
        </a:p>
        <a:p>
          <a:pPr>
            <a:lnSpc>
              <a:spcPct val="100000"/>
            </a:lnSpc>
          </a:pPr>
          <a:r>
            <a:rPr b="0" lang="en-US" sz="800" spc="-1" strike="noStrike">
              <a:solidFill>
                <a:srgbClr val="000000"/>
              </a:solidFill>
              <a:latin typeface="Trebuchet MS"/>
            </a:rPr>
            <a:t>Tyres    : average margin on tyres</a:t>
          </a:r>
          <a:endParaRPr b="0" lang="en-US" sz="800" spc="-1" strike="noStrike">
            <a:latin typeface="Times New Roman"/>
          </a:endParaRPr>
        </a:p>
        <a:p>
          <a:pPr>
            <a:lnSpc>
              <a:spcPct val="100000"/>
            </a:lnSpc>
          </a:pPr>
          <a:r>
            <a:rPr b="0" lang="en-US" sz="800" spc="-1" strike="noStrike">
              <a:solidFill>
                <a:srgbClr val="000000"/>
              </a:solidFill>
              <a:latin typeface="Trebuchet MS"/>
            </a:rPr>
            <a:t>Oil &amp; lubricants   : average margin on all kinds of oil and lubricants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Annual bonus DAF and other activities</a:t>
          </a:r>
          <a:endParaRPr b="0" lang="en-US" sz="800" spc="-1" strike="noStrike">
            <a:latin typeface="Times New Roman"/>
          </a:endParaRPr>
        </a:p>
        <a:p>
          <a:pPr>
            <a:lnSpc>
              <a:spcPct val="100000"/>
            </a:lnSpc>
          </a:pPr>
          <a:r>
            <a:rPr b="0" lang="en-US" sz="800" spc="-1" strike="noStrike">
              <a:solidFill>
                <a:srgbClr val="000000"/>
              </a:solidFill>
              <a:latin typeface="Trebuchet MS"/>
            </a:rPr>
            <a:t>Bonus paid by supplier when target is achieved.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Since the bonus payment is uncertain, the decision maker should be careful to estimate the height of the bonus (prudence principle).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stock order percentage only applies to the DAF bonus.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 DAF parts (all parts supplied by DAF) and parts for other activities (parts supplied by other manufacturers).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Outsourced Service &amp; Bodyshop activities</a:t>
          </a:r>
          <a:endParaRPr b="0" lang="en-US" sz="800" spc="-1" strike="noStrike">
            <a:latin typeface="Times New Roman"/>
          </a:endParaRPr>
        </a:p>
        <a:p>
          <a:pPr>
            <a:lnSpc>
              <a:spcPct val="100000"/>
            </a:lnSpc>
          </a:pPr>
          <a:r>
            <a:rPr b="0" lang="en-US" sz="800" spc="-1" strike="noStrike">
              <a:solidFill>
                <a:srgbClr val="000000"/>
              </a:solidFill>
              <a:latin typeface="Trebuchet MS"/>
            </a:rPr>
            <a:t>All the work which cannot be done in your own dealership but is carried out by external companies and which is a service to your customer. The cost of sales is based on the turnover entered in sheet 7.2.3 and the average gross margin to be filled in here.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Total cost of sales</a:t>
          </a:r>
          <a:endParaRPr b="0" lang="en-US" sz="800" spc="-1" strike="noStrike">
            <a:latin typeface="Times New Roman"/>
          </a:endParaRPr>
        </a:p>
        <a:p>
          <a:pPr>
            <a:lnSpc>
              <a:spcPct val="100000"/>
            </a:lnSpc>
          </a:pPr>
          <a:r>
            <a:rPr b="0" lang="en-US" sz="800" spc="-1" strike="noStrike">
              <a:solidFill>
                <a:srgbClr val="000000"/>
              </a:solidFill>
              <a:latin typeface="Trebuchet MS"/>
            </a:rPr>
            <a:t>Summary of cost of sales.</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763560</xdr:colOff>
      <xdr:row>0</xdr:row>
      <xdr:rowOff>31680</xdr:rowOff>
    </xdr:from>
    <xdr:to>
      <xdr:col>2</xdr:col>
      <xdr:colOff>978120</xdr:colOff>
      <xdr:row>0</xdr:row>
      <xdr:rowOff>183600</xdr:rowOff>
    </xdr:to>
    <xdr:pic>
      <xdr:nvPicPr>
        <xdr:cNvPr id="217" name="CommandButton1" descr=""/>
        <xdr:cNvPicPr/>
      </xdr:nvPicPr>
      <xdr:blipFill>
        <a:blip r:embed="rId1"/>
        <a:stretch/>
      </xdr:blipFill>
      <xdr:spPr>
        <a:xfrm>
          <a:off x="3364200" y="31680"/>
          <a:ext cx="214560" cy="151920"/>
        </a:xfrm>
        <a:prstGeom prst="rect">
          <a:avLst/>
        </a:prstGeom>
        <a:ln>
          <a:noFill/>
        </a:ln>
      </xdr:spPr>
    </xdr:pic>
    <xdr:clientData/>
  </xdr:twoCellAnchor>
</xdr:wsDr>
</file>

<file path=xl/drawings/drawing42.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66600</xdr:colOff>
      <xdr:row>6</xdr:row>
      <xdr:rowOff>85680</xdr:rowOff>
    </xdr:from>
    <xdr:to>
      <xdr:col>10</xdr:col>
      <xdr:colOff>694800</xdr:colOff>
      <xdr:row>57</xdr:row>
      <xdr:rowOff>18720</xdr:rowOff>
    </xdr:to>
    <xdr:sp>
      <xdr:nvSpPr>
        <xdr:cNvPr id="218" name="CustomShape 1" hidden="1"/>
        <xdr:cNvSpPr/>
      </xdr:nvSpPr>
      <xdr:spPr>
        <a:xfrm>
          <a:off x="4732920" y="1485720"/>
          <a:ext cx="5850000" cy="99342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7.4.1 Salaries &amp; Wages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1. Number of personnel (headcount)</a:t>
          </a:r>
          <a:endParaRPr b="0" lang="en-US" sz="800" spc="-1" strike="noStrike">
            <a:latin typeface="Times New Roman"/>
          </a:endParaRPr>
        </a:p>
        <a:p>
          <a:pPr>
            <a:lnSpc>
              <a:spcPct val="100000"/>
            </a:lnSpc>
          </a:pPr>
          <a:r>
            <a:rPr b="0" lang="en-US" sz="800" spc="-1" strike="noStrike">
              <a:solidFill>
                <a:srgbClr val="000000"/>
              </a:solidFill>
              <a:latin typeface="Trebuchet MS"/>
            </a:rPr>
            <a:t>This module is a summary of all the decision made on personnel. Since not all categories of personnel where included in the previous pages, a decision has to be made on:</a:t>
          </a:r>
          <a:endParaRPr b="0" lang="en-US" sz="800" spc="-1" strike="noStrike">
            <a:latin typeface="Times New Roman"/>
          </a:endParaRPr>
        </a:p>
        <a:p>
          <a:pPr>
            <a:lnSpc>
              <a:spcPct val="100000"/>
            </a:lnSpc>
          </a:pPr>
          <a:r>
            <a:rPr b="0" lang="en-US" sz="800" spc="-1" strike="noStrike">
              <a:solidFill>
                <a:srgbClr val="000000"/>
              </a:solidFill>
              <a:latin typeface="Trebuchet MS"/>
            </a:rPr>
            <a:t>Dealer principal : usually one person (except for family businesses or a business with several partners)</a:t>
          </a:r>
          <a:endParaRPr b="0" lang="en-US" sz="800" spc="-1" strike="noStrike">
            <a:latin typeface="Times New Roman"/>
          </a:endParaRPr>
        </a:p>
        <a:p>
          <a:pPr>
            <a:lnSpc>
              <a:spcPct val="100000"/>
            </a:lnSpc>
          </a:pPr>
          <a:r>
            <a:rPr b="0" lang="en-US" sz="800" spc="-1" strike="noStrike">
              <a:solidFill>
                <a:srgbClr val="000000"/>
              </a:solidFill>
              <a:latin typeface="Trebuchet MS"/>
            </a:rPr>
            <a:t>Controller   : usually one person</a:t>
          </a:r>
          <a:endParaRPr b="0" lang="en-US" sz="800" spc="-1" strike="noStrike">
            <a:latin typeface="Times New Roman"/>
          </a:endParaRPr>
        </a:p>
        <a:p>
          <a:pPr>
            <a:lnSpc>
              <a:spcPct val="100000"/>
            </a:lnSpc>
          </a:pPr>
          <a:r>
            <a:rPr b="0" lang="en-US" sz="800" spc="-1" strike="noStrike">
              <a:solidFill>
                <a:srgbClr val="000000"/>
              </a:solidFill>
              <a:latin typeface="Trebuchet MS"/>
            </a:rPr>
            <a:t>General &amp; administration  : secretaries, bookkeepers, IT employees, sales support employees etc.</a:t>
          </a:r>
          <a:endParaRPr b="0" lang="en-US" sz="800" spc="-1" strike="noStrike">
            <a:latin typeface="Times New Roman"/>
          </a:endParaRPr>
        </a:p>
        <a:p>
          <a:pPr>
            <a:lnSpc>
              <a:spcPct val="100000"/>
            </a:lnSpc>
          </a:pPr>
          <a:r>
            <a:rPr b="0" lang="en-US" sz="800" spc="-1" strike="noStrike">
              <a:solidFill>
                <a:srgbClr val="000000"/>
              </a:solidFill>
              <a:latin typeface="Trebuchet MS"/>
            </a:rPr>
            <a:t>After sales manager   : responsible for parts &amp; service and/or after sales development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To avoid double counting, a person can only have one full time job. Example: the owner of the business is both dealer principal and sales manager: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Function Time to spend Possibility 1 Possibility 2</a:t>
          </a:r>
          <a:endParaRPr b="0" lang="en-US" sz="800" spc="-1" strike="noStrike">
            <a:latin typeface="Times New Roman"/>
          </a:endParaRPr>
        </a:p>
        <a:p>
          <a:pPr>
            <a:lnSpc>
              <a:spcPct val="100000"/>
            </a:lnSpc>
          </a:pPr>
          <a:r>
            <a:rPr b="0" lang="en-US" sz="800" spc="-1" strike="noStrike">
              <a:solidFill>
                <a:srgbClr val="000000"/>
              </a:solidFill>
              <a:latin typeface="Trebuchet MS"/>
            </a:rPr>
            <a:t>Dealer principal 50% 0,5 1</a:t>
          </a:r>
          <a:endParaRPr b="0" lang="en-US" sz="800" spc="-1" strike="noStrike">
            <a:latin typeface="Times New Roman"/>
          </a:endParaRPr>
        </a:p>
        <a:p>
          <a:pPr>
            <a:lnSpc>
              <a:spcPct val="100000"/>
            </a:lnSpc>
          </a:pPr>
          <a:r>
            <a:rPr b="0" lang="en-US" sz="800" spc="-1" strike="noStrike">
              <a:solidFill>
                <a:srgbClr val="000000"/>
              </a:solidFill>
              <a:latin typeface="Trebuchet MS"/>
            </a:rPr>
            <a:t>Sales manager 50% 0,5 0</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100% 1 1</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For the first 4 categories, the number of people filled in the first year is kept constant over the whole business plan. However, the fields for the next 4 years may be overwritten in case the number of people of a certain category does not correspond with the first year any more.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Annual salaries &amp; wages</a:t>
          </a:r>
          <a:endParaRPr b="0" lang="en-US" sz="800" spc="-1" strike="noStrike">
            <a:latin typeface="Times New Roman"/>
          </a:endParaRPr>
        </a:p>
        <a:p>
          <a:pPr>
            <a:lnSpc>
              <a:spcPct val="100000"/>
            </a:lnSpc>
          </a:pPr>
          <a:r>
            <a:rPr b="0" lang="en-US" sz="800" spc="-1" strike="noStrike">
              <a:solidFill>
                <a:srgbClr val="000000"/>
              </a:solidFill>
              <a:latin typeface="Trebuchet MS"/>
            </a:rPr>
            <a:t>Annual indexation: The salaries &amp; wages filled in the first year are cumulatively corrected with the percentage per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Per personnel category the following information is required:</a:t>
          </a:r>
          <a:endParaRPr b="0" lang="en-US" sz="800" spc="-1" strike="noStrike">
            <a:latin typeface="Times New Roman"/>
          </a:endParaRPr>
        </a:p>
        <a:p>
          <a:pPr>
            <a:lnSpc>
              <a:spcPct val="100000"/>
            </a:lnSpc>
          </a:pPr>
          <a:r>
            <a:rPr b="0" lang="en-US" sz="800" spc="-1" strike="noStrike">
              <a:solidFill>
                <a:srgbClr val="000000"/>
              </a:solidFill>
              <a:latin typeface="Trebuchet MS"/>
            </a:rPr>
            <a:t>1. </a:t>
          </a:r>
          <a:r>
            <a:rPr b="1" lang="en-US" sz="800" spc="-1" strike="noStrike">
              <a:solidFill>
                <a:srgbClr val="000000"/>
              </a:solidFill>
              <a:latin typeface="Trebuchet MS"/>
            </a:rPr>
            <a:t>Average gross salary</a:t>
          </a:r>
          <a:r>
            <a:rPr b="0" lang="en-US" sz="800" spc="-1" strike="noStrike">
              <a:solidFill>
                <a:srgbClr val="000000"/>
              </a:solidFill>
              <a:latin typeface="Trebuchet MS"/>
            </a:rPr>
            <a:t>: average salary in case there is more than one person in a particular function, gross salary means all kinds of salary, paid on a yearly basis, on which the employer has to pay social taxes.</a:t>
          </a:r>
          <a:endParaRPr b="0" lang="en-US" sz="800" spc="-1" strike="noStrike">
            <a:latin typeface="Times New Roman"/>
          </a:endParaRPr>
        </a:p>
        <a:p>
          <a:pPr>
            <a:lnSpc>
              <a:spcPct val="100000"/>
            </a:lnSpc>
          </a:pPr>
          <a:r>
            <a:rPr b="0" lang="en-US" sz="800" spc="-1" strike="noStrike">
              <a:solidFill>
                <a:srgbClr val="000000"/>
              </a:solidFill>
              <a:latin typeface="Trebuchet MS"/>
            </a:rPr>
            <a:t>2. </a:t>
          </a:r>
          <a:r>
            <a:rPr b="1" lang="en-US" sz="800" spc="-1" strike="noStrike">
              <a:solidFill>
                <a:srgbClr val="000000"/>
              </a:solidFill>
              <a:latin typeface="Trebuchet MS"/>
            </a:rPr>
            <a:t>Social security and taxes employer</a:t>
          </a:r>
          <a:r>
            <a:rPr b="0" lang="en-US" sz="800" spc="-1" strike="noStrike">
              <a:solidFill>
                <a:srgbClr val="000000"/>
              </a:solidFill>
              <a:latin typeface="Trebuchet MS"/>
            </a:rPr>
            <a:t>: since the rate can differ from category to category, the rate has to be filled in for every function, but is also automatically forwarded to the other categories in case the percentage is the same.</a:t>
          </a:r>
          <a:endParaRPr b="0" lang="en-US" sz="800" spc="-1" strike="noStrike">
            <a:latin typeface="Times New Roman"/>
          </a:endParaRPr>
        </a:p>
        <a:p>
          <a:pPr>
            <a:lnSpc>
              <a:spcPct val="100000"/>
            </a:lnSpc>
          </a:pPr>
          <a:r>
            <a:rPr b="0" lang="en-US" sz="800" spc="-1" strike="noStrike">
              <a:solidFill>
                <a:srgbClr val="000000"/>
              </a:solidFill>
              <a:latin typeface="Trebuchet MS"/>
            </a:rPr>
            <a:t>3. </a:t>
          </a:r>
          <a:r>
            <a:rPr b="1" lang="en-US" sz="800" spc="-1" strike="noStrike">
              <a:solidFill>
                <a:srgbClr val="000000"/>
              </a:solidFill>
              <a:latin typeface="Trebuchet MS"/>
            </a:rPr>
            <a:t>Other</a:t>
          </a:r>
          <a:r>
            <a:rPr b="0" lang="en-US" sz="800" spc="-1" strike="noStrike">
              <a:solidFill>
                <a:srgbClr val="000000"/>
              </a:solidFill>
              <a:latin typeface="Trebuchet MS"/>
            </a:rPr>
            <a:t>: all kinds of benefits, on which the employer does not have to pay social taxes. Including related pension funds.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For salesmen the average gross salary is split in:</a:t>
          </a:r>
          <a:endParaRPr b="0" lang="en-US" sz="800" spc="-1" strike="noStrike">
            <a:latin typeface="Times New Roman"/>
          </a:endParaRPr>
        </a:p>
        <a:p>
          <a:pPr>
            <a:lnSpc>
              <a:spcPct val="100000"/>
            </a:lnSpc>
          </a:pPr>
          <a:r>
            <a:rPr b="0" lang="en-US" sz="800" spc="-1" strike="noStrike">
              <a:solidFill>
                <a:srgbClr val="000000"/>
              </a:solidFill>
              <a:latin typeface="Trebuchet MS"/>
            </a:rPr>
            <a:t>Fixed  : gross salary, paid on a yearly basis, which does not depend on sales</a:t>
          </a:r>
          <a:endParaRPr b="0" lang="en-US" sz="800" spc="-1" strike="noStrike">
            <a:latin typeface="Times New Roman"/>
          </a:endParaRPr>
        </a:p>
        <a:p>
          <a:pPr>
            <a:lnSpc>
              <a:spcPct val="100000"/>
            </a:lnSpc>
          </a:pPr>
          <a:r>
            <a:rPr b="0" lang="en-US" sz="800" spc="-1" strike="noStrike">
              <a:solidFill>
                <a:srgbClr val="000000"/>
              </a:solidFill>
              <a:latin typeface="Trebuchet MS"/>
            </a:rPr>
            <a:t>Variable  : gross salary, paid on a yearly basis, which is directly related to sales</a:t>
          </a:r>
          <a:endParaRPr b="0" lang="en-US" sz="800" spc="-1" strike="noStrike">
            <a:latin typeface="Times New Roman"/>
          </a:endParaRPr>
        </a:p>
        <a:p>
          <a:pPr>
            <a:lnSpc>
              <a:spcPct val="100000"/>
            </a:lnSpc>
          </a:pPr>
          <a:r>
            <a:rPr b="0" lang="en-US" sz="800" spc="-1" strike="noStrike">
              <a:solidFill>
                <a:srgbClr val="000000"/>
              </a:solidFill>
              <a:latin typeface="Trebuchet MS"/>
            </a:rPr>
            <a:t>Since no distinction is made between salesmen of new, used and other vehicles, the average sales commission (amount) per vehicle (new+used) is required.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Notes: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The variable part of the salaries &amp; wages of the sales men will be reported under 7.4.2 Selling &amp; operating expenses.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Salaries &amp; wages of mechanics will be reported under Cost of Sales: Service. Only the salaries and wages of indirect personnel in the workshop will be reported under Salaries &amp; Wages: Service.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The salaries and wages of the dealer principal, the controller and headcount which cannot be allocated to a profit center will be allocated to the cost center General &amp; Administration.</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1</xdr:col>
      <xdr:colOff>673200</xdr:colOff>
      <xdr:row>0</xdr:row>
      <xdr:rowOff>31680</xdr:rowOff>
    </xdr:from>
    <xdr:to>
      <xdr:col>2</xdr:col>
      <xdr:colOff>152280</xdr:colOff>
      <xdr:row>0</xdr:row>
      <xdr:rowOff>171000</xdr:rowOff>
    </xdr:to>
    <xdr:pic>
      <xdr:nvPicPr>
        <xdr:cNvPr id="219" name="CommandButton1" descr=""/>
        <xdr:cNvPicPr/>
      </xdr:nvPicPr>
      <xdr:blipFill>
        <a:blip r:embed="rId1"/>
        <a:stretch/>
      </xdr:blipFill>
      <xdr:spPr>
        <a:xfrm>
          <a:off x="3001680" y="31680"/>
          <a:ext cx="214200" cy="139320"/>
        </a:xfrm>
        <a:prstGeom prst="rect">
          <a:avLst/>
        </a:prstGeom>
        <a:ln>
          <a:noFill/>
        </a:ln>
      </xdr:spPr>
    </xdr:pic>
    <xdr:clientData/>
  </xdr:twoCellAnchor>
</xdr:wsDr>
</file>

<file path=xl/drawings/drawing4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685800</xdr:colOff>
      <xdr:row>5</xdr:row>
      <xdr:rowOff>181080</xdr:rowOff>
    </xdr:from>
    <xdr:to>
      <xdr:col>10</xdr:col>
      <xdr:colOff>580680</xdr:colOff>
      <xdr:row>70</xdr:row>
      <xdr:rowOff>47520</xdr:rowOff>
    </xdr:to>
    <xdr:sp>
      <xdr:nvSpPr>
        <xdr:cNvPr id="220" name="CustomShape 1" hidden="1"/>
        <xdr:cNvSpPr/>
      </xdr:nvSpPr>
      <xdr:spPr>
        <a:xfrm>
          <a:off x="3154680" y="1342800"/>
          <a:ext cx="7352640" cy="79722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7.4.2 Selling &amp; Operating Expenses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Expenses</a:t>
          </a:r>
          <a:endParaRPr b="0" lang="en-US" sz="800" spc="-1" strike="noStrike">
            <a:latin typeface="Times New Roman"/>
          </a:endParaRPr>
        </a:p>
        <a:p>
          <a:pPr>
            <a:lnSpc>
              <a:spcPct val="100000"/>
            </a:lnSpc>
          </a:pPr>
          <a:r>
            <a:rPr b="0" lang="en-US" sz="800" spc="-1" strike="noStrike">
              <a:solidFill>
                <a:srgbClr val="000000"/>
              </a:solidFill>
              <a:latin typeface="Trebuchet MS"/>
            </a:rPr>
            <a:t>The expenses filled in the first year are copied to the years after and corrected for an annual percentage. However, the calculated fields may be overwritten in case the expenses differ from the first year.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1.1 Selling Expense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sales commissions and incentives: the variable part of the salaries &amp; wages of the sales employees (new trucks, used trucks, other business), see [7.4.1 Salaries &amp; Wages; salesmen]</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Commercial policy expenses: Cost of repair, coulance, inspection or giveaways required to satisfy the customer.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1.2 Other operating expenses</a:t>
          </a:r>
          <a:endParaRPr b="0" lang="en-US" sz="800" spc="-1" strike="noStrike">
            <a:latin typeface="Times New Roman"/>
          </a:endParaRPr>
        </a:p>
        <a:p>
          <a:pPr>
            <a:lnSpc>
              <a:spcPct val="100000"/>
            </a:lnSpc>
          </a:pPr>
          <a:r>
            <a:rPr b="0" lang="en-US" sz="800" spc="-1" strike="noStrike">
              <a:solidFill>
                <a:srgbClr val="000000"/>
              </a:solidFill>
              <a:latin typeface="Trebuchet MS"/>
            </a:rPr>
            <a:t>Company vehicles   : cost for leasing vans, towing equipment, forklift, ITS vehicle, … </a:t>
          </a:r>
          <a:endParaRPr b="0" lang="en-US" sz="800" spc="-1" strike="noStrike">
            <a:latin typeface="Times New Roman"/>
          </a:endParaRPr>
        </a:p>
        <a:p>
          <a:pPr>
            <a:lnSpc>
              <a:spcPct val="100000"/>
            </a:lnSpc>
          </a:pPr>
          <a:r>
            <a:rPr b="0" lang="en-US" sz="800" spc="-1" strike="noStrike">
              <a:solidFill>
                <a:srgbClr val="000000"/>
              </a:solidFill>
              <a:latin typeface="Trebuchet MS"/>
            </a:rPr>
            <a:t>Company cars    : cost for leasing of passenger cars </a:t>
          </a:r>
          <a:endParaRPr b="0" lang="en-US" sz="800" spc="-1" strike="noStrike">
            <a:latin typeface="Times New Roman"/>
          </a:endParaRPr>
        </a:p>
        <a:p>
          <a:pPr>
            <a:lnSpc>
              <a:spcPct val="100000"/>
            </a:lnSpc>
          </a:pPr>
          <a:r>
            <a:rPr b="0" lang="en-US" sz="800" spc="-1" strike="noStrike">
              <a:solidFill>
                <a:srgbClr val="000000"/>
              </a:solidFill>
              <a:latin typeface="Trebuchet MS"/>
            </a:rPr>
            <a:t>Office supplies    : stationery </a:t>
          </a:r>
          <a:endParaRPr b="0" lang="en-US" sz="800" spc="-1" strike="noStrike">
            <a:latin typeface="Times New Roman"/>
          </a:endParaRPr>
        </a:p>
        <a:p>
          <a:pPr>
            <a:lnSpc>
              <a:spcPct val="100000"/>
            </a:lnSpc>
          </a:pPr>
          <a:r>
            <a:rPr b="0" lang="en-US" sz="800" spc="-1" strike="noStrike">
              <a:solidFill>
                <a:srgbClr val="000000"/>
              </a:solidFill>
              <a:latin typeface="Trebuchet MS"/>
            </a:rPr>
            <a:t>Other supply    : workshop and warehouse supplies, tooling,…</a:t>
          </a:r>
          <a:endParaRPr b="0" lang="en-US" sz="800" spc="-1" strike="noStrike">
            <a:latin typeface="Times New Roman"/>
          </a:endParaRPr>
        </a:p>
        <a:p>
          <a:pPr>
            <a:lnSpc>
              <a:spcPct val="100000"/>
            </a:lnSpc>
          </a:pPr>
          <a:r>
            <a:rPr b="0" lang="en-US" sz="800" spc="-1" strike="noStrike">
              <a:solidFill>
                <a:srgbClr val="000000"/>
              </a:solidFill>
              <a:latin typeface="Trebuchet MS"/>
            </a:rPr>
            <a:t>Policy expenses   : expenses taken at the charge of the dealer for commercial reasons</a:t>
          </a:r>
          <a:endParaRPr b="0" lang="en-US" sz="800" spc="-1" strike="noStrike">
            <a:latin typeface="Times New Roman"/>
          </a:endParaRPr>
        </a:p>
        <a:p>
          <a:pPr>
            <a:lnSpc>
              <a:spcPct val="100000"/>
            </a:lnSpc>
          </a:pPr>
          <a:r>
            <a:rPr b="0" lang="en-US" sz="800" spc="-1" strike="noStrike">
              <a:solidFill>
                <a:srgbClr val="000000"/>
              </a:solidFill>
              <a:latin typeface="Trebuchet MS"/>
            </a:rPr>
            <a:t>Energy     : gas, electricity, water,…</a:t>
          </a:r>
          <a:endParaRPr b="0" lang="en-US" sz="800" spc="-1" strike="noStrike">
            <a:latin typeface="Times New Roman"/>
          </a:endParaRPr>
        </a:p>
        <a:p>
          <a:pPr>
            <a:lnSpc>
              <a:spcPct val="100000"/>
            </a:lnSpc>
          </a:pPr>
          <a:r>
            <a:rPr b="0" lang="en-US" sz="800" spc="-1" strike="noStrike">
              <a:solidFill>
                <a:srgbClr val="000000"/>
              </a:solidFill>
              <a:latin typeface="Trebuchet MS"/>
            </a:rPr>
            <a:t>Sales promotion &amp; advertising : promotion expenses, presents to customers, fairs,…</a:t>
          </a:r>
          <a:endParaRPr b="0" lang="en-US" sz="800" spc="-1" strike="noStrike">
            <a:latin typeface="Times New Roman"/>
          </a:endParaRPr>
        </a:p>
        <a:p>
          <a:pPr>
            <a:lnSpc>
              <a:spcPct val="100000"/>
            </a:lnSpc>
          </a:pPr>
          <a:r>
            <a:rPr b="0" lang="en-US" sz="800" spc="-1" strike="noStrike">
              <a:solidFill>
                <a:srgbClr val="000000"/>
              </a:solidFill>
              <a:latin typeface="Trebuchet MS"/>
            </a:rPr>
            <a:t>Computer expenses   : maintenance contracts, repair, software (not activated),…</a:t>
          </a:r>
          <a:endParaRPr b="0" lang="en-US" sz="800" spc="-1" strike="noStrike">
            <a:latin typeface="Times New Roman"/>
          </a:endParaRPr>
        </a:p>
        <a:p>
          <a:pPr>
            <a:lnSpc>
              <a:spcPct val="100000"/>
            </a:lnSpc>
          </a:pPr>
          <a:r>
            <a:rPr b="0" lang="en-US" sz="800" spc="-1" strike="noStrike">
              <a:solidFill>
                <a:srgbClr val="000000"/>
              </a:solidFill>
              <a:latin typeface="Trebuchet MS"/>
            </a:rPr>
            <a:t>Travel &amp; subsistence   : travel costs, fuel vehicles,…</a:t>
          </a:r>
          <a:endParaRPr b="0" lang="en-US" sz="800" spc="-1" strike="noStrike">
            <a:latin typeface="Times New Roman"/>
          </a:endParaRPr>
        </a:p>
        <a:p>
          <a:pPr>
            <a:lnSpc>
              <a:spcPct val="100000"/>
            </a:lnSpc>
          </a:pPr>
          <a:r>
            <a:rPr b="0" lang="en-US" sz="800" spc="-1" strike="noStrike">
              <a:solidFill>
                <a:srgbClr val="000000"/>
              </a:solidFill>
              <a:latin typeface="Trebuchet MS"/>
            </a:rPr>
            <a:t>Outsourced services   : consulting, lawyer, notary, accounting, personnel administration,…</a:t>
          </a:r>
          <a:endParaRPr b="0" lang="en-US" sz="800" spc="-1" strike="noStrike">
            <a:latin typeface="Times New Roman"/>
          </a:endParaRPr>
        </a:p>
        <a:p>
          <a:pPr>
            <a:lnSpc>
              <a:spcPct val="100000"/>
            </a:lnSpc>
          </a:pPr>
          <a:r>
            <a:rPr b="0" lang="en-US" sz="800" spc="-1" strike="noStrike">
              <a:solidFill>
                <a:srgbClr val="000000"/>
              </a:solidFill>
              <a:latin typeface="Trebuchet MS"/>
            </a:rPr>
            <a:t>Communication   : mobile phones, telephones, fax, stamps, couriers,… </a:t>
          </a:r>
          <a:endParaRPr b="0" lang="en-US" sz="800" spc="-1" strike="noStrike">
            <a:latin typeface="Times New Roman"/>
          </a:endParaRPr>
        </a:p>
        <a:p>
          <a:pPr>
            <a:lnSpc>
              <a:spcPct val="100000"/>
            </a:lnSpc>
          </a:pPr>
          <a:r>
            <a:rPr b="0" lang="en-US" sz="800" spc="-1" strike="noStrike">
              <a:solidFill>
                <a:srgbClr val="000000"/>
              </a:solidFill>
              <a:latin typeface="Trebuchet MS"/>
            </a:rPr>
            <a:t>Training    : expenses for training</a:t>
          </a:r>
          <a:endParaRPr b="0" lang="en-US" sz="800" spc="-1" strike="noStrike">
            <a:latin typeface="Times New Roman"/>
          </a:endParaRPr>
        </a:p>
        <a:p>
          <a:pPr>
            <a:lnSpc>
              <a:spcPct val="100000"/>
            </a:lnSpc>
          </a:pPr>
          <a:r>
            <a:rPr b="0" lang="en-US" sz="800" spc="-1" strike="noStrike">
              <a:solidFill>
                <a:srgbClr val="000000"/>
              </a:solidFill>
              <a:latin typeface="Trebuchet MS"/>
            </a:rPr>
            <a:t>Repair &amp; maintenance of assets: expenses for repair &amp; maintenance of building, equipment, tools, …</a:t>
          </a:r>
          <a:endParaRPr b="0" lang="en-US" sz="800" spc="-1" strike="noStrike">
            <a:latin typeface="Times New Roman"/>
          </a:endParaRPr>
        </a:p>
        <a:p>
          <a:pPr>
            <a:lnSpc>
              <a:spcPct val="100000"/>
            </a:lnSpc>
          </a:pPr>
          <a:r>
            <a:rPr b="0" lang="en-US" sz="800" spc="-1" strike="noStrike">
              <a:solidFill>
                <a:srgbClr val="000000"/>
              </a:solidFill>
              <a:latin typeface="Trebuchet MS"/>
            </a:rPr>
            <a:t>Demonstration vehicles  : all expenses in connection with demonstration vehicles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 maintenance, insurance, finance,…)</a:t>
          </a:r>
          <a:endParaRPr b="0" lang="en-US" sz="800" spc="-1" strike="noStrike">
            <a:latin typeface="Times New Roman"/>
          </a:endParaRPr>
        </a:p>
        <a:p>
          <a:pPr>
            <a:lnSpc>
              <a:spcPct val="100000"/>
            </a:lnSpc>
          </a:pPr>
          <a:r>
            <a:rPr b="0" lang="en-US" sz="800" spc="-1" strike="noStrike">
              <a:solidFill>
                <a:srgbClr val="000000"/>
              </a:solidFill>
              <a:latin typeface="Trebuchet MS"/>
            </a:rPr>
            <a:t>Consultancy   : External accounts, legal advisors, personnel advisors</a:t>
          </a:r>
          <a:endParaRPr b="0" lang="en-US" sz="800" spc="-1" strike="noStrike">
            <a:latin typeface="Times New Roman"/>
          </a:endParaRPr>
        </a:p>
        <a:p>
          <a:pPr>
            <a:lnSpc>
              <a:spcPct val="100000"/>
            </a:lnSpc>
          </a:pPr>
          <a:r>
            <a:rPr b="0" lang="en-US" sz="800" spc="-1" strike="noStrike">
              <a:solidFill>
                <a:srgbClr val="000000"/>
              </a:solidFill>
              <a:latin typeface="Trebuchet MS"/>
            </a:rPr>
            <a:t>Rent     : building, equipment, tools,…</a:t>
          </a:r>
          <a:endParaRPr b="0" lang="en-US" sz="800" spc="-1" strike="noStrike">
            <a:latin typeface="Times New Roman"/>
          </a:endParaRPr>
        </a:p>
        <a:p>
          <a:pPr>
            <a:lnSpc>
              <a:spcPct val="100000"/>
            </a:lnSpc>
          </a:pPr>
          <a:r>
            <a:rPr b="0" lang="en-US" sz="800" spc="-1" strike="noStrike">
              <a:solidFill>
                <a:srgbClr val="000000"/>
              </a:solidFill>
              <a:latin typeface="Trebuchet MS"/>
            </a:rPr>
            <a:t>Taxes     : real estate, waste,…</a:t>
          </a:r>
          <a:endParaRPr b="0" lang="en-US" sz="800" spc="-1" strike="noStrike">
            <a:latin typeface="Times New Roman"/>
          </a:endParaRPr>
        </a:p>
        <a:p>
          <a:pPr>
            <a:lnSpc>
              <a:spcPct val="100000"/>
            </a:lnSpc>
          </a:pPr>
          <a:r>
            <a:rPr b="0" lang="en-US" sz="800" spc="-1" strike="noStrike">
              <a:solidFill>
                <a:srgbClr val="000000"/>
              </a:solidFill>
              <a:latin typeface="Trebuchet MS"/>
            </a:rPr>
            <a:t>Insurance    : casco, responsibility,…</a:t>
          </a:r>
          <a:endParaRPr b="0" lang="en-US" sz="800" spc="-1" strike="noStrike">
            <a:latin typeface="Times New Roman"/>
          </a:endParaRPr>
        </a:p>
        <a:p>
          <a:pPr>
            <a:lnSpc>
              <a:spcPct val="100000"/>
            </a:lnSpc>
          </a:pPr>
          <a:r>
            <a:rPr b="0" lang="en-US" sz="800" spc="-1" strike="noStrike">
              <a:solidFill>
                <a:srgbClr val="000000"/>
              </a:solidFill>
              <a:latin typeface="Trebuchet MS"/>
            </a:rPr>
            <a:t>Miscellaneous    : other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Allocation of expenses to activities</a:t>
          </a:r>
          <a:endParaRPr b="0" lang="en-US" sz="800" spc="-1" strike="noStrike">
            <a:latin typeface="Times New Roman"/>
          </a:endParaRPr>
        </a:p>
        <a:p>
          <a:pPr>
            <a:lnSpc>
              <a:spcPct val="100000"/>
            </a:lnSpc>
          </a:pPr>
          <a:r>
            <a:rPr b="0" lang="en-US" sz="800" spc="-1" strike="noStrike">
              <a:solidFill>
                <a:srgbClr val="000000"/>
              </a:solidFill>
              <a:latin typeface="Trebuchet MS"/>
            </a:rPr>
            <a:t>In line with the philosophy of lean profit (activity) centers, expenses are to be allocated to the profit (activity) center concerned.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To help the decision maker to allocate these expenses properly, we put suggested allocation keys in the second column. In case better allocation keys are available, it is not necessary to use the suggested ones.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expenses should be allocated for 100%. When the addition of the allocation percentages does not equal 100%, a message will appear in the total column.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76320</xdr:colOff>
      <xdr:row>0</xdr:row>
      <xdr:rowOff>57240</xdr:rowOff>
    </xdr:from>
    <xdr:to>
      <xdr:col>2</xdr:col>
      <xdr:colOff>437760</xdr:colOff>
      <xdr:row>0</xdr:row>
      <xdr:rowOff>304560</xdr:rowOff>
    </xdr:to>
    <xdr:sp>
      <xdr:nvSpPr>
        <xdr:cNvPr id="221" name="CustomShape 1" hidden="1"/>
        <xdr:cNvSpPr/>
      </xdr:nvSpPr>
      <xdr:spPr>
        <a:xfrm>
          <a:off x="2545200" y="57240"/>
          <a:ext cx="361440" cy="247320"/>
        </a:xfrm>
        <a:prstGeom prst="rect">
          <a:avLst/>
        </a:prstGeom>
        <a:noFill/>
        <a:ln>
          <a:noFill/>
        </a:ln>
      </xdr:spPr>
      <xdr:style>
        <a:lnRef idx="0"/>
        <a:fillRef idx="0"/>
        <a:effectRef idx="0"/>
        <a:fontRef idx="minor"/>
      </xdr:style>
    </xdr:sp>
    <xdr:clientData/>
  </xdr:twoCellAnchor>
  <xdr:twoCellAnchor editAs="oneCell">
    <xdr:from>
      <xdr:col>2</xdr:col>
      <xdr:colOff>50760</xdr:colOff>
      <xdr:row>0</xdr:row>
      <xdr:rowOff>38160</xdr:rowOff>
    </xdr:from>
    <xdr:to>
      <xdr:col>2</xdr:col>
      <xdr:colOff>291600</xdr:colOff>
      <xdr:row>0</xdr:row>
      <xdr:rowOff>203040</xdr:rowOff>
    </xdr:to>
    <xdr:pic>
      <xdr:nvPicPr>
        <xdr:cNvPr id="222" name="CommandButton1" descr=""/>
        <xdr:cNvPicPr/>
      </xdr:nvPicPr>
      <xdr:blipFill>
        <a:blip r:embed="rId1"/>
        <a:stretch/>
      </xdr:blipFill>
      <xdr:spPr>
        <a:xfrm>
          <a:off x="2519640" y="38160"/>
          <a:ext cx="240840" cy="164880"/>
        </a:xfrm>
        <a:prstGeom prst="rect">
          <a:avLst/>
        </a:prstGeom>
        <a:ln>
          <a:noFill/>
        </a:ln>
      </xdr:spPr>
    </xdr:pic>
    <xdr:clientData/>
  </xdr:twoCellAnchor>
</xdr:wsDr>
</file>

<file path=xl/drawings/drawing4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790560</xdr:colOff>
      <xdr:row>1</xdr:row>
      <xdr:rowOff>47520</xdr:rowOff>
    </xdr:from>
    <xdr:to>
      <xdr:col>11</xdr:col>
      <xdr:colOff>618840</xdr:colOff>
      <xdr:row>136</xdr:row>
      <xdr:rowOff>56520</xdr:rowOff>
    </xdr:to>
    <xdr:sp>
      <xdr:nvSpPr>
        <xdr:cNvPr id="223" name="CustomShape 1" hidden="1"/>
        <xdr:cNvSpPr/>
      </xdr:nvSpPr>
      <xdr:spPr>
        <a:xfrm>
          <a:off x="790560" y="313920"/>
          <a:ext cx="9824760" cy="133059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7.4.3  Investments, Depreciations and Provisions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Investment : an increase in assets</a:t>
          </a:r>
          <a:endParaRPr b="0" lang="en-US" sz="1000" spc="-1" strike="noStrike">
            <a:latin typeface="Times New Roman"/>
          </a:endParaRPr>
        </a:p>
        <a:p>
          <a:pPr>
            <a:lnSpc>
              <a:spcPct val="100000"/>
            </a:lnSpc>
          </a:pPr>
          <a:r>
            <a:rPr b="0" lang="en-US" sz="1000" spc="-1" strike="noStrike">
              <a:solidFill>
                <a:srgbClr val="000000"/>
              </a:solidFill>
              <a:latin typeface="Trebuchet MS"/>
            </a:rPr>
            <a:t>Disinvestment : a decrease in assets, not being depreciation.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1</a:t>
          </a:r>
          <a:r>
            <a:rPr b="1" lang="en-US" sz="1000" spc="-1" strike="noStrike">
              <a:solidFill>
                <a:srgbClr val="000000"/>
              </a:solidFill>
              <a:latin typeface="Trebuchet MS"/>
            </a:rPr>
            <a:t>. Fixed asset value plus investments and disinvestments over period</a:t>
          </a:r>
          <a:endParaRPr b="0" lang="en-US" sz="1000" spc="-1" strike="noStrike">
            <a:latin typeface="Times New Roman"/>
          </a:endParaRPr>
        </a:p>
        <a:p>
          <a:pPr>
            <a:lnSpc>
              <a:spcPct val="100000"/>
            </a:lnSpc>
          </a:pPr>
          <a:r>
            <a:rPr b="0" lang="en-US" sz="1000" spc="-1" strike="noStrike">
              <a:solidFill>
                <a:srgbClr val="000000"/>
              </a:solidFill>
              <a:latin typeface="Trebuchet MS"/>
            </a:rPr>
            <a:t>A distinction should be made between the green shaded cells and blue shaded cells . A new dealer can use the green shaded cells to fill in the opening balance at the time of the foundation of the company. or for an existing dealer can use the balance of the previous year. Both an existing and a new dealer can use the column of the first year to fill in the investments of the first year. An existing dealer should enter the different asset values on the opening balance of the basis year in the first blue column PLUS investments (+) or desinvestments (-/-) in first year.</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All new investments have to be filled in the column of the year it applies to. The investment is depreciated automatically, based on the depreciation rate in module [2. Depreciations on fixed assets]. The net value of an investment (after depreciation) is written to the balance sheet.</a:t>
          </a:r>
          <a:endParaRPr b="0" lang="en-US" sz="1000" spc="-1" strike="noStrike">
            <a:latin typeface="Times New Roman"/>
          </a:endParaRPr>
        </a:p>
        <a:p>
          <a:pPr>
            <a:lnSpc>
              <a:spcPct val="100000"/>
            </a:lnSpc>
          </a:pPr>
          <a:r>
            <a:rPr b="0" lang="en-US" sz="1000" spc="-1" strike="noStrike">
              <a:solidFill>
                <a:srgbClr val="000000"/>
              </a:solidFill>
              <a:latin typeface="Trebuchet MS"/>
            </a:rPr>
            <a:t> </a:t>
          </a:r>
          <a:endParaRPr b="0" lang="en-US" sz="1000" spc="-1" strike="noStrike">
            <a:latin typeface="Times New Roman"/>
          </a:endParaRPr>
        </a:p>
        <a:p>
          <a:pPr>
            <a:lnSpc>
              <a:spcPct val="100000"/>
            </a:lnSpc>
          </a:pPr>
          <a:r>
            <a:rPr b="0" lang="en-US" sz="1000" spc="-1" strike="noStrike">
              <a:solidFill>
                <a:srgbClr val="000000"/>
              </a:solidFill>
              <a:latin typeface="Trebuchet MS"/>
            </a:rPr>
            <a:t>Example: when a building with a book value of EUR 1.000.000 is sold, an amount of  -/- EUR 1.000.000 should be filled in. In case the sales value differs from the book value, the difference should be booked as extraordinary result in the Profit &amp; Loss account.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i="1" lang="en-US" sz="1000" spc="-1" strike="noStrike">
              <a:solidFill>
                <a:srgbClr val="000000"/>
              </a:solidFill>
              <a:latin typeface="Trebuchet MS"/>
            </a:rPr>
            <a:t>Intangible fixed assets</a:t>
          </a:r>
          <a:endParaRPr b="0" lang="en-US" sz="1000" spc="-1" strike="noStrike">
            <a:latin typeface="Times New Roman"/>
          </a:endParaRPr>
        </a:p>
        <a:p>
          <a:pPr>
            <a:lnSpc>
              <a:spcPct val="100000"/>
            </a:lnSpc>
          </a:pPr>
          <a:r>
            <a:rPr b="0" lang="en-US" sz="1000" spc="-1" strike="noStrike">
              <a:solidFill>
                <a:srgbClr val="000000"/>
              </a:solidFill>
              <a:latin typeface="Trebuchet MS"/>
            </a:rPr>
            <a:t>Depending on the legislation of the country, some costs can be activated and depreciated. Three categories are stated :</a:t>
          </a:r>
          <a:endParaRPr b="0" lang="en-US" sz="1000" spc="-1" strike="noStrike">
            <a:latin typeface="Times New Roman"/>
          </a:endParaRPr>
        </a:p>
        <a:p>
          <a:pPr>
            <a:lnSpc>
              <a:spcPct val="100000"/>
            </a:lnSpc>
          </a:pPr>
          <a:r>
            <a:rPr b="0" lang="en-US" sz="1000" spc="-1" strike="noStrike">
              <a:solidFill>
                <a:srgbClr val="000000"/>
              </a:solidFill>
              <a:latin typeface="Trebuchet MS"/>
            </a:rPr>
            <a:t>start up costs   : notary, publication, emission of shares,…</a:t>
          </a:r>
          <a:endParaRPr b="0" lang="en-US" sz="1000" spc="-1" strike="noStrike">
            <a:latin typeface="Times New Roman"/>
          </a:endParaRPr>
        </a:p>
        <a:p>
          <a:pPr>
            <a:lnSpc>
              <a:spcPct val="100000"/>
            </a:lnSpc>
          </a:pPr>
          <a:r>
            <a:rPr b="0" lang="en-US" sz="1000" spc="-1" strike="noStrike">
              <a:solidFill>
                <a:srgbClr val="000000"/>
              </a:solidFill>
              <a:latin typeface="Trebuchet MS"/>
            </a:rPr>
            <a:t>goodwill   : the cost to take over a customer portfolio</a:t>
          </a:r>
          <a:endParaRPr b="0" lang="en-US" sz="1000" spc="-1" strike="noStrike">
            <a:latin typeface="Times New Roman"/>
          </a:endParaRPr>
        </a:p>
        <a:p>
          <a:pPr>
            <a:lnSpc>
              <a:spcPct val="100000"/>
            </a:lnSpc>
          </a:pPr>
          <a:r>
            <a:rPr b="0" lang="en-US" sz="1000" spc="-1" strike="noStrike">
              <a:solidFill>
                <a:srgbClr val="000000"/>
              </a:solidFill>
              <a:latin typeface="Trebuchet MS"/>
            </a:rPr>
            <a:t>other   : license agreements, …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i="1" lang="en-US" sz="1000" spc="-1" strike="noStrike">
              <a:solidFill>
                <a:srgbClr val="000000"/>
              </a:solidFill>
              <a:latin typeface="Trebuchet MS"/>
            </a:rPr>
            <a:t>Tangible fixed assets</a:t>
          </a:r>
          <a:endParaRPr b="0" lang="en-US" sz="1000" spc="-1" strike="noStrike">
            <a:latin typeface="Times New Roman"/>
          </a:endParaRPr>
        </a:p>
        <a:p>
          <a:pPr>
            <a:lnSpc>
              <a:spcPct val="100000"/>
            </a:lnSpc>
          </a:pPr>
          <a:r>
            <a:rPr b="0" lang="en-US" sz="1000" spc="-1" strike="noStrike">
              <a:solidFill>
                <a:srgbClr val="000000"/>
              </a:solidFill>
              <a:latin typeface="Trebuchet MS"/>
            </a:rPr>
            <a:t>Land     : purchase cost of land </a:t>
          </a:r>
          <a:endParaRPr b="0" lang="en-US" sz="1000" spc="-1" strike="noStrike">
            <a:latin typeface="Times New Roman"/>
          </a:endParaRPr>
        </a:p>
        <a:p>
          <a:pPr>
            <a:lnSpc>
              <a:spcPct val="100000"/>
            </a:lnSpc>
          </a:pPr>
          <a:r>
            <a:rPr b="0" lang="en-US" sz="1000" spc="-1" strike="noStrike">
              <a:solidFill>
                <a:srgbClr val="000000"/>
              </a:solidFill>
              <a:latin typeface="Trebuchet MS"/>
            </a:rPr>
            <a:t>Building    : purchase cost of a building or total construction cost. </a:t>
          </a:r>
          <a:endParaRPr b="0" lang="en-US" sz="1000" spc="-1" strike="noStrike">
            <a:latin typeface="Times New Roman"/>
          </a:endParaRPr>
        </a:p>
        <a:p>
          <a:pPr>
            <a:lnSpc>
              <a:spcPct val="100000"/>
            </a:lnSpc>
          </a:pPr>
          <a:r>
            <a:rPr b="0" lang="en-US" sz="1000" spc="-1" strike="noStrike">
              <a:solidFill>
                <a:srgbClr val="000000"/>
              </a:solidFill>
              <a:latin typeface="Trebuchet MS"/>
            </a:rPr>
            <a:t>Installations &amp; Equipment  : all kinds of machines and tools in the workshop</a:t>
          </a:r>
          <a:endParaRPr b="0" lang="en-US" sz="1000" spc="-1" strike="noStrike">
            <a:latin typeface="Times New Roman"/>
          </a:endParaRPr>
        </a:p>
        <a:p>
          <a:pPr>
            <a:lnSpc>
              <a:spcPct val="100000"/>
            </a:lnSpc>
          </a:pPr>
          <a:r>
            <a:rPr b="0" lang="en-US" sz="1000" spc="-1" strike="noStrike">
              <a:solidFill>
                <a:srgbClr val="000000"/>
              </a:solidFill>
              <a:latin typeface="Trebuchet MS"/>
            </a:rPr>
            <a:t>Computers    : PC, servers, software, …</a:t>
          </a:r>
          <a:endParaRPr b="0" lang="en-US" sz="1000" spc="-1" strike="noStrike">
            <a:latin typeface="Times New Roman"/>
          </a:endParaRPr>
        </a:p>
        <a:p>
          <a:pPr>
            <a:lnSpc>
              <a:spcPct val="100000"/>
            </a:lnSpc>
          </a:pPr>
          <a:r>
            <a:rPr b="0" lang="en-US" sz="1000" spc="-1" strike="noStrike">
              <a:solidFill>
                <a:srgbClr val="000000"/>
              </a:solidFill>
              <a:latin typeface="Trebuchet MS"/>
            </a:rPr>
            <a:t>Furniture &amp; fixtures   : desks, tables,…</a:t>
          </a:r>
          <a:endParaRPr b="0" lang="en-US" sz="1000" spc="-1" strike="noStrike">
            <a:latin typeface="Times New Roman"/>
          </a:endParaRPr>
        </a:p>
        <a:p>
          <a:pPr>
            <a:lnSpc>
              <a:spcPct val="100000"/>
            </a:lnSpc>
          </a:pPr>
          <a:r>
            <a:rPr b="0" lang="en-US" sz="1000" spc="-1" strike="noStrike">
              <a:solidFill>
                <a:srgbClr val="000000"/>
              </a:solidFill>
              <a:latin typeface="Trebuchet MS"/>
            </a:rPr>
            <a:t>Vehicles    : company vehicles and cars</a:t>
          </a:r>
          <a:endParaRPr b="0" lang="en-US" sz="1000" spc="-1" strike="noStrike">
            <a:latin typeface="Times New Roman"/>
          </a:endParaRPr>
        </a:p>
        <a:p>
          <a:pPr>
            <a:lnSpc>
              <a:spcPct val="100000"/>
            </a:lnSpc>
          </a:pPr>
          <a:r>
            <a:rPr b="0" lang="en-US" sz="1000" spc="-1" strike="noStrike">
              <a:solidFill>
                <a:srgbClr val="000000"/>
              </a:solidFill>
              <a:latin typeface="Trebuchet MS"/>
            </a:rPr>
            <a:t>Demonstration vehicles  : if owned by dealer</a:t>
          </a:r>
          <a:endParaRPr b="0" lang="en-US" sz="1000" spc="-1" strike="noStrike">
            <a:latin typeface="Times New Roman"/>
          </a:endParaRPr>
        </a:p>
        <a:p>
          <a:pPr>
            <a:lnSpc>
              <a:spcPct val="100000"/>
            </a:lnSpc>
          </a:pPr>
          <a:r>
            <a:rPr b="0" lang="en-US" sz="1000" spc="-1" strike="noStrike">
              <a:solidFill>
                <a:srgbClr val="000000"/>
              </a:solidFill>
              <a:latin typeface="Trebuchet MS"/>
            </a:rPr>
            <a:t>Other     : all investments which are not mentioned above</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i="1" lang="en-US" sz="1000" spc="-1" strike="noStrike">
              <a:solidFill>
                <a:srgbClr val="000000"/>
              </a:solidFill>
              <a:latin typeface="Trebuchet MS"/>
            </a:rPr>
            <a:t>Financial fixed assets</a:t>
          </a:r>
          <a:endParaRPr b="0" lang="en-US" sz="1000" spc="-1" strike="noStrike">
            <a:latin typeface="Times New Roman"/>
          </a:endParaRPr>
        </a:p>
        <a:p>
          <a:pPr>
            <a:lnSpc>
              <a:spcPct val="100000"/>
            </a:lnSpc>
          </a:pPr>
          <a:r>
            <a:rPr b="0" lang="en-US" sz="1000" spc="-1" strike="noStrike">
              <a:solidFill>
                <a:srgbClr val="000000"/>
              </a:solidFill>
              <a:latin typeface="Trebuchet MS"/>
            </a:rPr>
            <a:t>Financial participations in other companies.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i="1" lang="en-US" sz="1000" spc="-1" strike="noStrike">
              <a:solidFill>
                <a:srgbClr val="000000"/>
              </a:solidFill>
              <a:latin typeface="Trebuchet MS"/>
            </a:rPr>
            <a:t>Change in inventory</a:t>
          </a:r>
          <a:endParaRPr b="0" lang="en-US" sz="1000" spc="-1" strike="noStrike">
            <a:latin typeface="Times New Roman"/>
          </a:endParaRPr>
        </a:p>
        <a:p>
          <a:pPr>
            <a:lnSpc>
              <a:spcPct val="100000"/>
            </a:lnSpc>
          </a:pPr>
          <a:r>
            <a:rPr b="0" lang="en-US" sz="1000" spc="-1" strike="noStrike">
              <a:solidFill>
                <a:srgbClr val="000000"/>
              </a:solidFill>
              <a:latin typeface="Trebuchet MS"/>
            </a:rPr>
            <a:t>For financing, we assume the initial stock to be the basic stock for any year. Therefore, the initial stock will be financed with long term means and the change in stock with short term means. The change in stock is the investment or disinvestment in stock.</a:t>
          </a:r>
          <a:endParaRPr b="0" lang="en-US" sz="1000" spc="-1" strike="noStrike">
            <a:latin typeface="Times New Roman"/>
          </a:endParaRPr>
        </a:p>
        <a:p>
          <a:pPr>
            <a:lnSpc>
              <a:spcPct val="100000"/>
            </a:lnSpc>
          </a:pPr>
          <a:r>
            <a:rPr b="0" lang="en-US" sz="1000" spc="-1" strike="noStrike">
              <a:solidFill>
                <a:srgbClr val="000000"/>
              </a:solidFill>
              <a:latin typeface="Trebuchet MS"/>
            </a:rPr>
            <a:t>A distinction is made between parts and used trucks.</a:t>
          </a:r>
          <a:endParaRPr b="0" lang="en-US" sz="1000" spc="-1" strike="noStrike">
            <a:latin typeface="Times New Roman"/>
          </a:endParaRPr>
        </a:p>
        <a:p>
          <a:pPr>
            <a:lnSpc>
              <a:spcPct val="100000"/>
            </a:lnSpc>
          </a:pPr>
          <a:r>
            <a:rPr b="0" lang="en-US" sz="1000" spc="-1" strike="noStrike">
              <a:solidFill>
                <a:srgbClr val="000000"/>
              </a:solidFill>
              <a:latin typeface="Trebuchet MS"/>
            </a:rPr>
            <a:t>The potential stock of other vehicles is not taken into account here yet.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2</a:t>
          </a:r>
          <a:r>
            <a:rPr b="1" lang="en-US" sz="1000" spc="-1" strike="noStrike">
              <a:solidFill>
                <a:srgbClr val="000000"/>
              </a:solidFill>
              <a:latin typeface="Trebuchet MS"/>
            </a:rPr>
            <a:t>. Depreciations on fixed assets </a:t>
          </a:r>
          <a:endParaRPr b="0" lang="en-US" sz="1000" spc="-1" strike="noStrike">
            <a:latin typeface="Times New Roman"/>
          </a:endParaRPr>
        </a:p>
        <a:p>
          <a:pPr>
            <a:lnSpc>
              <a:spcPct val="100000"/>
            </a:lnSpc>
          </a:pPr>
          <a:r>
            <a:rPr b="0" lang="en-US" sz="1000" spc="-1" strike="noStrike">
              <a:solidFill>
                <a:srgbClr val="000000"/>
              </a:solidFill>
              <a:latin typeface="Trebuchet MS"/>
            </a:rPr>
            <a:t>Intangible and tangible fixed assets</a:t>
          </a:r>
          <a:endParaRPr b="0" lang="en-US" sz="1000" spc="-1" strike="noStrike">
            <a:latin typeface="Times New Roman"/>
          </a:endParaRPr>
        </a:p>
        <a:p>
          <a:pPr>
            <a:lnSpc>
              <a:spcPct val="100000"/>
            </a:lnSpc>
          </a:pPr>
          <a:r>
            <a:rPr b="0" lang="en-US" sz="1000" spc="-1" strike="noStrike">
              <a:solidFill>
                <a:srgbClr val="000000"/>
              </a:solidFill>
              <a:latin typeface="Trebuchet MS"/>
            </a:rPr>
            <a:t>Although several depreciation schemes are possible, we have chosen for a linear depreciation scheme. The only asset which cannot be depreciated is land, since in most countries this is not allowed by law. For every other asset, a separate depreciation percentage can be filled in. A suggested depreciation scheme is not given. As a consequence, depreciation percentages should be in accordance with the economic life cycle of every asset and/or local legislation.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As suggestion for depreciation methods the following can be applied:</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Land: Not applicable • Building: 5% • Installations &amp; equipment: 20% • Furniture &amp; fixture: 10% • Vehicles: 20%</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3. Amortization &amp; Provisions for risks and costs</a:t>
          </a:r>
          <a:endParaRPr b="0" lang="en-US" sz="1000" spc="-1" strike="noStrike">
            <a:latin typeface="Times New Roman"/>
          </a:endParaRPr>
        </a:p>
        <a:p>
          <a:pPr>
            <a:lnSpc>
              <a:spcPct val="100000"/>
            </a:lnSpc>
          </a:pPr>
          <a:r>
            <a:rPr b="0" lang="en-US" sz="1000" spc="-1" strike="noStrike">
              <a:solidFill>
                <a:srgbClr val="000000"/>
              </a:solidFill>
              <a:latin typeface="Trebuchet MS"/>
            </a:rPr>
            <a:t>1. Provisions (Structural and economic decrease in value (amounts) are taken for:</a:t>
          </a:r>
          <a:endParaRPr b="0" lang="en-US" sz="1000" spc="-1" strike="noStrike">
            <a:latin typeface="Times New Roman"/>
          </a:endParaRPr>
        </a:p>
        <a:p>
          <a:pPr>
            <a:lnSpc>
              <a:spcPct val="100000"/>
            </a:lnSpc>
          </a:pPr>
          <a:r>
            <a:rPr b="0" lang="en-US" sz="1000" spc="-1" strike="noStrike">
              <a:solidFill>
                <a:srgbClr val="000000"/>
              </a:solidFill>
              <a:latin typeface="Trebuchet MS"/>
            </a:rPr>
            <a:t>Participations   : decrease in value of shares hold in affiliated companies</a:t>
          </a:r>
          <a:endParaRPr b="0" lang="en-US" sz="1000" spc="-1" strike="noStrike">
            <a:latin typeface="Times New Roman"/>
          </a:endParaRPr>
        </a:p>
        <a:p>
          <a:pPr>
            <a:lnSpc>
              <a:spcPct val="100000"/>
            </a:lnSpc>
          </a:pPr>
          <a:r>
            <a:rPr b="0" lang="en-US" sz="1000" spc="-1" strike="noStrike">
              <a:solidFill>
                <a:srgbClr val="000000"/>
              </a:solidFill>
              <a:latin typeface="Trebuchet MS"/>
            </a:rPr>
            <a:t>Stock parts   : obsolete stock</a:t>
          </a:r>
          <a:endParaRPr b="0" lang="en-US" sz="1000" spc="-1" strike="noStrike">
            <a:latin typeface="Times New Roman"/>
          </a:endParaRPr>
        </a:p>
        <a:p>
          <a:pPr>
            <a:lnSpc>
              <a:spcPct val="100000"/>
            </a:lnSpc>
          </a:pPr>
          <a:r>
            <a:rPr b="0" lang="en-US" sz="1000" spc="-1" strike="noStrike">
              <a:solidFill>
                <a:srgbClr val="000000"/>
              </a:solidFill>
              <a:latin typeface="Trebuchet MS"/>
            </a:rPr>
            <a:t>Stock Used Trucks  : obsolete stock</a:t>
          </a:r>
          <a:endParaRPr b="0" lang="en-US" sz="1000" spc="-1" strike="noStrike">
            <a:latin typeface="Times New Roman"/>
          </a:endParaRPr>
        </a:p>
        <a:p>
          <a:pPr>
            <a:lnSpc>
              <a:spcPct val="100000"/>
            </a:lnSpc>
          </a:pPr>
          <a:r>
            <a:rPr b="0" lang="en-US" sz="1000" spc="-1" strike="noStrike">
              <a:solidFill>
                <a:srgbClr val="000000"/>
              </a:solidFill>
              <a:latin typeface="Trebuchet MS"/>
            </a:rPr>
            <a:t>Receivables   : not recoverable receivables/bad debts</a:t>
          </a:r>
          <a:endParaRPr b="0" lang="en-US" sz="1000" spc="-1" strike="noStrike">
            <a:latin typeface="Times New Roman"/>
          </a:endParaRPr>
        </a:p>
        <a:p>
          <a:pPr>
            <a:lnSpc>
              <a:spcPct val="100000"/>
            </a:lnSpc>
          </a:pPr>
          <a:r>
            <a:rPr b="0" lang="en-US" sz="1000" spc="-1" strike="noStrike">
              <a:solidFill>
                <a:srgbClr val="000000"/>
              </a:solidFill>
              <a:latin typeface="Trebuchet MS"/>
            </a:rPr>
            <a:t>2. Costs which are likely to occur in the future, but the exact amount is not known yet. </a:t>
          </a:r>
          <a:endParaRPr b="0" lang="en-US" sz="1000" spc="-1" strike="noStrike">
            <a:latin typeface="Times New Roman"/>
          </a:endParaRPr>
        </a:p>
        <a:p>
          <a:pPr>
            <a:lnSpc>
              <a:spcPct val="100000"/>
            </a:lnSpc>
          </a:pPr>
          <a:r>
            <a:rPr b="0" lang="en-US" sz="1000" spc="-1" strike="noStrike">
              <a:solidFill>
                <a:srgbClr val="000000"/>
              </a:solidFill>
              <a:latin typeface="Trebuchet MS"/>
            </a:rPr>
            <a:t>For example residual value guarantees and long term disputes with tax authorities.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In case a provision is not needed any longer or recovery, it should be taken back in the running year. </a:t>
          </a:r>
          <a:endParaRPr b="0" lang="en-US" sz="1000" spc="-1" strike="noStrike">
            <a:latin typeface="Times New Roman"/>
          </a:endParaRPr>
        </a:p>
        <a:p>
          <a:pPr>
            <a:lnSpc>
              <a:spcPct val="100000"/>
            </a:lnSpc>
          </a:pPr>
          <a:r>
            <a:rPr b="0" lang="en-US" sz="1000" spc="-1" strike="noStrike">
              <a:solidFill>
                <a:srgbClr val="000000"/>
              </a:solidFill>
              <a:latin typeface="Trebuchet MS"/>
            </a:rPr>
            <a:t>For example:</a:t>
          </a:r>
          <a:endParaRPr b="0" lang="en-US" sz="1000" spc="-1" strike="noStrike">
            <a:latin typeface="Times New Roman"/>
          </a:endParaRPr>
        </a:p>
        <a:p>
          <a:pPr>
            <a:lnSpc>
              <a:spcPct val="100000"/>
            </a:lnSpc>
          </a:pPr>
          <a:r>
            <a:rPr b="0" lang="en-US" sz="1000" spc="-1" strike="noStrike">
              <a:solidFill>
                <a:srgbClr val="000000"/>
              </a:solidFill>
              <a:latin typeface="Trebuchet MS"/>
            </a:rPr>
            <a:t>- provision is made in year 1 = 5.000</a:t>
          </a:r>
          <a:endParaRPr b="0" lang="en-US" sz="1000" spc="-1" strike="noStrike">
            <a:latin typeface="Times New Roman"/>
          </a:endParaRPr>
        </a:p>
        <a:p>
          <a:pPr>
            <a:lnSpc>
              <a:spcPct val="100000"/>
            </a:lnSpc>
          </a:pPr>
          <a:r>
            <a:rPr b="0" lang="en-US" sz="1000" spc="-1" strike="noStrike">
              <a:solidFill>
                <a:srgbClr val="000000"/>
              </a:solidFill>
              <a:latin typeface="Trebuchet MS"/>
            </a:rPr>
            <a:t>- provision has to be taken back in year 3 = -/- 5.000</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0</xdr:col>
      <xdr:colOff>1619280</xdr:colOff>
      <xdr:row>0</xdr:row>
      <xdr:rowOff>0</xdr:rowOff>
    </xdr:from>
    <xdr:to>
      <xdr:col>0</xdr:col>
      <xdr:colOff>1800000</xdr:colOff>
      <xdr:row>0</xdr:row>
      <xdr:rowOff>123480</xdr:rowOff>
    </xdr:to>
    <xdr:sp>
      <xdr:nvSpPr>
        <xdr:cNvPr id="224" name="CustomShape 1" hidden="1"/>
        <xdr:cNvSpPr/>
      </xdr:nvSpPr>
      <xdr:spPr>
        <a:xfrm>
          <a:off x="1619280" y="0"/>
          <a:ext cx="180720" cy="123480"/>
        </a:xfrm>
        <a:prstGeom prst="rect">
          <a:avLst/>
        </a:prstGeom>
        <a:noFill/>
        <a:ln>
          <a:noFill/>
        </a:ln>
      </xdr:spPr>
      <xdr:style>
        <a:lnRef idx="0"/>
        <a:fillRef idx="0"/>
        <a:effectRef idx="0"/>
        <a:fontRef idx="minor"/>
      </xdr:style>
    </xdr:sp>
    <xdr:clientData/>
  </xdr:twoCellAnchor>
  <xdr:twoCellAnchor editAs="oneCell">
    <xdr:from>
      <xdr:col>0</xdr:col>
      <xdr:colOff>1079640</xdr:colOff>
      <xdr:row>0</xdr:row>
      <xdr:rowOff>0</xdr:rowOff>
    </xdr:from>
    <xdr:to>
      <xdr:col>0</xdr:col>
      <xdr:colOff>1199880</xdr:colOff>
      <xdr:row>0</xdr:row>
      <xdr:rowOff>82080</xdr:rowOff>
    </xdr:to>
    <xdr:pic>
      <xdr:nvPicPr>
        <xdr:cNvPr id="225" name="CommandButton1" descr=""/>
        <xdr:cNvPicPr/>
      </xdr:nvPicPr>
      <xdr:blipFill>
        <a:blip r:embed="rId1"/>
        <a:stretch/>
      </xdr:blipFill>
      <xdr:spPr>
        <a:xfrm>
          <a:off x="1079640" y="0"/>
          <a:ext cx="120240" cy="82080"/>
        </a:xfrm>
        <a:prstGeom prst="rect">
          <a:avLst/>
        </a:prstGeom>
        <a:ln>
          <a:noFill/>
        </a:ln>
      </xdr:spPr>
    </xdr:pic>
    <xdr:clientData/>
  </xdr:twoCellAnchor>
</xdr:wsDr>
</file>

<file path=xl/drawings/drawing4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266760</xdr:colOff>
      <xdr:row>3</xdr:row>
      <xdr:rowOff>152280</xdr:rowOff>
    </xdr:from>
    <xdr:to>
      <xdr:col>12</xdr:col>
      <xdr:colOff>190080</xdr:colOff>
      <xdr:row>79</xdr:row>
      <xdr:rowOff>94680</xdr:rowOff>
    </xdr:to>
    <xdr:sp>
      <xdr:nvSpPr>
        <xdr:cNvPr id="226" name="CustomShape 1" hidden="1"/>
        <xdr:cNvSpPr/>
      </xdr:nvSpPr>
      <xdr:spPr>
        <a:xfrm>
          <a:off x="4741920" y="933120"/>
          <a:ext cx="6857640" cy="147538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7.5.1 Financial Income: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The purpose of this section is to determine how much money is needed to finance the business as</a:t>
          </a:r>
          <a:endParaRPr b="0" lang="en-US" sz="800" spc="-1" strike="noStrike">
            <a:latin typeface="Times New Roman"/>
          </a:endParaRPr>
        </a:p>
        <a:p>
          <a:pPr>
            <a:lnSpc>
              <a:spcPct val="100000"/>
            </a:lnSpc>
          </a:pPr>
          <a:r>
            <a:rPr b="1" lang="en-US" sz="800" spc="-1" strike="noStrike">
              <a:solidFill>
                <a:srgbClr val="000000"/>
              </a:solidFill>
              <a:latin typeface="Trebuchet MS"/>
            </a:rPr>
            <a:t>described in the previous pages. Long term requirements should be financed with long term means</a:t>
          </a:r>
          <a:endParaRPr b="0" lang="en-US" sz="800" spc="-1" strike="noStrike">
            <a:latin typeface="Times New Roman"/>
          </a:endParaRPr>
        </a:p>
        <a:p>
          <a:pPr>
            <a:lnSpc>
              <a:spcPct val="100000"/>
            </a:lnSpc>
          </a:pPr>
          <a:r>
            <a:rPr b="1" lang="en-US" sz="800" spc="-1" strike="noStrike">
              <a:solidFill>
                <a:srgbClr val="000000"/>
              </a:solidFill>
              <a:latin typeface="Trebuchet MS"/>
            </a:rPr>
            <a:t>and short term requirements should be financed with short term means.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Long term requirements (after depreciations)</a:t>
          </a:r>
          <a:endParaRPr b="0" lang="en-US" sz="800" spc="-1" strike="noStrike">
            <a:latin typeface="Times New Roman"/>
          </a:endParaRPr>
        </a:p>
        <a:p>
          <a:pPr>
            <a:lnSpc>
              <a:spcPct val="100000"/>
            </a:lnSpc>
          </a:pPr>
          <a:r>
            <a:rPr b="1" lang="en-US" sz="800" spc="-1" strike="noStrike">
              <a:solidFill>
                <a:srgbClr val="000000"/>
              </a:solidFill>
              <a:latin typeface="Trebuchet MS"/>
            </a:rPr>
            <a:t>In this module all fields are calculated fields.</a:t>
          </a:r>
          <a:endParaRPr b="0" lang="en-US" sz="800" spc="-1" strike="noStrike">
            <a:latin typeface="Times New Roman"/>
          </a:endParaRPr>
        </a:p>
        <a:p>
          <a:pPr>
            <a:lnSpc>
              <a:spcPct val="100000"/>
            </a:lnSpc>
          </a:pPr>
          <a:r>
            <a:rPr b="1" lang="en-US" sz="800" spc="-1" strike="noStrike">
              <a:solidFill>
                <a:srgbClr val="000000"/>
              </a:solidFill>
              <a:latin typeface="Trebuchet MS"/>
            </a:rPr>
            <a:t>New dealer: The opening balance applies to new dealers only and reflects the assets brought into the</a:t>
          </a:r>
          <a:endParaRPr b="0" lang="en-US" sz="800" spc="-1" strike="noStrike">
            <a:latin typeface="Times New Roman"/>
          </a:endParaRPr>
        </a:p>
        <a:p>
          <a:pPr>
            <a:lnSpc>
              <a:spcPct val="100000"/>
            </a:lnSpc>
          </a:pPr>
          <a:r>
            <a:rPr b="1" lang="en-US" sz="800" spc="-1" strike="noStrike">
              <a:solidFill>
                <a:srgbClr val="000000"/>
              </a:solidFill>
              <a:latin typeface="Trebuchet MS"/>
            </a:rPr>
            <a:t>company at the time of the set up. At the bottom of the page is determined how much capital this</a:t>
          </a:r>
          <a:endParaRPr b="0" lang="en-US" sz="800" spc="-1" strike="noStrike">
            <a:latin typeface="Times New Roman"/>
          </a:endParaRPr>
        </a:p>
        <a:p>
          <a:pPr>
            <a:lnSpc>
              <a:spcPct val="100000"/>
            </a:lnSpc>
          </a:pPr>
          <a:r>
            <a:rPr b="1" lang="en-US" sz="800" spc="-1" strike="noStrike">
              <a:solidFill>
                <a:srgbClr val="000000"/>
              </a:solidFill>
              <a:latin typeface="Trebuchet MS"/>
            </a:rPr>
            <a:t>requires. When assets are brought in the company instead of cash, this should be reflected</a:t>
          </a:r>
          <a:endParaRPr b="0" lang="en-US" sz="800" spc="-1" strike="noStrike">
            <a:latin typeface="Times New Roman"/>
          </a:endParaRPr>
        </a:p>
        <a:p>
          <a:pPr>
            <a:lnSpc>
              <a:spcPct val="100000"/>
            </a:lnSpc>
          </a:pPr>
          <a:r>
            <a:rPr b="1" lang="en-US" sz="800" spc="-1" strike="noStrike">
              <a:solidFill>
                <a:srgbClr val="000000"/>
              </a:solidFill>
              <a:latin typeface="Trebuchet MS"/>
            </a:rPr>
            <a:t>immediately in the capital paid in on the liabilities side of the balance sheet. This is not done</a:t>
          </a:r>
          <a:endParaRPr b="0" lang="en-US" sz="800" spc="-1" strike="noStrike">
            <a:latin typeface="Times New Roman"/>
          </a:endParaRPr>
        </a:p>
        <a:p>
          <a:pPr>
            <a:lnSpc>
              <a:spcPct val="100000"/>
            </a:lnSpc>
          </a:pPr>
          <a:r>
            <a:rPr b="1" lang="en-US" sz="800" spc="-1" strike="noStrike">
              <a:solidFill>
                <a:srgbClr val="000000"/>
              </a:solidFill>
              <a:latin typeface="Trebuchet MS"/>
            </a:rPr>
            <a:t>automatically, but there is a warning sign in sheet [7.5.2 Financial Income &amp; Expenses] in case</a:t>
          </a:r>
          <a:endParaRPr b="0" lang="en-US" sz="800" spc="-1" strike="noStrike">
            <a:latin typeface="Times New Roman"/>
          </a:endParaRPr>
        </a:p>
        <a:p>
          <a:pPr>
            <a:lnSpc>
              <a:spcPct val="100000"/>
            </a:lnSpc>
          </a:pPr>
          <a:r>
            <a:rPr b="1" lang="en-US" sz="800" spc="-1" strike="noStrike">
              <a:solidFill>
                <a:srgbClr val="000000"/>
              </a:solidFill>
              <a:latin typeface="Trebuchet MS"/>
            </a:rPr>
            <a:t>funding is insufficient.</a:t>
          </a:r>
          <a:endParaRPr b="0" lang="en-US" sz="800" spc="-1" strike="noStrike">
            <a:latin typeface="Times New Roman"/>
          </a:endParaRPr>
        </a:p>
        <a:p>
          <a:pPr>
            <a:lnSpc>
              <a:spcPct val="100000"/>
            </a:lnSpc>
          </a:pPr>
          <a:r>
            <a:rPr b="1" lang="en-US" sz="800" spc="-1" strike="noStrike">
              <a:solidFill>
                <a:srgbClr val="000000"/>
              </a:solidFill>
              <a:latin typeface="Trebuchet MS"/>
            </a:rPr>
            <a:t>Investments made in the first year of the business plan are added to determine the total required in</a:t>
          </a:r>
          <a:endParaRPr b="0" lang="en-US" sz="800" spc="-1" strike="noStrike">
            <a:latin typeface="Times New Roman"/>
          </a:endParaRPr>
        </a:p>
        <a:p>
          <a:pPr>
            <a:lnSpc>
              <a:spcPct val="100000"/>
            </a:lnSpc>
          </a:pPr>
          <a:r>
            <a:rPr b="1" lang="en-US" sz="800" spc="-1" strike="noStrike">
              <a:solidFill>
                <a:srgbClr val="000000"/>
              </a:solidFill>
              <a:latin typeface="Trebuchet MS"/>
            </a:rPr>
            <a:t>the first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Existing dealer: The first year of the business plan should represent the financing required in the last</a:t>
          </a:r>
          <a:endParaRPr b="0" lang="en-US" sz="800" spc="-1" strike="noStrike">
            <a:latin typeface="Times New Roman"/>
          </a:endParaRPr>
        </a:p>
        <a:p>
          <a:pPr>
            <a:lnSpc>
              <a:spcPct val="100000"/>
            </a:lnSpc>
          </a:pPr>
          <a:r>
            <a:rPr b="1" lang="en-US" sz="800" spc="-1" strike="noStrike">
              <a:solidFill>
                <a:srgbClr val="000000"/>
              </a:solidFill>
              <a:latin typeface="Trebuchet MS"/>
            </a:rPr>
            <a:t>fiscal year.</a:t>
          </a:r>
          <a:endParaRPr b="0" lang="en-US" sz="800" spc="-1" strike="noStrike">
            <a:latin typeface="Times New Roman"/>
          </a:endParaRPr>
        </a:p>
        <a:p>
          <a:pPr>
            <a:lnSpc>
              <a:spcPct val="100000"/>
            </a:lnSpc>
          </a:pPr>
          <a:r>
            <a:rPr b="1" lang="en-US" sz="800" spc="-1" strike="noStrike">
              <a:solidFill>
                <a:srgbClr val="000000"/>
              </a:solidFill>
              <a:latin typeface="Trebuchet MS"/>
            </a:rPr>
            <a:t>Assumption: The yearly initial stock of parts and used trucks is considered long term (= 1 year) and</a:t>
          </a:r>
          <a:endParaRPr b="0" lang="en-US" sz="800" spc="-1" strike="noStrike">
            <a:latin typeface="Times New Roman"/>
          </a:endParaRPr>
        </a:p>
        <a:p>
          <a:pPr>
            <a:lnSpc>
              <a:spcPct val="100000"/>
            </a:lnSpc>
          </a:pPr>
          <a:r>
            <a:rPr b="1" lang="en-US" sz="800" spc="-1" strike="noStrike">
              <a:solidFill>
                <a:srgbClr val="000000"/>
              </a:solidFill>
              <a:latin typeface="Trebuchet MS"/>
            </a:rPr>
            <a:t>the change in stock is corrected on a short term basis (&lt; 1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Short term requirements (after depreciations)</a:t>
          </a:r>
          <a:endParaRPr b="0" lang="en-US" sz="800" spc="-1" strike="noStrike">
            <a:latin typeface="Times New Roman"/>
          </a:endParaRPr>
        </a:p>
        <a:p>
          <a:pPr>
            <a:lnSpc>
              <a:spcPct val="100000"/>
            </a:lnSpc>
          </a:pPr>
          <a:r>
            <a:rPr b="1" lang="en-US" sz="800" spc="-1" strike="noStrike">
              <a:solidFill>
                <a:srgbClr val="000000"/>
              </a:solidFill>
              <a:latin typeface="Trebuchet MS"/>
            </a:rPr>
            <a:t>The term depreciations refer to doubtful debtors and/or obsolete stock.</a:t>
          </a:r>
          <a:endParaRPr b="0" lang="en-US" sz="800" spc="-1" strike="noStrike">
            <a:latin typeface="Times New Roman"/>
          </a:endParaRPr>
        </a:p>
        <a:p>
          <a:pPr>
            <a:lnSpc>
              <a:spcPct val="100000"/>
            </a:lnSpc>
          </a:pPr>
          <a:r>
            <a:rPr b="1" lang="en-US" sz="800" spc="-1" strike="noStrike">
              <a:solidFill>
                <a:srgbClr val="000000"/>
              </a:solidFill>
              <a:latin typeface="Trebuchet MS"/>
            </a:rPr>
            <a:t>This module gives a detailed analysis of the working capital requirements.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2.1 Trade receivables</a:t>
          </a:r>
          <a:endParaRPr b="0" lang="en-US" sz="800" spc="-1" strike="noStrike">
            <a:latin typeface="Times New Roman"/>
          </a:endParaRPr>
        </a:p>
        <a:p>
          <a:pPr>
            <a:lnSpc>
              <a:spcPct val="100000"/>
            </a:lnSpc>
          </a:pPr>
          <a:r>
            <a:rPr b="1" lang="en-US" sz="800" spc="-1" strike="noStrike">
              <a:solidFill>
                <a:srgbClr val="000000"/>
              </a:solidFill>
              <a:latin typeface="Trebuchet MS"/>
            </a:rPr>
            <a:t>Definition of days of sales outstanding (DSO): number of days between day of sales and value date of</a:t>
          </a:r>
          <a:endParaRPr b="0" lang="en-US" sz="800" spc="-1" strike="noStrike">
            <a:latin typeface="Times New Roman"/>
          </a:endParaRPr>
        </a:p>
        <a:p>
          <a:pPr>
            <a:lnSpc>
              <a:spcPct val="100000"/>
            </a:lnSpc>
          </a:pPr>
          <a:r>
            <a:rPr b="1" lang="en-US" sz="800" spc="-1" strike="noStrike">
              <a:solidFill>
                <a:srgbClr val="000000"/>
              </a:solidFill>
              <a:latin typeface="Trebuchet MS"/>
            </a:rPr>
            <a:t>payments received on your bank account.</a:t>
          </a:r>
          <a:endParaRPr b="0" lang="en-US" sz="800" spc="-1" strike="noStrike">
            <a:latin typeface="Times New Roman"/>
          </a:endParaRPr>
        </a:p>
        <a:p>
          <a:pPr>
            <a:lnSpc>
              <a:spcPct val="100000"/>
            </a:lnSpc>
          </a:pPr>
          <a:r>
            <a:rPr b="1" lang="en-US" sz="800" spc="-1" strike="noStrike">
              <a:solidFill>
                <a:srgbClr val="000000"/>
              </a:solidFill>
              <a:latin typeface="Trebuchet MS"/>
            </a:rPr>
            <a:t>Example: Days</a:t>
          </a:r>
          <a:endParaRPr b="0" lang="en-US" sz="800" spc="-1" strike="noStrike">
            <a:latin typeface="Times New Roman"/>
          </a:endParaRPr>
        </a:p>
        <a:p>
          <a:pPr>
            <a:lnSpc>
              <a:spcPct val="100000"/>
            </a:lnSpc>
          </a:pPr>
          <a:r>
            <a:rPr b="1" lang="en-US" sz="800" spc="-1" strike="noStrike">
              <a:solidFill>
                <a:srgbClr val="000000"/>
              </a:solidFill>
              <a:latin typeface="Trebuchet MS"/>
            </a:rPr>
            <a:t>Days between sales and invoice 5</a:t>
          </a:r>
          <a:endParaRPr b="0" lang="en-US" sz="800" spc="-1" strike="noStrike">
            <a:latin typeface="Times New Roman"/>
          </a:endParaRPr>
        </a:p>
        <a:p>
          <a:pPr>
            <a:lnSpc>
              <a:spcPct val="100000"/>
            </a:lnSpc>
          </a:pPr>
          <a:r>
            <a:rPr b="1" lang="en-US" sz="800" spc="-1" strike="noStrike">
              <a:solidFill>
                <a:srgbClr val="000000"/>
              </a:solidFill>
              <a:latin typeface="Trebuchet MS"/>
            </a:rPr>
            <a:t>Credit term 30</a:t>
          </a:r>
          <a:endParaRPr b="0" lang="en-US" sz="800" spc="-1" strike="noStrike">
            <a:latin typeface="Times New Roman"/>
          </a:endParaRPr>
        </a:p>
        <a:p>
          <a:pPr>
            <a:lnSpc>
              <a:spcPct val="100000"/>
            </a:lnSpc>
          </a:pPr>
          <a:r>
            <a:rPr b="1" lang="en-US" sz="800" spc="-1" strike="noStrike">
              <a:solidFill>
                <a:srgbClr val="000000"/>
              </a:solidFill>
              <a:latin typeface="Trebuchet MS"/>
            </a:rPr>
            <a:t>Overdue 10</a:t>
          </a:r>
          <a:endParaRPr b="0" lang="en-US" sz="800" spc="-1" strike="noStrike">
            <a:latin typeface="Times New Roman"/>
          </a:endParaRPr>
        </a:p>
        <a:p>
          <a:pPr>
            <a:lnSpc>
              <a:spcPct val="100000"/>
            </a:lnSpc>
          </a:pPr>
          <a:r>
            <a:rPr b="1" lang="en-US" sz="800" spc="-1" strike="noStrike">
              <a:solidFill>
                <a:srgbClr val="000000"/>
              </a:solidFill>
              <a:latin typeface="Trebuchet MS"/>
            </a:rPr>
            <a:t>DSO 45</a:t>
          </a:r>
          <a:endParaRPr b="0" lang="en-US" sz="800" spc="-1" strike="noStrike">
            <a:latin typeface="Times New Roman"/>
          </a:endParaRPr>
        </a:p>
        <a:p>
          <a:pPr>
            <a:lnSpc>
              <a:spcPct val="100000"/>
            </a:lnSpc>
          </a:pPr>
          <a:r>
            <a:rPr b="1" lang="en-US" sz="800" spc="-1" strike="noStrike">
              <a:solidFill>
                <a:srgbClr val="000000"/>
              </a:solidFill>
              <a:latin typeface="Trebuchet MS"/>
            </a:rPr>
            <a:t>Taking into account the diversity of credit given to customers, the terms for all categories of services</a:t>
          </a:r>
          <a:endParaRPr b="0" lang="en-US" sz="800" spc="-1" strike="noStrike">
            <a:latin typeface="Times New Roman"/>
          </a:endParaRPr>
        </a:p>
        <a:p>
          <a:pPr>
            <a:lnSpc>
              <a:spcPct val="100000"/>
            </a:lnSpc>
          </a:pPr>
          <a:r>
            <a:rPr b="1" lang="en-US" sz="800" spc="-1" strike="noStrike">
              <a:solidFill>
                <a:srgbClr val="000000"/>
              </a:solidFill>
              <a:latin typeface="Trebuchet MS"/>
            </a:rPr>
            <a:t>and products have to be filled in.</a:t>
          </a:r>
          <a:endParaRPr b="0" lang="en-US" sz="800" spc="-1" strike="noStrike">
            <a:latin typeface="Times New Roman"/>
          </a:endParaRPr>
        </a:p>
        <a:p>
          <a:pPr>
            <a:lnSpc>
              <a:spcPct val="100000"/>
            </a:lnSpc>
          </a:pPr>
          <a:r>
            <a:rPr b="1" lang="en-US" sz="800" spc="-1" strike="noStrike">
              <a:solidFill>
                <a:srgbClr val="000000"/>
              </a:solidFill>
              <a:latin typeface="Trebuchet MS"/>
            </a:rPr>
            <a:t>There is also the possibility to change the DSO per year. The DSO entered in the basis year is</a:t>
          </a:r>
          <a:endParaRPr b="0" lang="en-US" sz="800" spc="-1" strike="noStrike">
            <a:latin typeface="Times New Roman"/>
          </a:endParaRPr>
        </a:p>
        <a:p>
          <a:pPr>
            <a:lnSpc>
              <a:spcPct val="100000"/>
            </a:lnSpc>
          </a:pPr>
          <a:r>
            <a:rPr b="1" lang="en-US" sz="800" spc="-1" strike="noStrike">
              <a:solidFill>
                <a:srgbClr val="000000"/>
              </a:solidFill>
              <a:latin typeface="Trebuchet MS"/>
            </a:rPr>
            <a:t>automatically copied to the other years but may be overwritten.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Inventories</a:t>
          </a:r>
          <a:endParaRPr b="0" lang="en-US" sz="800" spc="-1" strike="noStrike">
            <a:latin typeface="Times New Roman"/>
          </a:endParaRPr>
        </a:p>
        <a:p>
          <a:pPr>
            <a:lnSpc>
              <a:spcPct val="100000"/>
            </a:lnSpc>
          </a:pPr>
          <a:r>
            <a:rPr b="1" lang="en-US" sz="800" spc="-1" strike="noStrike">
              <a:solidFill>
                <a:srgbClr val="000000"/>
              </a:solidFill>
              <a:latin typeface="Trebuchet MS"/>
            </a:rPr>
            <a:t>This module focuses on stock financing.</a:t>
          </a:r>
          <a:endParaRPr b="0" lang="en-US" sz="800" spc="-1" strike="noStrike">
            <a:latin typeface="Times New Roman"/>
          </a:endParaRPr>
        </a:p>
        <a:p>
          <a:pPr>
            <a:lnSpc>
              <a:spcPct val="100000"/>
            </a:lnSpc>
          </a:pPr>
          <a:r>
            <a:rPr b="1" lang="en-US" sz="800" spc="-1" strike="noStrike">
              <a:solidFill>
                <a:srgbClr val="000000"/>
              </a:solidFill>
              <a:latin typeface="Trebuchet MS"/>
            </a:rPr>
            <a:t>Days on hand (DOH): Number of days a new truck and other products are in stock or WIP (work in</a:t>
          </a:r>
          <a:endParaRPr b="0" lang="en-US" sz="800" spc="-1" strike="noStrike">
            <a:latin typeface="Times New Roman"/>
          </a:endParaRPr>
        </a:p>
        <a:p>
          <a:pPr>
            <a:lnSpc>
              <a:spcPct val="100000"/>
            </a:lnSpc>
          </a:pPr>
          <a:r>
            <a:rPr b="1" lang="en-US" sz="800" spc="-1" strike="noStrike">
              <a:solidFill>
                <a:srgbClr val="000000"/>
              </a:solidFill>
              <a:latin typeface="Trebuchet MS"/>
            </a:rPr>
            <a:t>progress).</a:t>
          </a:r>
          <a:endParaRPr b="0" lang="en-US" sz="800" spc="-1" strike="noStrike">
            <a:latin typeface="Times New Roman"/>
          </a:endParaRPr>
        </a:p>
        <a:p>
          <a:pPr>
            <a:lnSpc>
              <a:spcPct val="100000"/>
            </a:lnSpc>
          </a:pPr>
          <a:r>
            <a:rPr b="1" lang="en-US" sz="800" spc="-1" strike="noStrike">
              <a:solidFill>
                <a:srgbClr val="000000"/>
              </a:solidFill>
              <a:latin typeface="Trebuchet MS"/>
            </a:rPr>
            <a:t>The possibility exists to change the DOH per year. The DOH entered in the basis year is automatically</a:t>
          </a:r>
          <a:endParaRPr b="0" lang="en-US" sz="800" spc="-1" strike="noStrike">
            <a:latin typeface="Times New Roman"/>
          </a:endParaRPr>
        </a:p>
        <a:p>
          <a:pPr>
            <a:lnSpc>
              <a:spcPct val="100000"/>
            </a:lnSpc>
          </a:pPr>
          <a:r>
            <a:rPr b="1" lang="en-US" sz="800" spc="-1" strike="noStrike">
              <a:solidFill>
                <a:srgbClr val="000000"/>
              </a:solidFill>
              <a:latin typeface="Trebuchet MS"/>
            </a:rPr>
            <a:t>copied to the other years but may be overwritten.</a:t>
          </a:r>
          <a:endParaRPr b="0" lang="en-US" sz="800" spc="-1" strike="noStrike">
            <a:latin typeface="Times New Roman"/>
          </a:endParaRPr>
        </a:p>
        <a:p>
          <a:pPr>
            <a:lnSpc>
              <a:spcPct val="100000"/>
            </a:lnSpc>
          </a:pPr>
          <a:r>
            <a:rPr b="1" lang="en-US" sz="800" spc="-1" strike="noStrike">
              <a:solidFill>
                <a:srgbClr val="000000"/>
              </a:solidFill>
              <a:latin typeface="Trebuchet MS"/>
            </a:rPr>
            <a:t>This module also has the assumption explained in 7.5.2: The yearly initial stock of parts and used</a:t>
          </a:r>
          <a:endParaRPr b="0" lang="en-US" sz="800" spc="-1" strike="noStrike">
            <a:latin typeface="Times New Roman"/>
          </a:endParaRPr>
        </a:p>
        <a:p>
          <a:pPr>
            <a:lnSpc>
              <a:spcPct val="100000"/>
            </a:lnSpc>
          </a:pPr>
          <a:r>
            <a:rPr b="1" lang="en-US" sz="800" spc="-1" strike="noStrike">
              <a:solidFill>
                <a:srgbClr val="000000"/>
              </a:solidFill>
              <a:latin typeface="Trebuchet MS"/>
            </a:rPr>
            <a:t>trucks is considered long term (= 1 year) and the change in stock is corrected on a short term basis</a:t>
          </a:r>
          <a:endParaRPr b="0" lang="en-US" sz="800" spc="-1" strike="noStrike">
            <a:latin typeface="Times New Roman"/>
          </a:endParaRPr>
        </a:p>
        <a:p>
          <a:pPr>
            <a:lnSpc>
              <a:spcPct val="100000"/>
            </a:lnSpc>
          </a:pPr>
          <a:r>
            <a:rPr b="1" lang="en-US" sz="800" spc="-1" strike="noStrike">
              <a:solidFill>
                <a:srgbClr val="000000"/>
              </a:solidFill>
              <a:latin typeface="Trebuchet MS"/>
            </a:rPr>
            <a:t>(&lt; 1 year). This means that only the change of stock in parts and used trucks is considered to be a</a:t>
          </a:r>
          <a:endParaRPr b="0" lang="en-US" sz="800" spc="-1" strike="noStrike">
            <a:latin typeface="Times New Roman"/>
          </a:endParaRPr>
        </a:p>
        <a:p>
          <a:pPr>
            <a:lnSpc>
              <a:spcPct val="100000"/>
            </a:lnSpc>
          </a:pPr>
          <a:r>
            <a:rPr b="1" lang="en-US" sz="800" spc="-1" strike="noStrike">
              <a:solidFill>
                <a:srgbClr val="000000"/>
              </a:solidFill>
              <a:latin typeface="Trebuchet MS"/>
            </a:rPr>
            <a:t>short term requirement. The assumption does not apply for new trucks and other products.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2.3 Trade payables</a:t>
          </a:r>
          <a:endParaRPr b="0" lang="en-US" sz="800" spc="-1" strike="noStrike">
            <a:latin typeface="Times New Roman"/>
          </a:endParaRPr>
        </a:p>
        <a:p>
          <a:pPr>
            <a:lnSpc>
              <a:spcPct val="100000"/>
            </a:lnSpc>
          </a:pPr>
          <a:r>
            <a:rPr b="1" lang="en-US" sz="800" spc="-1" strike="noStrike">
              <a:solidFill>
                <a:srgbClr val="000000"/>
              </a:solidFill>
              <a:latin typeface="Trebuchet MS"/>
            </a:rPr>
            <a:t>Days of payables outstanding (DPO): number of days between day of invoice and value date of</a:t>
          </a:r>
          <a:endParaRPr b="0" lang="en-US" sz="800" spc="-1" strike="noStrike">
            <a:latin typeface="Times New Roman"/>
          </a:endParaRPr>
        </a:p>
        <a:p>
          <a:pPr>
            <a:lnSpc>
              <a:spcPct val="100000"/>
            </a:lnSpc>
          </a:pPr>
          <a:r>
            <a:rPr b="1" lang="en-US" sz="800" spc="-1" strike="noStrike">
              <a:solidFill>
                <a:srgbClr val="000000"/>
              </a:solidFill>
              <a:latin typeface="Trebuchet MS"/>
            </a:rPr>
            <a:t>payment from your bank account.</a:t>
          </a:r>
          <a:endParaRPr b="0" lang="en-US" sz="800" spc="-1" strike="noStrike">
            <a:latin typeface="Times New Roman"/>
          </a:endParaRPr>
        </a:p>
        <a:p>
          <a:pPr>
            <a:lnSpc>
              <a:spcPct val="100000"/>
            </a:lnSpc>
          </a:pPr>
          <a:r>
            <a:rPr b="1" lang="en-US" sz="800" spc="-1" strike="noStrike">
              <a:solidFill>
                <a:srgbClr val="000000"/>
              </a:solidFill>
              <a:latin typeface="Trebuchet MS"/>
            </a:rPr>
            <a:t>Example :</a:t>
          </a:r>
          <a:endParaRPr b="0" lang="en-US" sz="800" spc="-1" strike="noStrike">
            <a:latin typeface="Times New Roman"/>
          </a:endParaRPr>
        </a:p>
        <a:p>
          <a:pPr>
            <a:lnSpc>
              <a:spcPct val="100000"/>
            </a:lnSpc>
          </a:pPr>
          <a:r>
            <a:rPr b="1" lang="en-US" sz="800" spc="-1" strike="noStrike">
              <a:solidFill>
                <a:srgbClr val="000000"/>
              </a:solidFill>
              <a:latin typeface="Trebuchet MS"/>
            </a:rPr>
            <a:t>                                                                                   </a:t>
          </a:r>
          <a:r>
            <a:rPr b="1" lang="en-US" sz="800" spc="-1" strike="noStrike">
              <a:solidFill>
                <a:srgbClr val="000000"/>
              </a:solidFill>
              <a:latin typeface="Trebuchet MS"/>
            </a:rPr>
            <a:t>Days</a:t>
          </a:r>
          <a:endParaRPr b="0" lang="en-US" sz="800" spc="-1" strike="noStrike">
            <a:latin typeface="Times New Roman"/>
          </a:endParaRPr>
        </a:p>
        <a:p>
          <a:pPr>
            <a:lnSpc>
              <a:spcPct val="100000"/>
            </a:lnSpc>
          </a:pPr>
          <a:r>
            <a:rPr b="1" lang="en-US" sz="800" spc="-1" strike="noStrike">
              <a:solidFill>
                <a:srgbClr val="000000"/>
              </a:solidFill>
              <a:latin typeface="Trebuchet MS"/>
            </a:rPr>
            <a:t>Days of credit on invoice                                       30</a:t>
          </a:r>
          <a:endParaRPr b="0" lang="en-US" sz="800" spc="-1" strike="noStrike">
            <a:latin typeface="Times New Roman"/>
          </a:endParaRPr>
        </a:p>
        <a:p>
          <a:pPr>
            <a:lnSpc>
              <a:spcPct val="100000"/>
            </a:lnSpc>
          </a:pPr>
          <a:r>
            <a:rPr b="1" lang="en-US" sz="800" spc="-1" strike="noStrike">
              <a:solidFill>
                <a:srgbClr val="000000"/>
              </a:solidFill>
              <a:latin typeface="Trebuchet MS"/>
            </a:rPr>
            <a:t>Payment on day 29                                                   -1</a:t>
          </a:r>
          <a:endParaRPr b="0" lang="en-US" sz="800" spc="-1" strike="noStrike">
            <a:latin typeface="Times New Roman"/>
          </a:endParaRPr>
        </a:p>
        <a:p>
          <a:pPr>
            <a:lnSpc>
              <a:spcPct val="100000"/>
            </a:lnSpc>
          </a:pPr>
          <a:r>
            <a:rPr b="1" lang="en-US" sz="800" spc="-1" strike="noStrike">
              <a:solidFill>
                <a:srgbClr val="000000"/>
              </a:solidFill>
              <a:latin typeface="Trebuchet MS"/>
            </a:rPr>
            <a:t>Total DPO                                                                   29</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Taking into account the diversity of credit received from suppliers, the terms for all categories of</a:t>
          </a:r>
          <a:endParaRPr b="0" lang="en-US" sz="800" spc="-1" strike="noStrike">
            <a:latin typeface="Times New Roman"/>
          </a:endParaRPr>
        </a:p>
        <a:p>
          <a:pPr>
            <a:lnSpc>
              <a:spcPct val="100000"/>
            </a:lnSpc>
          </a:pPr>
          <a:r>
            <a:rPr b="1" lang="en-US" sz="800" spc="-1" strike="noStrike">
              <a:solidFill>
                <a:srgbClr val="000000"/>
              </a:solidFill>
              <a:latin typeface="Trebuchet MS"/>
            </a:rPr>
            <a:t>services and products have to be filled in.</a:t>
          </a:r>
          <a:endParaRPr b="0" lang="en-US" sz="800" spc="-1" strike="noStrike">
            <a:latin typeface="Times New Roman"/>
          </a:endParaRPr>
        </a:p>
        <a:p>
          <a:pPr>
            <a:lnSpc>
              <a:spcPct val="100000"/>
            </a:lnSpc>
          </a:pPr>
          <a:r>
            <a:rPr b="1" lang="en-US" sz="800" spc="-1" strike="noStrike">
              <a:solidFill>
                <a:srgbClr val="000000"/>
              </a:solidFill>
              <a:latin typeface="Trebuchet MS"/>
            </a:rPr>
            <a:t>There is also the possibility to change the DPO per year. The DPO entered in the basis year is</a:t>
          </a:r>
          <a:endParaRPr b="0" lang="en-US" sz="800" spc="-1" strike="noStrike">
            <a:latin typeface="Times New Roman"/>
          </a:endParaRPr>
        </a:p>
        <a:p>
          <a:pPr>
            <a:lnSpc>
              <a:spcPct val="100000"/>
            </a:lnSpc>
          </a:pPr>
          <a:r>
            <a:rPr b="1" lang="en-US" sz="800" spc="-1" strike="noStrike">
              <a:solidFill>
                <a:srgbClr val="000000"/>
              </a:solidFill>
              <a:latin typeface="Trebuchet MS"/>
            </a:rPr>
            <a:t>automatically copied to the other years but may be overwritten.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2.4 VAT on investments (and part of the outstanding amounts to be paid)</a:t>
          </a:r>
          <a:endParaRPr b="0" lang="en-US" sz="800" spc="-1" strike="noStrike">
            <a:latin typeface="Times New Roman"/>
          </a:endParaRPr>
        </a:p>
        <a:p>
          <a:pPr>
            <a:lnSpc>
              <a:spcPct val="100000"/>
            </a:lnSpc>
          </a:pPr>
          <a:r>
            <a:rPr b="1" lang="en-US" sz="800" spc="-1" strike="noStrike">
              <a:solidFill>
                <a:srgbClr val="000000"/>
              </a:solidFill>
              <a:latin typeface="Trebuchet MS"/>
            </a:rPr>
            <a:t>Investments are financed by long term means in this format. The VAT meant here is the VAT part in</a:t>
          </a:r>
          <a:endParaRPr b="0" lang="en-US" sz="800" spc="-1" strike="noStrike">
            <a:latin typeface="Times New Roman"/>
          </a:endParaRPr>
        </a:p>
        <a:p>
          <a:pPr>
            <a:lnSpc>
              <a:spcPct val="100000"/>
            </a:lnSpc>
          </a:pPr>
          <a:r>
            <a:rPr b="1" lang="en-US" sz="800" spc="-1" strike="noStrike">
              <a:solidFill>
                <a:srgbClr val="000000"/>
              </a:solidFill>
              <a:latin typeface="Trebuchet MS"/>
            </a:rPr>
            <a:t>the amount to be paid to the supplier, not the VAT to be paid or recovered to the authorities.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2.5 Total short term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Gives a summary of the short term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Change in inventory : if the value of the stock increases, the funding requirements increase as well</a:t>
          </a:r>
          <a:endParaRPr b="0" lang="en-US" sz="800" spc="-1" strike="noStrike">
            <a:latin typeface="Times New Roman"/>
          </a:endParaRPr>
        </a:p>
        <a:p>
          <a:pPr>
            <a:lnSpc>
              <a:spcPct val="100000"/>
            </a:lnSpc>
          </a:pPr>
          <a:r>
            <a:rPr b="1" lang="en-US" sz="800" spc="-1" strike="noStrike">
              <a:solidFill>
                <a:srgbClr val="000000"/>
              </a:solidFill>
              <a:latin typeface="Trebuchet MS"/>
            </a:rPr>
            <a:t>Total trade receivables : the trade receivables increase the funding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Total trade payables : trade payables are a kind of financing and therefore decrease the funding</a:t>
          </a:r>
          <a:endParaRPr b="0" lang="en-US" sz="800" spc="-1" strike="noStrike">
            <a:latin typeface="Times New Roman"/>
          </a:endParaRPr>
        </a:p>
        <a:p>
          <a:pPr>
            <a:lnSpc>
              <a:spcPct val="100000"/>
            </a:lnSpc>
          </a:pPr>
          <a:r>
            <a:rPr b="1" lang="en-US" sz="800" spc="-1" strike="noStrike">
              <a:solidFill>
                <a:srgbClr val="000000"/>
              </a:solidFill>
              <a:latin typeface="Trebuchet MS"/>
            </a:rPr>
            <a:t>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VAT on investments : trade payable, so decreasing the funding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VAT balance : see 7.5.3</a:t>
          </a:r>
          <a:endParaRPr b="0" lang="en-US" sz="800" spc="-1" strike="noStrike">
            <a:latin typeface="Times New Roman"/>
          </a:endParaRPr>
        </a:p>
        <a:p>
          <a:pPr>
            <a:lnSpc>
              <a:spcPct val="100000"/>
            </a:lnSpc>
          </a:pPr>
          <a:r>
            <a:rPr b="1" lang="en-US" sz="800" spc="-1" strike="noStrike">
              <a:solidFill>
                <a:srgbClr val="000000"/>
              </a:solidFill>
              <a:latin typeface="Trebuchet MS"/>
            </a:rPr>
            <a:t>Cash : if additional cash is required for day–to-day payment obligations, this can be</a:t>
          </a:r>
          <a:endParaRPr b="0" lang="en-US" sz="800" spc="-1" strike="noStrike">
            <a:latin typeface="Times New Roman"/>
          </a:endParaRPr>
        </a:p>
        <a:p>
          <a:pPr>
            <a:lnSpc>
              <a:spcPct val="100000"/>
            </a:lnSpc>
          </a:pPr>
          <a:r>
            <a:rPr b="1" lang="en-US" sz="800" spc="-1" strike="noStrike">
              <a:solidFill>
                <a:srgbClr val="000000"/>
              </a:solidFill>
              <a:latin typeface="Trebuchet MS"/>
            </a:rPr>
            <a:t>entered here and this increases the funding requirements</a:t>
          </a:r>
          <a:endParaRPr b="0" lang="en-US" sz="800" spc="-1" strike="noStrike">
            <a:latin typeface="Times New Roman"/>
          </a:endParaRPr>
        </a:p>
        <a:p>
          <a:pPr>
            <a:lnSpc>
              <a:spcPct val="100000"/>
            </a:lnSpc>
          </a:pPr>
          <a:r>
            <a:rPr b="1" lang="en-US" sz="800" spc="-1" strike="noStrike">
              <a:solidFill>
                <a:srgbClr val="000000"/>
              </a:solidFill>
              <a:latin typeface="Trebuchet MS"/>
            </a:rPr>
            <a:t>Dividends : in case the company makes a profit and it is decided to pay dividends to the</a:t>
          </a:r>
          <a:endParaRPr b="0" lang="en-US" sz="800" spc="-1" strike="noStrike">
            <a:latin typeface="Times New Roman"/>
          </a:endParaRPr>
        </a:p>
        <a:p>
          <a:pPr>
            <a:lnSpc>
              <a:spcPct val="100000"/>
            </a:lnSpc>
          </a:pPr>
          <a:r>
            <a:rPr b="1" lang="en-US" sz="800" spc="-1" strike="noStrike">
              <a:solidFill>
                <a:srgbClr val="000000"/>
              </a:solidFill>
              <a:latin typeface="Trebuchet MS"/>
            </a:rPr>
            <a:t>shareholders, the payment needs to be financed [7.7. Profit &amp; Loss Account]</a:t>
          </a:r>
          <a:endParaRPr b="0" lang="en-US" sz="800" spc="-1" strike="noStrike">
            <a:latin typeface="Times New Roman"/>
          </a:endParaRPr>
        </a:p>
        <a:p>
          <a:pPr>
            <a:lnSpc>
              <a:spcPct val="100000"/>
            </a:lnSpc>
          </a:pPr>
          <a:r>
            <a:rPr b="1" lang="en-US" sz="800" spc="-1" strike="noStrike">
              <a:solidFill>
                <a:srgbClr val="000000"/>
              </a:solidFill>
              <a:latin typeface="Trebuchet MS"/>
            </a:rPr>
            <a:t>The balance of the short term requirements and sources out of operational means, gives the short</a:t>
          </a:r>
          <a:endParaRPr b="0" lang="en-US" sz="800" spc="-1" strike="noStrike">
            <a:latin typeface="Times New Roman"/>
          </a:endParaRPr>
        </a:p>
        <a:p>
          <a:pPr>
            <a:lnSpc>
              <a:spcPct val="100000"/>
            </a:lnSpc>
          </a:pPr>
          <a:r>
            <a:rPr b="1" lang="en-US" sz="800" spc="-1" strike="noStrike">
              <a:solidFill>
                <a:srgbClr val="000000"/>
              </a:solidFill>
              <a:latin typeface="Trebuchet MS"/>
            </a:rPr>
            <a:t>term requirements to be financed or the abundance of short term means (=cash).</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1</xdr:col>
      <xdr:colOff>679320</xdr:colOff>
      <xdr:row>0</xdr:row>
      <xdr:rowOff>38160</xdr:rowOff>
    </xdr:from>
    <xdr:to>
      <xdr:col>2</xdr:col>
      <xdr:colOff>31320</xdr:colOff>
      <xdr:row>0</xdr:row>
      <xdr:rowOff>183960</xdr:rowOff>
    </xdr:to>
    <xdr:pic>
      <xdr:nvPicPr>
        <xdr:cNvPr id="227" name="CommandButton1" descr=""/>
        <xdr:cNvPicPr/>
      </xdr:nvPicPr>
      <xdr:blipFill>
        <a:blip r:embed="rId1"/>
        <a:stretch/>
      </xdr:blipFill>
      <xdr:spPr>
        <a:xfrm>
          <a:off x="2554200" y="38160"/>
          <a:ext cx="218880" cy="145800"/>
        </a:xfrm>
        <a:prstGeom prst="rect">
          <a:avLst/>
        </a:prstGeom>
        <a:ln>
          <a:noFill/>
        </a:ln>
      </xdr:spPr>
    </xdr:pic>
    <xdr:clientData/>
  </xdr:twoCellAnchor>
</xdr:wsDr>
</file>

<file path=xl/drawings/drawing46.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133200</xdr:colOff>
      <xdr:row>7</xdr:row>
      <xdr:rowOff>114480</xdr:rowOff>
    </xdr:from>
    <xdr:to>
      <xdr:col>12</xdr:col>
      <xdr:colOff>9000</xdr:colOff>
      <xdr:row>82</xdr:row>
      <xdr:rowOff>180720</xdr:rowOff>
    </xdr:to>
    <xdr:sp>
      <xdr:nvSpPr>
        <xdr:cNvPr id="228" name="CustomShape 1" hidden="1"/>
        <xdr:cNvSpPr/>
      </xdr:nvSpPr>
      <xdr:spPr>
        <a:xfrm>
          <a:off x="3751200" y="1704960"/>
          <a:ext cx="7284240" cy="147538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7.5.2 Financial Income &amp; Expenses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Summary funding requirements</a:t>
          </a:r>
          <a:endParaRPr b="0" lang="en-US" sz="800" spc="-1" strike="noStrike">
            <a:latin typeface="Times New Roman"/>
          </a:endParaRPr>
        </a:p>
        <a:p>
          <a:pPr>
            <a:lnSpc>
              <a:spcPct val="100000"/>
            </a:lnSpc>
          </a:pPr>
          <a:r>
            <a:rPr b="0" lang="en-US" sz="800" spc="-1" strike="noStrike">
              <a:solidFill>
                <a:srgbClr val="000000"/>
              </a:solidFill>
              <a:latin typeface="Trebuchet MS"/>
            </a:rPr>
            <a:t>In this module all fields are calculated fields.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New dealer: The opening balance applies to new dealers only and reflects the capital required for the assets brought into the company at the time of the set up. The short term requirements always equal zero.</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Investments made in the first year of the business plan are added to determine the total funding requirement in the first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Existing dealer: The basis year of the business plan should represent the financing required during the last fiscal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 Long term funding</a:t>
          </a:r>
          <a:endParaRPr b="0" lang="en-US" sz="800" spc="-1" strike="noStrike">
            <a:latin typeface="Times New Roman"/>
          </a:endParaRPr>
        </a:p>
        <a:p>
          <a:pPr>
            <a:lnSpc>
              <a:spcPct val="100000"/>
            </a:lnSpc>
          </a:pPr>
          <a:r>
            <a:rPr b="1" lang="en-US" sz="800" spc="-1" strike="noStrike">
              <a:solidFill>
                <a:srgbClr val="000000"/>
              </a:solidFill>
              <a:latin typeface="Trebuchet MS"/>
            </a:rPr>
            <a:t>2.1. Equity &amp; associated means</a:t>
          </a:r>
          <a:endParaRPr b="0" lang="en-US" sz="800" spc="-1" strike="noStrike">
            <a:latin typeface="Times New Roman"/>
          </a:endParaRPr>
        </a:p>
        <a:p>
          <a:pPr>
            <a:lnSpc>
              <a:spcPct val="100000"/>
            </a:lnSpc>
          </a:pPr>
          <a:r>
            <a:rPr b="0" lang="en-US" sz="800" spc="-1" strike="noStrike">
              <a:solidFill>
                <a:srgbClr val="000000"/>
              </a:solidFill>
              <a:latin typeface="Trebuchet MS"/>
            </a:rPr>
            <a:t>Opening balance: only applies to new dealers. 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 paid-in-capital  : minimum required and/or paid in capital</a:t>
          </a:r>
          <a:endParaRPr b="0" lang="en-US" sz="800" spc="-1" strike="noStrike">
            <a:latin typeface="Times New Roman"/>
          </a:endParaRPr>
        </a:p>
        <a:p>
          <a:pPr>
            <a:lnSpc>
              <a:spcPct val="100000"/>
            </a:lnSpc>
          </a:pPr>
          <a:r>
            <a:rPr b="0" lang="en-US" sz="800" spc="-1" strike="noStrike">
              <a:solidFill>
                <a:srgbClr val="000000"/>
              </a:solidFill>
              <a:latin typeface="Trebuchet MS"/>
            </a:rPr>
            <a:t>- subordinated loans : a loan which is placed in a higher rank than a normal loan but in a lower rank </a:t>
          </a:r>
          <a:endParaRPr b="0" lang="en-US" sz="800" spc="-1" strike="noStrike">
            <a:latin typeface="Times New Roman"/>
          </a:endParaRPr>
        </a:p>
        <a:p>
          <a:pPr>
            <a:lnSpc>
              <a:spcPct val="100000"/>
            </a:lnSpc>
          </a:pPr>
          <a:r>
            <a:rPr b="0" lang="en-US" sz="800" spc="-1" strike="noStrike">
              <a:solidFill>
                <a:srgbClr val="000000"/>
              </a:solidFill>
              <a:latin typeface="Trebuchet MS"/>
            </a:rPr>
            <a:t>than paid-in-capital. Only when the loan is subordinated to all creditors the loan can be addressed to the shareholders’ equity. If the loan is subordinated to the bank the loan can be addressed long term liabilities.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Explanations :</a:t>
          </a:r>
          <a:endParaRPr b="0" lang="en-US" sz="800" spc="-1" strike="noStrike">
            <a:latin typeface="Times New Roman"/>
          </a:endParaRPr>
        </a:p>
        <a:p>
          <a:pPr>
            <a:lnSpc>
              <a:spcPct val="100000"/>
            </a:lnSpc>
          </a:pPr>
          <a:r>
            <a:rPr b="0" lang="en-US" sz="800" spc="-1" strike="noStrike">
              <a:solidFill>
                <a:srgbClr val="000000"/>
              </a:solidFill>
              <a:latin typeface="Trebuchet MS"/>
            </a:rPr>
            <a:t>Difference between reserves and retained earnings/losses: see [7.7 Profit &amp; Loss Account]</a:t>
          </a:r>
          <a:endParaRPr b="0" lang="en-US" sz="800" spc="-1" strike="noStrike">
            <a:latin typeface="Times New Roman"/>
          </a:endParaRPr>
        </a:p>
        <a:p>
          <a:pPr>
            <a:lnSpc>
              <a:spcPct val="100000"/>
            </a:lnSpc>
          </a:pPr>
          <a:r>
            <a:rPr b="0" lang="en-US" sz="800" spc="-1" strike="noStrike">
              <a:solidFill>
                <a:srgbClr val="000000"/>
              </a:solidFill>
              <a:latin typeface="Trebuchet MS"/>
            </a:rPr>
            <a:t>Revaluation reserves: in case the economic value of an asset (especially land or building) at year-end is significantly higher than the book value, and this can be stated by a survey executed of an independent consultant, the revaluation generates additional equity.</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2.2. Long term funding (&gt;= 1 year)</a:t>
          </a:r>
          <a:endParaRPr b="0" lang="en-US" sz="800" spc="-1" strike="noStrike">
            <a:latin typeface="Times New Roman"/>
          </a:endParaRPr>
        </a:p>
        <a:p>
          <a:pPr>
            <a:lnSpc>
              <a:spcPct val="100000"/>
            </a:lnSpc>
          </a:pPr>
          <a:r>
            <a:rPr b="0" lang="en-US" sz="800" spc="-1" strike="noStrike">
              <a:solidFill>
                <a:srgbClr val="000000"/>
              </a:solidFill>
              <a:latin typeface="Trebuchet MS"/>
            </a:rPr>
            <a:t>In case funding by means of equity &amp; associated means is insufficient, this module gives you the opportunity to set up additional funding based on long term loans.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line “Financing need (-)/surplus(+)” determines whether there is a positive long term funding position or a negative long term funding position. In case there is a positive long term funding position, no additional funding is required. In case there is a negative long term funding position, additional funding is required. One has to take into account here the cash position in 7.5.2. In the end the deliberation between short and long term needs on one hand and the available means on short and long term on the other hand will decide how to finance the needs.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Two parameters per loan need to be filled in; “years” for duration of the loan and “amount” for amount of the loan.</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Explanation :</a:t>
          </a:r>
          <a:endParaRPr b="0" lang="en-US" sz="800" spc="-1" strike="noStrike">
            <a:latin typeface="Times New Roman"/>
          </a:endParaRPr>
        </a:p>
        <a:p>
          <a:pPr>
            <a:lnSpc>
              <a:spcPct val="100000"/>
            </a:lnSpc>
          </a:pPr>
          <a:r>
            <a:rPr b="0" lang="en-US" sz="800" spc="-1" strike="noStrike">
              <a:solidFill>
                <a:srgbClr val="000000"/>
              </a:solidFill>
              <a:latin typeface="Trebuchet MS"/>
            </a:rPr>
            <a:t>- Opening year: the amount of loan granted to a new dealer in the beginning of the first year</a:t>
          </a:r>
          <a:endParaRPr b="0" lang="en-US" sz="800" spc="-1" strike="noStrike">
            <a:latin typeface="Times New Roman"/>
          </a:endParaRPr>
        </a:p>
        <a:p>
          <a:pPr>
            <a:lnSpc>
              <a:spcPct val="100000"/>
            </a:lnSpc>
          </a:pPr>
          <a:r>
            <a:rPr b="0" lang="en-US" sz="800" spc="-1" strike="noStrike">
              <a:solidFill>
                <a:srgbClr val="000000"/>
              </a:solidFill>
              <a:latin typeface="Trebuchet MS"/>
            </a:rPr>
            <a:t>- Previous years: the total amount of loans for an existing dealer in the beginning of the first year, in case there is no equal redemption over the years to come, the loans may be filled in manually.  </a:t>
          </a:r>
          <a:endParaRPr b="0" lang="en-US" sz="800" spc="-1" strike="noStrike">
            <a:latin typeface="Times New Roman"/>
          </a:endParaRPr>
        </a:p>
        <a:p>
          <a:pPr>
            <a:lnSpc>
              <a:spcPct val="100000"/>
            </a:lnSpc>
          </a:pPr>
          <a:r>
            <a:rPr b="0" lang="en-US" sz="800" spc="-1" strike="noStrike">
              <a:solidFill>
                <a:srgbClr val="000000"/>
              </a:solidFill>
              <a:latin typeface="Trebuchet MS"/>
            </a:rPr>
            <a:t>- For the following years, in case there is a financial need, additional funding is required.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 Short term funding</a:t>
          </a:r>
          <a:endParaRPr b="0" lang="en-US" sz="800" spc="-1" strike="noStrike">
            <a:latin typeface="Times New Roman"/>
          </a:endParaRPr>
        </a:p>
        <a:p>
          <a:pPr>
            <a:lnSpc>
              <a:spcPct val="100000"/>
            </a:lnSpc>
          </a:pPr>
          <a:r>
            <a:rPr b="1" lang="en-US" sz="800" spc="-1" strike="noStrike">
              <a:solidFill>
                <a:srgbClr val="000000"/>
              </a:solidFill>
              <a:latin typeface="Trebuchet MS"/>
            </a:rPr>
            <a:t>3.1. Percentage of inventory financing</a:t>
          </a:r>
          <a:endParaRPr b="0" lang="en-US" sz="800" spc="-1" strike="noStrike">
            <a:latin typeface="Times New Roman"/>
          </a:endParaRPr>
        </a:p>
        <a:p>
          <a:pPr>
            <a:lnSpc>
              <a:spcPct val="100000"/>
            </a:lnSpc>
          </a:pPr>
          <a:r>
            <a:rPr b="0" lang="en-US" sz="800" spc="-1" strike="noStrike">
              <a:solidFill>
                <a:srgbClr val="000000"/>
              </a:solidFill>
              <a:latin typeface="Trebuchet MS"/>
            </a:rPr>
            <a:t>The percentage of vehicles that can be financed by specific inventory financing. Of course this should be in accordance with the terms of your financing company.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In case a vehicle is longer in stock (on hand) than the credit received from the supplier, a vehicle can be financed.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New trucks: in case truck inventory financing is not applicable (vehicle shorter in stock than the credit received from the supplier) a message “truck inventory financing not applicable” will appear </a:t>
          </a:r>
          <a:endParaRPr b="0" lang="en-US" sz="800" spc="-1" strike="noStrike">
            <a:latin typeface="Times New Roman"/>
          </a:endParaRPr>
        </a:p>
        <a:p>
          <a:pPr>
            <a:lnSpc>
              <a:spcPct val="100000"/>
            </a:lnSpc>
          </a:pPr>
          <a:r>
            <a:rPr b="0" lang="en-US" sz="800" spc="-1" strike="noStrike">
              <a:solidFill>
                <a:srgbClr val="000000"/>
              </a:solidFill>
              <a:latin typeface="Trebuchet MS"/>
            </a:rPr>
            <a:t>Used trucks: the average stock value (= average of the opening stock and closing stock) is used as a basis to calculate the amount to be floored</a:t>
          </a:r>
          <a:endParaRPr b="0" lang="en-US" sz="800" spc="-1" strike="noStrike">
            <a:latin typeface="Times New Roman"/>
          </a:endParaRPr>
        </a:p>
        <a:p>
          <a:pPr>
            <a:lnSpc>
              <a:spcPct val="100000"/>
            </a:lnSpc>
          </a:pPr>
          <a:r>
            <a:rPr b="0" lang="en-US" sz="800" spc="-1" strike="noStrike">
              <a:solidFill>
                <a:srgbClr val="000000"/>
              </a:solidFill>
              <a:latin typeface="Trebuchet MS"/>
            </a:rPr>
            <a:t>Other products: in case truck inventory financing is not applicable/possible (see credit terms) a message “truck inventory financing not applicable” will appear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3.2. Short term debt structure</a:t>
          </a:r>
          <a:endParaRPr b="0" lang="en-US" sz="800" spc="-1" strike="noStrike">
            <a:latin typeface="Times New Roman"/>
          </a:endParaRPr>
        </a:p>
        <a:p>
          <a:pPr>
            <a:lnSpc>
              <a:spcPct val="100000"/>
            </a:lnSpc>
          </a:pPr>
          <a:r>
            <a:rPr b="0" lang="en-US" sz="800" spc="-1" strike="noStrike">
              <a:solidFill>
                <a:srgbClr val="000000"/>
              </a:solidFill>
              <a:latin typeface="Trebuchet MS"/>
            </a:rPr>
            <a:t>Based on the parameters filled in above (both long term and short term sources), this module calculates whether additional short term financing is required or not.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ST requirements: refers to the first module of this sheet</a:t>
          </a:r>
          <a:endParaRPr b="0" lang="en-US" sz="800" spc="-1" strike="noStrike">
            <a:latin typeface="Times New Roman"/>
          </a:endParaRPr>
        </a:p>
        <a:p>
          <a:pPr>
            <a:lnSpc>
              <a:spcPct val="100000"/>
            </a:lnSpc>
          </a:pPr>
          <a:r>
            <a:rPr b="0" lang="en-US" sz="800" spc="-1" strike="noStrike">
              <a:solidFill>
                <a:srgbClr val="000000"/>
              </a:solidFill>
              <a:latin typeface="Trebuchet MS"/>
            </a:rPr>
            <a:t>Financing need (-) or surplus (+) on long term: since LT-bank loans usually are rounded amounts and don’t necessarily match the LT-requirements, there are two possibilities :</a:t>
          </a:r>
          <a:endParaRPr b="0" lang="en-US" sz="800" spc="-1" strike="noStrike">
            <a:latin typeface="Times New Roman"/>
          </a:endParaRPr>
        </a:p>
        <a:p>
          <a:pPr>
            <a:lnSpc>
              <a:spcPct val="100000"/>
            </a:lnSpc>
          </a:pPr>
          <a:r>
            <a:rPr b="0" lang="en-US" sz="800" spc="-1" strike="noStrike">
              <a:solidFill>
                <a:srgbClr val="000000"/>
              </a:solidFill>
              <a:latin typeface="Trebuchet MS"/>
            </a:rPr>
            <a:t>LT-funding &gt; LT-sources : surplus can be used to fund ST-requirements</a:t>
          </a:r>
          <a:endParaRPr b="0" lang="en-US" sz="800" spc="-1" strike="noStrike">
            <a:latin typeface="Times New Roman"/>
          </a:endParaRPr>
        </a:p>
        <a:p>
          <a:pPr>
            <a:lnSpc>
              <a:spcPct val="100000"/>
            </a:lnSpc>
          </a:pPr>
          <a:r>
            <a:rPr b="0" lang="en-US" sz="800" spc="-1" strike="noStrike">
              <a:solidFill>
                <a:srgbClr val="000000"/>
              </a:solidFill>
              <a:latin typeface="Trebuchet MS"/>
            </a:rPr>
            <a:t>LT-funding &lt; LT-sources : shortage can be covered by ST-funding   </a:t>
          </a:r>
          <a:endParaRPr b="0" lang="en-US" sz="800" spc="-1" strike="noStrike">
            <a:latin typeface="Times New Roman"/>
          </a:endParaRPr>
        </a:p>
        <a:p>
          <a:pPr>
            <a:lnSpc>
              <a:spcPct val="100000"/>
            </a:lnSpc>
          </a:pPr>
          <a:r>
            <a:rPr b="0" lang="en-US" sz="800" spc="-1" strike="noStrike">
              <a:solidFill>
                <a:srgbClr val="000000"/>
              </a:solidFill>
              <a:latin typeface="Trebuchet MS"/>
            </a:rPr>
            <a:t>Inventory financing: based on the percentages given, ST requirements are corrected with the amount financed via inventory financing.</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result of this exercise can either be a cash shortage (= total short term financing required) or a cash surplus.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4. Financial costs</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weighted average funding interest percentage for long term loans, truck inventory financing and short term loans. For long term loans the average outstanding amount in the year is used for the calculation. This assumes that the loans are amortized on an equal basis during the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5. Financial income</a:t>
          </a:r>
          <a:endParaRPr b="0" lang="en-US" sz="800" spc="-1" strike="noStrike">
            <a:latin typeface="Times New Roman"/>
          </a:endParaRPr>
        </a:p>
        <a:p>
          <a:pPr>
            <a:lnSpc>
              <a:spcPct val="100000"/>
            </a:lnSpc>
          </a:pPr>
          <a:r>
            <a:rPr b="0" lang="en-US" sz="800" spc="-1" strike="noStrike">
              <a:solidFill>
                <a:srgbClr val="000000"/>
              </a:solidFill>
              <a:latin typeface="Trebuchet MS"/>
            </a:rPr>
            <a:t>Fill in the weighted average interest percentage for cash surplus. The average outstanding amount in the year is used for the calculation. </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57240</xdr:colOff>
      <xdr:row>0</xdr:row>
      <xdr:rowOff>47520</xdr:rowOff>
    </xdr:from>
    <xdr:to>
      <xdr:col>2</xdr:col>
      <xdr:colOff>399960</xdr:colOff>
      <xdr:row>0</xdr:row>
      <xdr:rowOff>256680</xdr:rowOff>
    </xdr:to>
    <xdr:sp>
      <xdr:nvSpPr>
        <xdr:cNvPr id="229" name="CustomShape 1" hidden="1"/>
        <xdr:cNvSpPr/>
      </xdr:nvSpPr>
      <xdr:spPr>
        <a:xfrm>
          <a:off x="2445840" y="47520"/>
          <a:ext cx="342720" cy="209160"/>
        </a:xfrm>
        <a:prstGeom prst="rect">
          <a:avLst/>
        </a:prstGeom>
        <a:noFill/>
        <a:ln>
          <a:noFill/>
        </a:ln>
      </xdr:spPr>
      <xdr:style>
        <a:lnRef idx="0"/>
        <a:fillRef idx="0"/>
        <a:effectRef idx="0"/>
        <a:fontRef idx="minor"/>
      </xdr:style>
    </xdr:sp>
    <xdr:clientData/>
  </xdr:twoCellAnchor>
  <xdr:twoCellAnchor editAs="oneCell">
    <xdr:from>
      <xdr:col>2</xdr:col>
      <xdr:colOff>409680</xdr:colOff>
      <xdr:row>19</xdr:row>
      <xdr:rowOff>47520</xdr:rowOff>
    </xdr:from>
    <xdr:to>
      <xdr:col>3</xdr:col>
      <xdr:colOff>1009440</xdr:colOff>
      <xdr:row>22</xdr:row>
      <xdr:rowOff>66240</xdr:rowOff>
    </xdr:to>
    <xdr:sp>
      <xdr:nvSpPr>
        <xdr:cNvPr id="230" name="CustomShape 1" hidden="1"/>
        <xdr:cNvSpPr/>
      </xdr:nvSpPr>
      <xdr:spPr>
        <a:xfrm>
          <a:off x="2798280" y="4019400"/>
          <a:ext cx="1829160" cy="590040"/>
        </a:xfrm>
        <a:prstGeom prst="rect">
          <a:avLst/>
        </a:prstGeom>
        <a:noFill/>
        <a:ln>
          <a:noFill/>
        </a:ln>
      </xdr:spPr>
      <xdr:style>
        <a:lnRef idx="0"/>
        <a:fillRef idx="0"/>
        <a:effectRef idx="0"/>
        <a:fontRef idx="minor"/>
      </xdr:style>
      <xdr:txBody>
        <a:bodyPr lIns="27360" rIns="27360" tIns="23040" bIns="23040" anchor="ctr"/>
        <a:p>
          <a:pPr algn="ctr">
            <a:lnSpc>
              <a:spcPct val="100000"/>
            </a:lnSpc>
          </a:pPr>
          <a:r>
            <a:rPr b="1" lang="en-US" sz="1000" spc="-1" strike="noStrike">
              <a:solidFill>
                <a:srgbClr val="000000"/>
              </a:solidFill>
              <a:latin typeface="Arial"/>
            </a:rPr>
            <a:t>Press to simulate retained result</a:t>
          </a:r>
          <a:endParaRPr b="0" lang="en-US" sz="1000" spc="-1" strike="noStrike">
            <a:latin typeface="Times New Roman"/>
          </a:endParaRPr>
        </a:p>
        <a:p>
          <a:pPr algn="ctr">
            <a:lnSpc>
              <a:spcPct val="100000"/>
            </a:lnSpc>
          </a:pPr>
          <a:endParaRPr b="0" lang="en-US" sz="1000" spc="-1" strike="noStrike">
            <a:latin typeface="Times New Roman"/>
          </a:endParaRPr>
        </a:p>
      </xdr:txBody>
    </xdr:sp>
    <xdr:clientData/>
  </xdr:twoCellAnchor>
  <xdr:twoCellAnchor editAs="oneCell">
    <xdr:from>
      <xdr:col>2</xdr:col>
      <xdr:colOff>38160</xdr:colOff>
      <xdr:row>0</xdr:row>
      <xdr:rowOff>31680</xdr:rowOff>
    </xdr:from>
    <xdr:to>
      <xdr:col>2</xdr:col>
      <xdr:colOff>266400</xdr:colOff>
      <xdr:row>0</xdr:row>
      <xdr:rowOff>171000</xdr:rowOff>
    </xdr:to>
    <xdr:pic>
      <xdr:nvPicPr>
        <xdr:cNvPr id="231" name="CommandButton1" descr=""/>
        <xdr:cNvPicPr/>
      </xdr:nvPicPr>
      <xdr:blipFill>
        <a:blip r:embed="rId1"/>
        <a:stretch/>
      </xdr:blipFill>
      <xdr:spPr>
        <a:xfrm>
          <a:off x="2426760" y="31680"/>
          <a:ext cx="228240" cy="139320"/>
        </a:xfrm>
        <a:prstGeom prst="rect">
          <a:avLst/>
        </a:prstGeom>
        <a:ln>
          <a:noFill/>
        </a:ln>
      </xdr:spPr>
    </xdr:pic>
    <xdr:clientData/>
  </xdr:twoCellAnchor>
</xdr:wsDr>
</file>

<file path=xl/drawings/drawing47.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247680</xdr:colOff>
      <xdr:row>10</xdr:row>
      <xdr:rowOff>47520</xdr:rowOff>
    </xdr:from>
    <xdr:to>
      <xdr:col>10</xdr:col>
      <xdr:colOff>56880</xdr:colOff>
      <xdr:row>59</xdr:row>
      <xdr:rowOff>209160</xdr:rowOff>
    </xdr:to>
    <xdr:sp>
      <xdr:nvSpPr>
        <xdr:cNvPr id="232" name="CustomShape 1" hidden="1"/>
        <xdr:cNvSpPr/>
      </xdr:nvSpPr>
      <xdr:spPr>
        <a:xfrm>
          <a:off x="5317920" y="2209680"/>
          <a:ext cx="5846760" cy="97246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7.5.3 VAT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 VAT general</a:t>
          </a:r>
          <a:endParaRPr b="0" lang="en-US" sz="1000" spc="-1" strike="noStrike">
            <a:latin typeface="Times New Roman"/>
          </a:endParaRPr>
        </a:p>
        <a:p>
          <a:pPr>
            <a:lnSpc>
              <a:spcPct val="100000"/>
            </a:lnSpc>
          </a:pPr>
          <a:r>
            <a:rPr b="0" lang="en-US" sz="1000" spc="-1" strike="noStrike">
              <a:solidFill>
                <a:srgbClr val="000000"/>
              </a:solidFill>
              <a:latin typeface="Trebuchet MS"/>
            </a:rPr>
            <a:t>This sheet calculates the amounts to be paid to and to recover from the tax authorities. </a:t>
          </a:r>
          <a:endParaRPr b="0" lang="en-US" sz="1000" spc="-1" strike="noStrike">
            <a:latin typeface="Times New Roman"/>
          </a:endParaRPr>
        </a:p>
        <a:p>
          <a:pPr>
            <a:lnSpc>
              <a:spcPct val="100000"/>
            </a:lnSpc>
          </a:pPr>
          <a:r>
            <a:rPr b="0" lang="en-US" sz="1000" spc="-1" strike="noStrike">
              <a:solidFill>
                <a:srgbClr val="000000"/>
              </a:solidFill>
              <a:latin typeface="Trebuchet MS"/>
            </a:rPr>
            <a:t>The assumption is made that there is only one VAT tariff.</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To be filled in here is: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The number of days between two VAT declarations to the VAT authorities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The number of days between declaration and payment of VAT to or reception VAT from tax authorities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The VAT tariff</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2. VAT received from customers (to pay to VAT authorities)</a:t>
          </a:r>
          <a:endParaRPr b="0" lang="en-US" sz="1000" spc="-1" strike="noStrike">
            <a:latin typeface="Times New Roman"/>
          </a:endParaRPr>
        </a:p>
        <a:p>
          <a:pPr>
            <a:lnSpc>
              <a:spcPct val="100000"/>
            </a:lnSpc>
          </a:pPr>
          <a:r>
            <a:rPr b="0" lang="en-US" sz="1000" spc="-1" strike="noStrike">
              <a:solidFill>
                <a:srgbClr val="000000"/>
              </a:solidFill>
              <a:latin typeface="Trebuchet MS"/>
            </a:rPr>
            <a:t>Stated here is the average amount per product group of the VAT to be paid to the authorities. The average number of days is calculated using the number of days between two VAT declarations and the number days between declaration and payment.</a:t>
          </a:r>
          <a:endParaRPr b="0" lang="en-US" sz="1000" spc="-1" strike="noStrike">
            <a:latin typeface="Times New Roman"/>
          </a:endParaRPr>
        </a:p>
        <a:p>
          <a:pPr>
            <a:lnSpc>
              <a:spcPct val="100000"/>
            </a:lnSpc>
          </a:pPr>
          <a:r>
            <a:rPr b="0" lang="en-US" sz="1000" spc="-1" strike="noStrike">
              <a:solidFill>
                <a:srgbClr val="000000"/>
              </a:solidFill>
              <a:latin typeface="Trebuchet MS"/>
            </a:rPr>
            <a:t>The amounts are calculated as follows: turnover x VAT tariff x (number of days/360).</a:t>
          </a:r>
          <a:endParaRPr b="0" lang="en-US" sz="1000" spc="-1" strike="noStrike">
            <a:latin typeface="Times New Roman"/>
          </a:endParaRPr>
        </a:p>
        <a:p>
          <a:pPr>
            <a:lnSpc>
              <a:spcPct val="100000"/>
            </a:lnSpc>
          </a:pPr>
          <a:r>
            <a:rPr b="0" lang="en-US" sz="1000" spc="-1" strike="noStrike">
              <a:solidFill>
                <a:srgbClr val="000000"/>
              </a:solidFill>
              <a:latin typeface="Trebuchet MS"/>
            </a:rPr>
            <a:t>The total amount is transferred to the balance sheet.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3. VAT paid (to recover from VAT authorities)</a:t>
          </a:r>
          <a:endParaRPr b="0" lang="en-US" sz="1000" spc="-1" strike="noStrike">
            <a:latin typeface="Times New Roman"/>
          </a:endParaRPr>
        </a:p>
        <a:p>
          <a:pPr>
            <a:lnSpc>
              <a:spcPct val="100000"/>
            </a:lnSpc>
          </a:pPr>
          <a:r>
            <a:rPr b="0" lang="en-US" sz="1000" spc="-1" strike="noStrike">
              <a:solidFill>
                <a:srgbClr val="000000"/>
              </a:solidFill>
              <a:latin typeface="Trebuchet MS"/>
            </a:rPr>
            <a:t>Stated here are the average amounts per product group of the VAT to be recovered from the tax authorities. The average number of days is calculated using the number of days between two VAT declarations and the number days between declaration and reception of the VAT amounts.</a:t>
          </a:r>
          <a:endParaRPr b="0" lang="en-US" sz="1000" spc="-1" strike="noStrike">
            <a:latin typeface="Times New Roman"/>
          </a:endParaRPr>
        </a:p>
        <a:p>
          <a:pPr>
            <a:lnSpc>
              <a:spcPct val="100000"/>
            </a:lnSpc>
          </a:pPr>
          <a:r>
            <a:rPr b="0" lang="en-US" sz="1000" spc="-1" strike="noStrike">
              <a:solidFill>
                <a:srgbClr val="000000"/>
              </a:solidFill>
              <a:latin typeface="Trebuchet MS"/>
            </a:rPr>
            <a:t>The amounts are calculated as follows: costs/investments x VAT tariff x (number of days/360).</a:t>
          </a:r>
          <a:endParaRPr b="0" lang="en-US" sz="1000" spc="-1" strike="noStrike">
            <a:latin typeface="Times New Roman"/>
          </a:endParaRPr>
        </a:p>
        <a:p>
          <a:pPr>
            <a:lnSpc>
              <a:spcPct val="100000"/>
            </a:lnSpc>
          </a:pPr>
          <a:r>
            <a:rPr b="0" lang="en-US" sz="1000" spc="-1" strike="noStrike">
              <a:solidFill>
                <a:srgbClr val="000000"/>
              </a:solidFill>
              <a:latin typeface="Trebuchet MS"/>
            </a:rPr>
            <a:t>The total amount is transferred to the balance sheet.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Since the assumption has been made that no VAT is due on rent, taxes and insurance, a correction is made on the total amount of expenses as given in [7.4.2 Selling &amp; Operating Expenses]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4. VAT balance</a:t>
          </a:r>
          <a:endParaRPr b="0" lang="en-US" sz="1000" spc="-1" strike="noStrike">
            <a:latin typeface="Times New Roman"/>
          </a:endParaRPr>
        </a:p>
        <a:p>
          <a:pPr>
            <a:lnSpc>
              <a:spcPct val="100000"/>
            </a:lnSpc>
          </a:pPr>
          <a:r>
            <a:rPr b="0" lang="en-US" sz="1000" spc="-1" strike="noStrike">
              <a:solidFill>
                <a:srgbClr val="000000"/>
              </a:solidFill>
              <a:latin typeface="Trebuchet MS"/>
            </a:rPr>
            <a:t>The balance of VAT paid and VAT received. This amount is used in the calculation in sheet 7.5.1 concerning financing.</a:t>
          </a:r>
          <a:endParaRPr b="0" lang="en-US" sz="1000" spc="-1" strike="noStrike">
            <a:latin typeface="Times New Roman"/>
          </a:endParaRPr>
        </a:p>
        <a:p>
          <a:pPr>
            <a:lnSpc>
              <a:spcPct val="100000"/>
            </a:lnSpc>
          </a:pPr>
          <a:r>
            <a:rPr b="0" lang="en-US" sz="1000" spc="-1" strike="noStrike">
              <a:solidFill>
                <a:srgbClr val="000000"/>
              </a:solidFill>
              <a:latin typeface="Trebuchet MS"/>
            </a:rPr>
            <a:t>The VAT balance provides additional financing for the dealer if there is a higher amount to be paid. On the other hand, if there is a higher amount to be received then additional financing is needed.</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1</xdr:col>
      <xdr:colOff>408600</xdr:colOff>
      <xdr:row>0</xdr:row>
      <xdr:rowOff>47520</xdr:rowOff>
    </xdr:from>
    <xdr:to>
      <xdr:col>2</xdr:col>
      <xdr:colOff>247320</xdr:colOff>
      <xdr:row>0</xdr:row>
      <xdr:rowOff>256680</xdr:rowOff>
    </xdr:to>
    <xdr:sp>
      <xdr:nvSpPr>
        <xdr:cNvPr id="233" name="CustomShape 1" hidden="1"/>
        <xdr:cNvSpPr/>
      </xdr:nvSpPr>
      <xdr:spPr>
        <a:xfrm>
          <a:off x="3886200" y="47520"/>
          <a:ext cx="333000" cy="209160"/>
        </a:xfrm>
        <a:prstGeom prst="rect">
          <a:avLst/>
        </a:prstGeom>
        <a:noFill/>
        <a:ln>
          <a:noFill/>
        </a:ln>
      </xdr:spPr>
      <xdr:style>
        <a:lnRef idx="0"/>
        <a:fillRef idx="0"/>
        <a:effectRef idx="0"/>
        <a:fontRef idx="minor"/>
      </xdr:style>
    </xdr:sp>
    <xdr:clientData/>
  </xdr:twoCellAnchor>
  <xdr:twoCellAnchor editAs="oneCell">
    <xdr:from>
      <xdr:col>0</xdr:col>
      <xdr:colOff>2590920</xdr:colOff>
      <xdr:row>0</xdr:row>
      <xdr:rowOff>31680</xdr:rowOff>
    </xdr:from>
    <xdr:to>
      <xdr:col>0</xdr:col>
      <xdr:colOff>2812680</xdr:colOff>
      <xdr:row>0</xdr:row>
      <xdr:rowOff>171000</xdr:rowOff>
    </xdr:to>
    <xdr:pic>
      <xdr:nvPicPr>
        <xdr:cNvPr id="234" name="CommandButton1" descr=""/>
        <xdr:cNvPicPr/>
      </xdr:nvPicPr>
      <xdr:blipFill>
        <a:blip r:embed="rId1"/>
        <a:stretch/>
      </xdr:blipFill>
      <xdr:spPr>
        <a:xfrm>
          <a:off x="2590920" y="31680"/>
          <a:ext cx="221760" cy="139320"/>
        </a:xfrm>
        <a:prstGeom prst="rect">
          <a:avLst/>
        </a:prstGeom>
        <a:ln>
          <a:noFill/>
        </a:ln>
      </xdr:spPr>
    </xdr:pic>
    <xdr:clientData/>
  </xdr:twoCellAnchor>
</xdr:wsDr>
</file>

<file path=xl/drawings/drawing48.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952560</xdr:colOff>
      <xdr:row>4</xdr:row>
      <xdr:rowOff>114480</xdr:rowOff>
    </xdr:from>
    <xdr:to>
      <xdr:col>8</xdr:col>
      <xdr:colOff>1199880</xdr:colOff>
      <xdr:row>58</xdr:row>
      <xdr:rowOff>56880</xdr:rowOff>
    </xdr:to>
    <xdr:sp>
      <xdr:nvSpPr>
        <xdr:cNvPr id="235" name="CustomShape 1" hidden="1"/>
        <xdr:cNvSpPr/>
      </xdr:nvSpPr>
      <xdr:spPr>
        <a:xfrm>
          <a:off x="7494120" y="1085760"/>
          <a:ext cx="6415200" cy="103158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7.6.1 Activity Contribution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This sheet consists out of 5 pages; one sheet for every year of the business plan. These sheets are meant to give you an insight in the contribution per activity per year. The breakdown can best be summarized in the following matrix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 </a:t>
          </a:r>
          <a:r>
            <a:rPr b="1" lang="en-US" sz="1000" spc="-1" strike="noStrike">
              <a:solidFill>
                <a:srgbClr val="000000"/>
              </a:solidFill>
              <a:latin typeface="Trebuchet MS"/>
            </a:rPr>
            <a:t>Vehicles Service Parts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New Used Other Workshop Warehouse Gen. &amp; Admin. Total (incl. internal invoicing) Total (excl. Internal invoicing)</a:t>
          </a:r>
          <a:endParaRPr b="0" lang="en-US" sz="1000" spc="-1" strike="noStrike">
            <a:latin typeface="Times New Roman"/>
          </a:endParaRPr>
        </a:p>
        <a:p>
          <a:pPr>
            <a:lnSpc>
              <a:spcPct val="100000"/>
            </a:lnSpc>
          </a:pPr>
          <a:r>
            <a:rPr b="1" lang="en-US" sz="1000" spc="-1" strike="noStrike">
              <a:solidFill>
                <a:srgbClr val="000000"/>
              </a:solidFill>
              <a:latin typeface="Trebuchet MS"/>
            </a:rPr>
            <a:t>Turnover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Cost of sales        </a:t>
          </a:r>
          <a:endParaRPr b="0" lang="en-US" sz="1000" spc="-1" strike="noStrike">
            <a:latin typeface="Times New Roman"/>
          </a:endParaRPr>
        </a:p>
        <a:p>
          <a:pPr>
            <a:lnSpc>
              <a:spcPct val="100000"/>
            </a:lnSpc>
          </a:pPr>
          <a:r>
            <a:rPr b="1" lang="en-US" sz="1000" spc="-1" strike="noStrike">
              <a:solidFill>
                <a:srgbClr val="000000"/>
              </a:solidFill>
              <a:latin typeface="Trebuchet MS"/>
            </a:rPr>
            <a:t>Gross profit / loss  </a:t>
          </a:r>
          <a:r>
            <a:rPr b="0" lang="en-US" sz="1000" spc="-1" strike="noStrike">
              <a:solidFill>
                <a:srgbClr val="000000"/>
              </a:solidFill>
              <a:latin typeface="Trebuchet MS"/>
            </a:rPr>
            <a:t>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Selling expenses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Salaries &amp; Wages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Other operating costs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Depr. &amp; Amortization        </a:t>
          </a:r>
          <a:endParaRPr b="0" lang="en-US" sz="1000" spc="-1" strike="noStrike">
            <a:latin typeface="Times New Roman"/>
          </a:endParaRPr>
        </a:p>
        <a:p>
          <a:pPr>
            <a:lnSpc>
              <a:spcPct val="100000"/>
            </a:lnSpc>
          </a:pPr>
          <a:r>
            <a:rPr b="1" lang="en-US" sz="1000" spc="-1" strike="noStrike">
              <a:solidFill>
                <a:srgbClr val="000000"/>
              </a:solidFill>
              <a:latin typeface="Trebuchet MS"/>
            </a:rPr>
            <a:t>Operating profit / loss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    Financial Income        </a:t>
          </a:r>
          <a:endParaRPr b="0" lang="en-US" sz="1000" spc="-1" strike="noStrike">
            <a:latin typeface="Times New Roman"/>
          </a:endParaRPr>
        </a:p>
        <a:p>
          <a:pPr>
            <a:lnSpc>
              <a:spcPct val="100000"/>
            </a:lnSpc>
          </a:pPr>
          <a:r>
            <a:rPr b="1" lang="en-US" sz="1000" spc="-1" strike="noStrike">
              <a:solidFill>
                <a:srgbClr val="000000"/>
              </a:solidFill>
              <a:latin typeface="Trebuchet MS"/>
            </a:rPr>
            <a:t>Profit before tax &amp; ex-ord.      </a:t>
          </a:r>
          <a:r>
            <a:rPr b="0" lang="en-US" sz="1000" spc="-1" strike="noStrike">
              <a:solidFill>
                <a:srgbClr val="000000"/>
              </a:solidFill>
              <a:latin typeface="Trebuchet MS"/>
            </a:rPr>
            <a:t>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Profit &amp; cost centers</a:t>
          </a:r>
          <a:endParaRPr b="0" lang="en-US" sz="1000" spc="-1" strike="noStrike">
            <a:latin typeface="Times New Roman"/>
          </a:endParaRPr>
        </a:p>
        <a:p>
          <a:pPr>
            <a:lnSpc>
              <a:spcPct val="100000"/>
            </a:lnSpc>
          </a:pPr>
          <a:r>
            <a:rPr b="0" lang="en-US" sz="1000" spc="-1" strike="noStrike">
              <a:solidFill>
                <a:srgbClr val="000000"/>
              </a:solidFill>
              <a:latin typeface="Trebuchet MS"/>
            </a:rPr>
            <a:t>Profit centers: in this business plan, we consider three profit centers:</a:t>
          </a:r>
          <a:endParaRPr b="0" lang="en-US" sz="1000" spc="-1" strike="noStrike">
            <a:latin typeface="Times New Roman"/>
          </a:endParaRPr>
        </a:p>
        <a:p>
          <a:pPr>
            <a:lnSpc>
              <a:spcPct val="100000"/>
            </a:lnSpc>
          </a:pPr>
          <a:r>
            <a:rPr b="0" lang="en-US" sz="1000" spc="-1" strike="noStrike">
              <a:solidFill>
                <a:srgbClr val="000000"/>
              </a:solidFill>
              <a:latin typeface="Trebuchet MS"/>
            </a:rPr>
            <a:t>- Vehicles: broken down in three activities: new trucks, used trucks and other vehicles</a:t>
          </a:r>
          <a:endParaRPr b="0" lang="en-US" sz="1000" spc="-1" strike="noStrike">
            <a:latin typeface="Times New Roman"/>
          </a:endParaRPr>
        </a:p>
        <a:p>
          <a:pPr>
            <a:lnSpc>
              <a:spcPct val="100000"/>
            </a:lnSpc>
          </a:pPr>
          <a:r>
            <a:rPr b="0" lang="en-US" sz="1000" spc="-1" strike="noStrike">
              <a:solidFill>
                <a:srgbClr val="000000"/>
              </a:solidFill>
              <a:latin typeface="Trebuchet MS"/>
            </a:rPr>
            <a:t>- Service: labour and outsourced services</a:t>
          </a:r>
          <a:endParaRPr b="0" lang="en-US" sz="1000" spc="-1" strike="noStrike">
            <a:latin typeface="Times New Roman"/>
          </a:endParaRPr>
        </a:p>
        <a:p>
          <a:pPr>
            <a:lnSpc>
              <a:spcPct val="100000"/>
            </a:lnSpc>
          </a:pPr>
          <a:r>
            <a:rPr b="0" lang="en-US" sz="1000" spc="-1" strike="noStrike">
              <a:solidFill>
                <a:srgbClr val="000000"/>
              </a:solidFill>
              <a:latin typeface="Trebuchet MS"/>
            </a:rPr>
            <a:t>- Parts: workshop and counter </a:t>
          </a:r>
          <a:endParaRPr b="0" lang="en-US" sz="1000" spc="-1" strike="noStrike">
            <a:latin typeface="Times New Roman"/>
          </a:endParaRPr>
        </a:p>
        <a:p>
          <a:pPr>
            <a:lnSpc>
              <a:spcPct val="100000"/>
            </a:lnSpc>
          </a:pPr>
          <a:r>
            <a:rPr b="0" lang="en-US" sz="1000" spc="-1" strike="noStrike">
              <a:solidFill>
                <a:srgbClr val="000000"/>
              </a:solidFill>
              <a:latin typeface="Trebuchet MS"/>
            </a:rPr>
            <a:t>Next to these profit centers there is one cost center for General &amp; Administration costs.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Allocation of expenses</a:t>
          </a:r>
          <a:endParaRPr b="0" lang="en-US" sz="1000" spc="-1" strike="noStrike">
            <a:latin typeface="Times New Roman"/>
          </a:endParaRPr>
        </a:p>
        <a:p>
          <a:pPr>
            <a:lnSpc>
              <a:spcPct val="100000"/>
            </a:lnSpc>
          </a:pPr>
          <a:r>
            <a:rPr b="0" lang="en-US" sz="1000" spc="-1" strike="noStrike">
              <a:solidFill>
                <a:srgbClr val="000000"/>
              </a:solidFill>
              <a:latin typeface="Trebuchet MS"/>
            </a:rPr>
            <a:t>Basic principle is that all expenses are allocated to the corresponding profit centers as determined in sheet 7.4.2 and 7.4.3.</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Internal invoicing </a:t>
          </a:r>
          <a:endParaRPr b="0" lang="en-US" sz="1000" spc="-1" strike="noStrike">
            <a:latin typeface="Times New Roman"/>
          </a:endParaRPr>
        </a:p>
        <a:p>
          <a:pPr>
            <a:lnSpc>
              <a:spcPct val="100000"/>
            </a:lnSpc>
          </a:pPr>
          <a:r>
            <a:rPr b="0" lang="en-US" sz="1000" spc="-1" strike="noStrike">
              <a:solidFill>
                <a:srgbClr val="000000"/>
              </a:solidFill>
              <a:latin typeface="Trebuchet MS"/>
            </a:rPr>
            <a:t>Internal invoicing is necessary in case you break down your business into profit centers. Usually, the published financial statements of a company are a reflection of the transactions with the external world. In this case, vital information to better understand the performance of a dealership is lost. To cope with this, a distinction is made between “Total (incl. Internal invoicing)” and “Total (excl. Internal invoicing)”. Bottom line, the result should be the same.</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Financial Income</a:t>
          </a:r>
          <a:endParaRPr b="0" lang="en-US" sz="1000" spc="-1" strike="noStrike">
            <a:latin typeface="Times New Roman"/>
          </a:endParaRPr>
        </a:p>
        <a:p>
          <a:pPr>
            <a:lnSpc>
              <a:spcPct val="100000"/>
            </a:lnSpc>
          </a:pPr>
          <a:r>
            <a:rPr b="0" lang="en-US" sz="1000" spc="-1" strike="noStrike">
              <a:solidFill>
                <a:srgbClr val="000000"/>
              </a:solidFill>
              <a:latin typeface="Trebuchet MS"/>
            </a:rPr>
            <a:t>Information to be entered here (if applicable):</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Financial expense:</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Interest to be paid for short term loans/liabilities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Interest to be paid for long term loans /liabilities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Interest to be paid for subordinated loans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Interest to be paid for wholesale financing (e.g. to Paccar Financial)</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Financial income: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Interest earned</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Accrued interest revenues</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Profit on other (participations, shares)</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1</xdr:col>
      <xdr:colOff>673920</xdr:colOff>
      <xdr:row>0</xdr:row>
      <xdr:rowOff>47520</xdr:rowOff>
    </xdr:from>
    <xdr:to>
      <xdr:col>1</xdr:col>
      <xdr:colOff>949680</xdr:colOff>
      <xdr:row>0</xdr:row>
      <xdr:rowOff>228240</xdr:rowOff>
    </xdr:to>
    <xdr:sp>
      <xdr:nvSpPr>
        <xdr:cNvPr id="236" name="CustomShape 1" hidden="1"/>
        <xdr:cNvSpPr/>
      </xdr:nvSpPr>
      <xdr:spPr>
        <a:xfrm>
          <a:off x="3657600" y="47520"/>
          <a:ext cx="275760" cy="180720"/>
        </a:xfrm>
        <a:prstGeom prst="rect">
          <a:avLst/>
        </a:prstGeom>
        <a:noFill/>
        <a:ln>
          <a:noFill/>
        </a:ln>
      </xdr:spPr>
      <xdr:style>
        <a:lnRef idx="0"/>
        <a:fillRef idx="0"/>
        <a:effectRef idx="0"/>
        <a:fontRef idx="minor"/>
      </xdr:style>
    </xdr:sp>
    <xdr:clientData/>
  </xdr:twoCellAnchor>
  <xdr:twoCellAnchor editAs="oneCell">
    <xdr:from>
      <xdr:col>0</xdr:col>
      <xdr:colOff>2438280</xdr:colOff>
      <xdr:row>0</xdr:row>
      <xdr:rowOff>31680</xdr:rowOff>
    </xdr:from>
    <xdr:to>
      <xdr:col>0</xdr:col>
      <xdr:colOff>2622240</xdr:colOff>
      <xdr:row>0</xdr:row>
      <xdr:rowOff>151920</xdr:rowOff>
    </xdr:to>
    <xdr:pic>
      <xdr:nvPicPr>
        <xdr:cNvPr id="237" name="CommandButton1" descr=""/>
        <xdr:cNvPicPr/>
      </xdr:nvPicPr>
      <xdr:blipFill>
        <a:blip r:embed="rId1"/>
        <a:stretch/>
      </xdr:blipFill>
      <xdr:spPr>
        <a:xfrm>
          <a:off x="2438280" y="31680"/>
          <a:ext cx="183960" cy="120240"/>
        </a:xfrm>
        <a:prstGeom prst="rect">
          <a:avLst/>
        </a:prstGeom>
        <a:ln>
          <a:noFill/>
        </a:ln>
      </xdr:spPr>
    </xdr:pic>
    <xdr:clientData/>
  </xdr:twoCellAnchor>
</xdr:wsDr>
</file>

<file path=xl/drawings/drawing49.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476280</xdr:colOff>
      <xdr:row>6</xdr:row>
      <xdr:rowOff>38160</xdr:rowOff>
    </xdr:from>
    <xdr:to>
      <xdr:col>13</xdr:col>
      <xdr:colOff>342720</xdr:colOff>
      <xdr:row>20</xdr:row>
      <xdr:rowOff>18720</xdr:rowOff>
    </xdr:to>
    <xdr:sp>
      <xdr:nvSpPr>
        <xdr:cNvPr id="238" name="CustomShape 1" hidden="1"/>
        <xdr:cNvSpPr/>
      </xdr:nvSpPr>
      <xdr:spPr>
        <a:xfrm>
          <a:off x="7955280" y="1504800"/>
          <a:ext cx="6569280" cy="264744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36720" rIns="0" tIns="36720" bIns="0"/>
        <a:p>
          <a:pPr>
            <a:lnSpc>
              <a:spcPct val="100000"/>
            </a:lnSpc>
          </a:pPr>
          <a:r>
            <a:rPr b="1" lang="en-US" sz="1200" spc="-1" strike="noStrike">
              <a:solidFill>
                <a:srgbClr val="000000"/>
              </a:solidFill>
              <a:latin typeface="Trebuchet MS"/>
            </a:rPr>
            <a:t>7.6.2 Activity Analysis</a:t>
          </a:r>
          <a:endParaRPr b="0" lang="en-US" sz="1200" spc="-1" strike="noStrike">
            <a:latin typeface="Times New Roman"/>
          </a:endParaRPr>
        </a:p>
        <a:p>
          <a:pPr>
            <a:lnSpc>
              <a:spcPct val="100000"/>
            </a:lnSpc>
          </a:pPr>
          <a:endParaRPr b="0" lang="en-US" sz="1200" spc="-1" strike="noStrike">
            <a:latin typeface="Times New Roman"/>
          </a:endParaRPr>
        </a:p>
        <a:p>
          <a:pPr>
            <a:lnSpc>
              <a:spcPct val="100000"/>
            </a:lnSpc>
          </a:pPr>
          <a:r>
            <a:rPr b="0" lang="en-US" sz="1200" spc="-1" strike="noStrike">
              <a:solidFill>
                <a:srgbClr val="000000"/>
              </a:solidFill>
              <a:latin typeface="Trebuchet MS"/>
            </a:rPr>
            <a:t>These two sheets give an insight in the evolution of the yearly contribution per activity. </a:t>
          </a:r>
          <a:endParaRPr b="0" lang="en-US" sz="1200" spc="-1" strike="noStrike">
            <a:latin typeface="Times New Roman"/>
          </a:endParaRPr>
        </a:p>
        <a:p>
          <a:pPr>
            <a:lnSpc>
              <a:spcPct val="100000"/>
            </a:lnSpc>
          </a:pPr>
          <a:r>
            <a:rPr b="0" lang="en-US" sz="1200" spc="-1" strike="noStrike">
              <a:solidFill>
                <a:srgbClr val="000000"/>
              </a:solidFill>
              <a:latin typeface="Trebuchet MS"/>
            </a:rPr>
            <a:t>The breakdown is equal to the breakdown shown in 7.6.1 Activity Contribution but instead of looking at the breakdown of the result per profit center for a specific year, this breakdown gives an insight in the trend over the years of the result per profit center.</a:t>
          </a:r>
          <a:endParaRPr b="0" lang="en-US" sz="1200" spc="-1" strike="noStrike">
            <a:latin typeface="Times New Roman"/>
          </a:endParaRPr>
        </a:p>
        <a:p>
          <a:pPr>
            <a:lnSpc>
              <a:spcPct val="100000"/>
            </a:lnSpc>
          </a:pPr>
          <a:endParaRPr b="0" lang="en-US" sz="1200" spc="-1" strike="noStrike">
            <a:latin typeface="Times New Roman"/>
          </a:endParaRPr>
        </a:p>
      </xdr:txBody>
    </xdr:sp>
    <xdr:clientData/>
  </xdr:twoCellAnchor>
  <xdr:twoCellAnchor editAs="oneCell">
    <xdr:from>
      <xdr:col>0</xdr:col>
      <xdr:colOff>2610000</xdr:colOff>
      <xdr:row>0</xdr:row>
      <xdr:rowOff>19080</xdr:rowOff>
    </xdr:from>
    <xdr:to>
      <xdr:col>1</xdr:col>
      <xdr:colOff>50760</xdr:colOff>
      <xdr:row>0</xdr:row>
      <xdr:rowOff>120240</xdr:rowOff>
    </xdr:to>
    <xdr:pic>
      <xdr:nvPicPr>
        <xdr:cNvPr id="239" name="CommandButton1" descr=""/>
        <xdr:cNvPicPr/>
      </xdr:nvPicPr>
      <xdr:blipFill>
        <a:blip r:embed="rId1"/>
        <a:stretch/>
      </xdr:blipFill>
      <xdr:spPr>
        <a:xfrm>
          <a:off x="2610000" y="19080"/>
          <a:ext cx="131760" cy="101160"/>
        </a:xfrm>
        <a:prstGeom prst="rect">
          <a:avLst/>
        </a:prstGeom>
        <a:ln>
          <a:noFill/>
        </a:ln>
      </xdr:spPr>
    </xdr:pic>
    <xdr:clientData/>
  </xdr:twoCellAnchor>
</xdr:wsDr>
</file>

<file path=xl/drawings/drawing50.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9360</xdr:colOff>
      <xdr:row>5</xdr:row>
      <xdr:rowOff>114480</xdr:rowOff>
    </xdr:from>
    <xdr:to>
      <xdr:col>10</xdr:col>
      <xdr:colOff>894960</xdr:colOff>
      <xdr:row>34</xdr:row>
      <xdr:rowOff>180720</xdr:rowOff>
    </xdr:to>
    <xdr:sp>
      <xdr:nvSpPr>
        <xdr:cNvPr id="240" name="CustomShape 1" hidden="1"/>
        <xdr:cNvSpPr/>
      </xdr:nvSpPr>
      <xdr:spPr>
        <a:xfrm>
          <a:off x="7569000" y="1314360"/>
          <a:ext cx="4928400" cy="68482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7.7 Profit &amp; Loss Account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profit &amp; loss account is a summary of the financial result of the company per year. </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A warning text will appear if the expenses as mentioned in [7.4.2 Selling and Operating Expenses] are not totally allocated to one or more profit centers. As long as this warning text is visible, not all expenses are taking into account in the profit &amp; loss account.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Extraordinary Income</a:t>
          </a:r>
          <a:endParaRPr b="0" lang="en-US" sz="800" spc="-1" strike="noStrike">
            <a:latin typeface="Times New Roman"/>
          </a:endParaRPr>
        </a:p>
        <a:p>
          <a:pPr>
            <a:lnSpc>
              <a:spcPct val="100000"/>
            </a:lnSpc>
          </a:pPr>
          <a:r>
            <a:rPr b="0" lang="en-US" sz="800" spc="-1" strike="noStrike">
              <a:solidFill>
                <a:srgbClr val="000000"/>
              </a:solidFill>
              <a:latin typeface="Trebuchet MS"/>
            </a:rPr>
            <a:t>Information to be entered here (if applicable):</a:t>
          </a:r>
          <a:endParaRPr b="0" lang="en-US" sz="800" spc="-1" strike="noStrike">
            <a:latin typeface="Times New Roman"/>
          </a:endParaRPr>
        </a:p>
        <a:p>
          <a:pPr>
            <a:lnSpc>
              <a:spcPct val="100000"/>
            </a:lnSpc>
          </a:pPr>
          <a:r>
            <a:rPr b="0" lang="en-US" sz="800" spc="-1" strike="noStrike">
              <a:solidFill>
                <a:srgbClr val="000000"/>
              </a:solidFill>
              <a:latin typeface="Trebuchet MS"/>
            </a:rPr>
            <a:t>- Extraordinary revenues: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Profit from non dealership related business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Profit from disinvestments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Positive results on revaluation</a:t>
          </a:r>
          <a:endParaRPr b="0" lang="en-US" sz="800" spc="-1" strike="noStrike">
            <a:latin typeface="Times New Roman"/>
          </a:endParaRPr>
        </a:p>
        <a:p>
          <a:pPr>
            <a:lnSpc>
              <a:spcPct val="100000"/>
            </a:lnSpc>
          </a:pPr>
          <a:r>
            <a:rPr b="0" lang="en-US" sz="800" spc="-1" strike="noStrike">
              <a:solidFill>
                <a:srgbClr val="000000"/>
              </a:solidFill>
              <a:latin typeface="Trebuchet MS"/>
            </a:rPr>
            <a:t>- Extraordinary costs: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Losses, coming from non dealership related business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Losses on the repurchase of trucks (buy back guarantees) in case of downward revaluation of the portfolio</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Negative result on revaluation</a:t>
          </a:r>
          <a:endParaRPr b="0" lang="en-US" sz="800" spc="-1" strike="noStrike">
            <a:latin typeface="Times New Roman"/>
          </a:endParaRPr>
        </a:p>
        <a:p>
          <a:pPr>
            <a:lnSpc>
              <a:spcPct val="100000"/>
            </a:lnSpc>
          </a:pPr>
          <a:r>
            <a:rPr b="0" lang="en-US" sz="800" spc="-1" strike="noStrike">
              <a:solidFill>
                <a:srgbClr val="000000"/>
              </a:solidFill>
              <a:latin typeface="Trebuchet MS"/>
            </a:rPr>
            <a:t>- Result on R&amp;M contracts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Corporate Income Tax</a:t>
          </a:r>
          <a:endParaRPr b="0" lang="en-US" sz="800" spc="-1" strike="noStrike">
            <a:latin typeface="Times New Roman"/>
          </a:endParaRPr>
        </a:p>
        <a:p>
          <a:pPr>
            <a:lnSpc>
              <a:spcPct val="100000"/>
            </a:lnSpc>
          </a:pPr>
          <a:r>
            <a:rPr b="0" lang="en-US" sz="800" spc="-1" strike="noStrike">
              <a:solidFill>
                <a:srgbClr val="000000"/>
              </a:solidFill>
              <a:latin typeface="Trebuchet MS"/>
            </a:rPr>
            <a:t>In the field “Taxation” an estimate (not provision) of the tax percentage has to be submitted. The rate in the basis year is automatically copied to the other years but may be overwritten in those years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Changes in equity</a:t>
          </a:r>
          <a:endParaRPr b="0" lang="en-US" sz="800" spc="-1" strike="noStrike">
            <a:latin typeface="Times New Roman"/>
          </a:endParaRPr>
        </a:p>
        <a:p>
          <a:pPr>
            <a:lnSpc>
              <a:spcPct val="100000"/>
            </a:lnSpc>
          </a:pPr>
          <a:r>
            <a:rPr b="0" lang="en-US" sz="800" spc="-1" strike="noStrike">
              <a:solidFill>
                <a:srgbClr val="000000"/>
              </a:solidFill>
              <a:latin typeface="Trebuchet MS"/>
            </a:rPr>
            <a:t>In case the company is generating a profit, the Board of Directors will decide upon the destination of the result. The final decision will affect equity, solvency and in case dividend is paid, liquidity. </a:t>
          </a:r>
          <a:endParaRPr b="0" lang="en-US" sz="800" spc="-1" strike="noStrike">
            <a:latin typeface="Times New Roman"/>
          </a:endParaRPr>
        </a:p>
        <a:p>
          <a:pPr>
            <a:lnSpc>
              <a:spcPct val="100000"/>
            </a:lnSpc>
          </a:pPr>
          <a:r>
            <a:rPr b="0" lang="en-US" sz="800" spc="-1" strike="noStrike">
              <a:solidFill>
                <a:srgbClr val="000000"/>
              </a:solidFill>
              <a:latin typeface="Trebuchet MS"/>
            </a:rPr>
            <a:t>In this business plan, a distinction is made between:</a:t>
          </a:r>
          <a:endParaRPr b="0" lang="en-US" sz="800" spc="-1" strike="noStrike">
            <a:latin typeface="Times New Roman"/>
          </a:endParaRPr>
        </a:p>
        <a:p>
          <a:pPr>
            <a:lnSpc>
              <a:spcPct val="100000"/>
            </a:lnSpc>
          </a:pPr>
          <a:r>
            <a:rPr b="0" lang="en-US" sz="800" spc="-1" strike="noStrike">
              <a:solidFill>
                <a:srgbClr val="000000"/>
              </a:solidFill>
              <a:latin typeface="Trebuchet MS"/>
            </a:rPr>
            <a:t>Reserves   : allocation to reserves increases equity. Depends on local accounting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practices/legislation.</a:t>
          </a:r>
          <a:endParaRPr b="0" lang="en-US" sz="800" spc="-1" strike="noStrike">
            <a:latin typeface="Times New Roman"/>
          </a:endParaRPr>
        </a:p>
        <a:p>
          <a:pPr>
            <a:lnSpc>
              <a:spcPct val="100000"/>
            </a:lnSpc>
          </a:pPr>
          <a:r>
            <a:rPr b="0" lang="en-US" sz="800" spc="-1" strike="noStrike">
              <a:solidFill>
                <a:srgbClr val="000000"/>
              </a:solidFill>
              <a:latin typeface="Trebuchet MS"/>
            </a:rPr>
            <a:t>Dividends   : the payment of dividends will decrease equity and cash and needs therefore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to be financed.</a:t>
          </a:r>
          <a:endParaRPr b="0" lang="en-US" sz="800" spc="-1" strike="noStrike">
            <a:latin typeface="Times New Roman"/>
          </a:endParaRPr>
        </a:p>
        <a:p>
          <a:pPr>
            <a:lnSpc>
              <a:spcPct val="100000"/>
            </a:lnSpc>
          </a:pPr>
          <a:r>
            <a:rPr b="0" lang="en-US" sz="800" spc="-1" strike="noStrike">
              <a:solidFill>
                <a:srgbClr val="000000"/>
              </a:solidFill>
              <a:latin typeface="Trebuchet MS"/>
            </a:rPr>
            <a:t>Retained profit / loss  : after the amount allocated to reserves and dividends is determined, the </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balance will be allocated automatically to retained profit / loss.</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1</xdr:col>
      <xdr:colOff>1314360</xdr:colOff>
      <xdr:row>0</xdr:row>
      <xdr:rowOff>47520</xdr:rowOff>
    </xdr:from>
    <xdr:to>
      <xdr:col>1</xdr:col>
      <xdr:colOff>1428480</xdr:colOff>
      <xdr:row>0</xdr:row>
      <xdr:rowOff>247320</xdr:rowOff>
    </xdr:to>
    <xdr:sp>
      <xdr:nvSpPr>
        <xdr:cNvPr id="241" name="CustomShape 1" hidden="1"/>
        <xdr:cNvSpPr/>
      </xdr:nvSpPr>
      <xdr:spPr>
        <a:xfrm>
          <a:off x="3602160" y="47520"/>
          <a:ext cx="114120" cy="199800"/>
        </a:xfrm>
        <a:prstGeom prst="rect">
          <a:avLst/>
        </a:prstGeom>
        <a:noFill/>
        <a:ln>
          <a:noFill/>
        </a:ln>
      </xdr:spPr>
      <xdr:style>
        <a:lnRef idx="0"/>
        <a:fillRef idx="0"/>
        <a:effectRef idx="0"/>
        <a:fontRef idx="minor"/>
      </xdr:style>
    </xdr:sp>
    <xdr:clientData/>
  </xdr:twoCellAnchor>
  <xdr:twoCellAnchor editAs="oneCell">
    <xdr:from>
      <xdr:col>1</xdr:col>
      <xdr:colOff>876240</xdr:colOff>
      <xdr:row>0</xdr:row>
      <xdr:rowOff>31680</xdr:rowOff>
    </xdr:from>
    <xdr:to>
      <xdr:col>1</xdr:col>
      <xdr:colOff>1078920</xdr:colOff>
      <xdr:row>0</xdr:row>
      <xdr:rowOff>164520</xdr:rowOff>
    </xdr:to>
    <xdr:pic>
      <xdr:nvPicPr>
        <xdr:cNvPr id="242" name="CommandButton1" descr=""/>
        <xdr:cNvPicPr/>
      </xdr:nvPicPr>
      <xdr:blipFill>
        <a:blip r:embed="rId1"/>
        <a:stretch/>
      </xdr:blipFill>
      <xdr:spPr>
        <a:xfrm>
          <a:off x="3164040" y="31680"/>
          <a:ext cx="202680" cy="132840"/>
        </a:xfrm>
        <a:prstGeom prst="rect">
          <a:avLst/>
        </a:prstGeom>
        <a:ln>
          <a:noFill/>
        </a:ln>
      </xdr:spPr>
    </xdr:pic>
    <xdr:clientData/>
  </xdr:twoCellAnchor>
</xdr:wsDr>
</file>

<file path=xl/drawings/drawing5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923760</xdr:colOff>
      <xdr:row>6</xdr:row>
      <xdr:rowOff>66600</xdr:rowOff>
    </xdr:from>
    <xdr:to>
      <xdr:col>10</xdr:col>
      <xdr:colOff>847080</xdr:colOff>
      <xdr:row>56</xdr:row>
      <xdr:rowOff>47160</xdr:rowOff>
    </xdr:to>
    <xdr:sp>
      <xdr:nvSpPr>
        <xdr:cNvPr id="243" name="CustomShape 1" hidden="1"/>
        <xdr:cNvSpPr/>
      </xdr:nvSpPr>
      <xdr:spPr>
        <a:xfrm>
          <a:off x="6990840" y="1419120"/>
          <a:ext cx="5447520" cy="969588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7.9.2 Balance Sheet – Liabilities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The structure is summarized in the following matrix:</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Equity</a:t>
          </a:r>
          <a:endParaRPr b="0" lang="en-US" sz="800" spc="-1" strike="noStrike">
            <a:latin typeface="Times New Roman"/>
          </a:endParaRPr>
        </a:p>
        <a:p>
          <a:pPr>
            <a:lnSpc>
              <a:spcPct val="100000"/>
            </a:lnSpc>
          </a:pPr>
          <a:r>
            <a:rPr b="0" lang="en-US" sz="800" spc="-1" strike="noStrike">
              <a:solidFill>
                <a:srgbClr val="000000"/>
              </a:solidFill>
              <a:latin typeface="Trebuchet MS"/>
            </a:rPr>
            <a:t>Share Capital</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Paid share capital and non paid capital</a:t>
          </a:r>
          <a:endParaRPr b="0" lang="en-US" sz="800" spc="-1" strike="noStrike">
            <a:latin typeface="Times New Roman"/>
          </a:endParaRPr>
        </a:p>
        <a:p>
          <a:pPr>
            <a:lnSpc>
              <a:spcPct val="100000"/>
            </a:lnSpc>
          </a:pPr>
          <a:r>
            <a:rPr b="0" lang="en-US" sz="800" spc="-1" strike="noStrike">
              <a:solidFill>
                <a:srgbClr val="000000"/>
              </a:solidFill>
              <a:latin typeface="Trebuchet MS"/>
            </a:rPr>
            <a:t>Reserves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Statutory reserves: non distributable reserves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Legal reserves</a:t>
          </a:r>
          <a:endParaRPr b="0" lang="en-US" sz="800" spc="-1" strike="noStrike">
            <a:latin typeface="Times New Roman"/>
          </a:endParaRPr>
        </a:p>
        <a:p>
          <a:pPr>
            <a:lnSpc>
              <a:spcPct val="100000"/>
            </a:lnSpc>
          </a:pPr>
          <a:r>
            <a:rPr b="0" lang="en-US" sz="800" spc="-1" strike="noStrike">
              <a:solidFill>
                <a:srgbClr val="000000"/>
              </a:solidFill>
              <a:latin typeface="Trebuchet MS"/>
            </a:rPr>
            <a:t>Revaluation reserves</a:t>
          </a:r>
          <a:endParaRPr b="0" lang="en-US" sz="800" spc="-1" strike="noStrike">
            <a:latin typeface="Times New Roman"/>
          </a:endParaRPr>
        </a:p>
        <a:p>
          <a:pPr>
            <a:lnSpc>
              <a:spcPct val="100000"/>
            </a:lnSpc>
          </a:pPr>
          <a:r>
            <a:rPr b="0" lang="en-US" sz="800" spc="-1" strike="noStrike">
              <a:solidFill>
                <a:srgbClr val="000000"/>
              </a:solidFill>
              <a:latin typeface="Trebuchet MS"/>
            </a:rPr>
            <a:t>Subordinated loans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Only if loan is subordinated to ALL creditors</a:t>
          </a:r>
          <a:endParaRPr b="0" lang="en-US" sz="800" spc="-1" strike="noStrike">
            <a:latin typeface="Times New Roman"/>
          </a:endParaRPr>
        </a:p>
        <a:p>
          <a:pPr>
            <a:lnSpc>
              <a:spcPct val="100000"/>
            </a:lnSpc>
          </a:pPr>
          <a:r>
            <a:rPr b="0" lang="en-US" sz="800" spc="-1" strike="noStrike">
              <a:solidFill>
                <a:srgbClr val="000000"/>
              </a:solidFill>
              <a:latin typeface="Trebuchet MS"/>
            </a:rPr>
            <a:t>Retained earnings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Retained earnings past fiscal years (Profit &amp; Loss Account)</a:t>
          </a:r>
          <a:endParaRPr b="0" lang="en-US" sz="800" spc="-1" strike="noStrike">
            <a:latin typeface="Times New Roman"/>
          </a:endParaRPr>
        </a:p>
        <a:p>
          <a:pPr>
            <a:lnSpc>
              <a:spcPct val="100000"/>
            </a:lnSpc>
          </a:pPr>
          <a:r>
            <a:rPr b="0" lang="en-US" sz="800" spc="-1" strike="noStrike">
              <a:solidFill>
                <a:srgbClr val="000000"/>
              </a:solidFill>
              <a:latin typeface="Trebuchet MS"/>
            </a:rPr>
            <a:t>Net profit (loss) after tax</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Result of the year (Retained profit (loss) for the current year)</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Long Term Liabilities</a:t>
          </a:r>
          <a:endParaRPr b="0" lang="en-US" sz="800" spc="-1" strike="noStrike">
            <a:latin typeface="Times New Roman"/>
          </a:endParaRPr>
        </a:p>
        <a:p>
          <a:pPr>
            <a:lnSpc>
              <a:spcPct val="100000"/>
            </a:lnSpc>
          </a:pPr>
          <a:r>
            <a:rPr b="0" lang="en-US" sz="800" spc="-1" strike="noStrike">
              <a:solidFill>
                <a:srgbClr val="000000"/>
              </a:solidFill>
              <a:latin typeface="Trebuchet MS"/>
            </a:rPr>
            <a:t>Provisions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Pension funds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RVG Residual value guarantees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Repair &amp; Maintenance contracts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Maintenance of assets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Deferred taxes</a:t>
          </a:r>
          <a:endParaRPr b="0" lang="en-US" sz="800" spc="-1" strike="noStrike">
            <a:latin typeface="Times New Roman"/>
          </a:endParaRPr>
        </a:p>
        <a:p>
          <a:pPr>
            <a:lnSpc>
              <a:spcPct val="100000"/>
            </a:lnSpc>
          </a:pPr>
          <a:r>
            <a:rPr b="0" lang="en-US" sz="800" spc="-1" strike="noStrike">
              <a:solidFill>
                <a:srgbClr val="000000"/>
              </a:solidFill>
              <a:latin typeface="Trebuchet MS"/>
            </a:rPr>
            <a:t>Subordinated loans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If loan is subordinated to the bank</a:t>
          </a:r>
          <a:endParaRPr b="0" lang="en-US" sz="800" spc="-1" strike="noStrike">
            <a:latin typeface="Times New Roman"/>
          </a:endParaRPr>
        </a:p>
        <a:p>
          <a:pPr>
            <a:lnSpc>
              <a:spcPct val="100000"/>
            </a:lnSpc>
          </a:pPr>
          <a:r>
            <a:rPr b="0" lang="en-US" sz="800" spc="-1" strike="noStrike">
              <a:solidFill>
                <a:srgbClr val="000000"/>
              </a:solidFill>
              <a:latin typeface="Trebuchet MS"/>
            </a:rPr>
            <a:t>Long term loans</a:t>
          </a:r>
          <a:endParaRPr b="0" lang="en-US" sz="800" spc="-1" strike="noStrike">
            <a:latin typeface="Times New Roman"/>
          </a:endParaRPr>
        </a:p>
        <a:p>
          <a:pPr>
            <a:lnSpc>
              <a:spcPct val="100000"/>
            </a:lnSpc>
          </a:pPr>
          <a:r>
            <a:rPr b="0" lang="en-US" sz="800" spc="-1" strike="noStrike">
              <a:solidFill>
                <a:srgbClr val="000000"/>
              </a:solidFill>
              <a:latin typeface="Trebuchet MS"/>
            </a:rPr>
            <a:t>Banks (&gt; 1 Year)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Debts and loans at banks and financial institutions</a:t>
          </a:r>
          <a:endParaRPr b="0" lang="en-US" sz="800" spc="-1" strike="noStrike">
            <a:latin typeface="Times New Roman"/>
          </a:endParaRPr>
        </a:p>
        <a:p>
          <a:pPr>
            <a:lnSpc>
              <a:spcPct val="100000"/>
            </a:lnSpc>
          </a:pPr>
          <a:r>
            <a:rPr b="0" lang="en-US" sz="800" spc="-1" strike="noStrike">
              <a:solidFill>
                <a:srgbClr val="000000"/>
              </a:solidFill>
              <a:latin typeface="Trebuchet MS"/>
            </a:rPr>
            <a:t>Other (&gt; 1 Year)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Long term debts to group companies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Long term part of leasing contracts (e.g. Finance leases and hire purchase agreements)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Long term debts (loans) to owners</a:t>
          </a:r>
          <a:endParaRPr b="0" lang="en-US" sz="800" spc="-1" strike="noStrike">
            <a:latin typeface="Times New Roman"/>
          </a:endParaRPr>
        </a:p>
        <a:p>
          <a:pPr>
            <a:lnSpc>
              <a:spcPct val="100000"/>
            </a:lnSpc>
          </a:pPr>
          <a:r>
            <a:rPr b="0" lang="en-US" sz="800" spc="-1" strike="noStrike">
              <a:solidFill>
                <a:srgbClr val="000000"/>
              </a:solidFill>
              <a:latin typeface="Trebuchet MS"/>
            </a:rPr>
            <a:t>Note: When opening a new balance for a new book year the amount that will be paid off within one year is expected to be transferred to the short term liabilities. During book year the long term liabilities are expected to change only via new additional long term loans.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Short Term Liabilities</a:t>
          </a:r>
          <a:endParaRPr b="0" lang="en-US" sz="800" spc="-1" strike="noStrike">
            <a:latin typeface="Times New Roman"/>
          </a:endParaRPr>
        </a:p>
        <a:p>
          <a:pPr>
            <a:lnSpc>
              <a:spcPct val="100000"/>
            </a:lnSpc>
          </a:pPr>
          <a:r>
            <a:rPr b="0" lang="en-US" sz="800" spc="-1" strike="noStrike">
              <a:solidFill>
                <a:srgbClr val="000000"/>
              </a:solidFill>
              <a:latin typeface="Trebuchet MS"/>
            </a:rPr>
            <a:t>Trade payables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Suppliers</a:t>
          </a:r>
          <a:endParaRPr b="0" lang="en-US" sz="800" spc="-1" strike="noStrike">
            <a:latin typeface="Times New Roman"/>
          </a:endParaRPr>
        </a:p>
        <a:p>
          <a:pPr>
            <a:lnSpc>
              <a:spcPct val="100000"/>
            </a:lnSpc>
          </a:pPr>
          <a:r>
            <a:rPr b="0" lang="en-US" sz="800" spc="-1" strike="noStrike">
              <a:solidFill>
                <a:srgbClr val="000000"/>
              </a:solidFill>
              <a:latin typeface="Trebuchet MS"/>
            </a:rPr>
            <a:t>VAT to be paid</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VAT payable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Corporate Income Tax due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Social Charges &amp; Personnel</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Intercompany payments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Dividends payable</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Short term part of leasing contracts</a:t>
          </a:r>
          <a:endParaRPr b="0" lang="en-US" sz="800" spc="-1" strike="noStrike">
            <a:latin typeface="Times New Roman"/>
          </a:endParaRPr>
        </a:p>
        <a:p>
          <a:pPr>
            <a:lnSpc>
              <a:spcPct val="100000"/>
            </a:lnSpc>
          </a:pPr>
          <a:r>
            <a:rPr b="0" lang="en-US" sz="800" spc="-1" strike="noStrike">
              <a:solidFill>
                <a:srgbClr val="000000"/>
              </a:solidFill>
              <a:latin typeface="Trebuchet MS"/>
            </a:rPr>
            <a:t>Banks</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Debts and loans at banks and financial institutions due within one year</a:t>
          </a:r>
          <a:endParaRPr b="0" lang="en-US" sz="800" spc="-1" strike="noStrike">
            <a:latin typeface="Times New Roman"/>
          </a:endParaRPr>
        </a:p>
        <a:p>
          <a:pPr>
            <a:lnSpc>
              <a:spcPct val="100000"/>
            </a:lnSpc>
          </a:pPr>
          <a:r>
            <a:rPr b="0" lang="en-US" sz="800" spc="-1" strike="noStrike">
              <a:solidFill>
                <a:srgbClr val="000000"/>
              </a:solidFill>
              <a:latin typeface="Trebuchet MS"/>
            </a:rPr>
            <a:t>● </a:t>
          </a:r>
          <a:r>
            <a:rPr b="0" lang="en-US" sz="800" spc="-1" strike="noStrike">
              <a:solidFill>
                <a:srgbClr val="000000"/>
              </a:solidFill>
              <a:latin typeface="Trebuchet MS"/>
            </a:rPr>
            <a:t>Pay-offs within a year (of long term loans / debts)</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0</xdr:col>
      <xdr:colOff>2825640</xdr:colOff>
      <xdr:row>0</xdr:row>
      <xdr:rowOff>31680</xdr:rowOff>
    </xdr:from>
    <xdr:to>
      <xdr:col>0</xdr:col>
      <xdr:colOff>3003120</xdr:colOff>
      <xdr:row>0</xdr:row>
      <xdr:rowOff>164520</xdr:rowOff>
    </xdr:to>
    <xdr:pic>
      <xdr:nvPicPr>
        <xdr:cNvPr id="244" name="CommandButton1" descr=""/>
        <xdr:cNvPicPr/>
      </xdr:nvPicPr>
      <xdr:blipFill>
        <a:blip r:embed="rId1"/>
        <a:stretch/>
      </xdr:blipFill>
      <xdr:spPr>
        <a:xfrm>
          <a:off x="2825640" y="31680"/>
          <a:ext cx="177480" cy="132840"/>
        </a:xfrm>
        <a:prstGeom prst="rect">
          <a:avLst/>
        </a:prstGeom>
        <a:ln>
          <a:noFill/>
        </a:ln>
      </xdr:spPr>
    </xdr:pic>
    <xdr:clientData/>
  </xdr:twoCellAnchor>
</xdr:wsDr>
</file>

<file path=xl/drawings/drawing5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295200</xdr:colOff>
      <xdr:row>7</xdr:row>
      <xdr:rowOff>152280</xdr:rowOff>
    </xdr:from>
    <xdr:to>
      <xdr:col>9</xdr:col>
      <xdr:colOff>28080</xdr:colOff>
      <xdr:row>57</xdr:row>
      <xdr:rowOff>151920</xdr:rowOff>
    </xdr:to>
    <xdr:sp>
      <xdr:nvSpPr>
        <xdr:cNvPr id="245" name="CustomShape 1" hidden="1"/>
        <xdr:cNvSpPr/>
      </xdr:nvSpPr>
      <xdr:spPr>
        <a:xfrm>
          <a:off x="4316400" y="1771200"/>
          <a:ext cx="6184440" cy="96771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7.10 Ratio’s Balance Sheet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This sheet consists of three modules; financial ratios, operational ratios and the absorption rate.</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A. Financial ratios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1. Change of turnover</a:t>
          </a:r>
          <a:endParaRPr b="0" lang="en-US" sz="800" spc="-1" strike="noStrike">
            <a:latin typeface="Times New Roman"/>
          </a:endParaRPr>
        </a:p>
        <a:p>
          <a:pPr>
            <a:lnSpc>
              <a:spcPct val="100000"/>
            </a:lnSpc>
          </a:pPr>
          <a:r>
            <a:rPr b="0" lang="en-US" sz="800" spc="-1" strike="noStrike">
              <a:solidFill>
                <a:srgbClr val="000000"/>
              </a:solidFill>
              <a:latin typeface="Trebuchet MS"/>
            </a:rPr>
            <a:t>Percentage of yearly increase or decrease of turnover.</a:t>
          </a:r>
          <a:endParaRPr b="0" lang="en-US" sz="800" spc="-1" strike="noStrike">
            <a:latin typeface="Times New Roman"/>
          </a:endParaRPr>
        </a:p>
        <a:p>
          <a:pPr>
            <a:lnSpc>
              <a:spcPct val="100000"/>
            </a:lnSpc>
          </a:pPr>
          <a:r>
            <a:rPr b="1" lang="en-US" sz="800" spc="-1" strike="noStrike">
              <a:solidFill>
                <a:srgbClr val="000000"/>
              </a:solidFill>
              <a:latin typeface="Trebuchet MS"/>
            </a:rPr>
            <a:t>2. Margins</a:t>
          </a:r>
          <a:endParaRPr b="0" lang="en-US" sz="800" spc="-1" strike="noStrike">
            <a:latin typeface="Times New Roman"/>
          </a:endParaRPr>
        </a:p>
        <a:p>
          <a:pPr>
            <a:lnSpc>
              <a:spcPct val="100000"/>
            </a:lnSpc>
          </a:pPr>
          <a:r>
            <a:rPr b="0" lang="en-US" sz="800" spc="-1" strike="noStrike">
              <a:solidFill>
                <a:srgbClr val="000000"/>
              </a:solidFill>
              <a:latin typeface="Trebuchet MS"/>
            </a:rPr>
            <a:t>2.1. Gross margin     (Gross profit / loss) / Turnover</a:t>
          </a:r>
          <a:endParaRPr b="0" lang="en-US" sz="800" spc="-1" strike="noStrike">
            <a:latin typeface="Times New Roman"/>
          </a:endParaRPr>
        </a:p>
        <a:p>
          <a:pPr>
            <a:lnSpc>
              <a:spcPct val="100000"/>
            </a:lnSpc>
          </a:pPr>
          <a:r>
            <a:rPr b="0" lang="en-US" sz="800" spc="-1" strike="noStrike">
              <a:solidFill>
                <a:srgbClr val="000000"/>
              </a:solidFill>
              <a:latin typeface="Trebuchet MS"/>
            </a:rPr>
            <a:t>2.2. Gross operating profit / Turnover   (Operating profit / loss) / Turnover</a:t>
          </a:r>
          <a:endParaRPr b="0" lang="en-US" sz="800" spc="-1" strike="noStrike">
            <a:latin typeface="Times New Roman"/>
          </a:endParaRPr>
        </a:p>
        <a:p>
          <a:pPr>
            <a:lnSpc>
              <a:spcPct val="100000"/>
            </a:lnSpc>
          </a:pPr>
          <a:r>
            <a:rPr b="0" lang="en-US" sz="800" spc="-1" strike="noStrike">
              <a:solidFill>
                <a:srgbClr val="000000"/>
              </a:solidFill>
              <a:latin typeface="Trebuchet MS"/>
            </a:rPr>
            <a:t>2.3. Profit before tax / Turnover    (Profit / loss before tax) / Turnover</a:t>
          </a:r>
          <a:endParaRPr b="0" lang="en-US" sz="800" spc="-1" strike="noStrike">
            <a:latin typeface="Times New Roman"/>
          </a:endParaRPr>
        </a:p>
        <a:p>
          <a:pPr>
            <a:lnSpc>
              <a:spcPct val="100000"/>
            </a:lnSpc>
          </a:pPr>
          <a:r>
            <a:rPr b="0" lang="en-US" sz="800" spc="-1" strike="noStrike">
              <a:solidFill>
                <a:srgbClr val="000000"/>
              </a:solidFill>
              <a:latin typeface="Trebuchet MS"/>
            </a:rPr>
            <a:t>2.4. Profit before interest and tax / Turnover  (Profit / loss before tax – interest cost) / Turnover</a:t>
          </a:r>
          <a:endParaRPr b="0" lang="en-US" sz="800" spc="-1" strike="noStrike">
            <a:latin typeface="Times New Roman"/>
          </a:endParaRPr>
        </a:p>
        <a:p>
          <a:pPr>
            <a:lnSpc>
              <a:spcPct val="100000"/>
            </a:lnSpc>
          </a:pPr>
          <a:r>
            <a:rPr b="0" lang="en-US" sz="800" spc="-1" strike="noStrike">
              <a:solidFill>
                <a:srgbClr val="000000"/>
              </a:solidFill>
              <a:latin typeface="Trebuchet MS"/>
            </a:rPr>
            <a:t>2.5. Net profit / Turnover :    (Net profit / loss) / Turnover</a:t>
          </a:r>
          <a:endParaRPr b="0" lang="en-US" sz="800" spc="-1" strike="noStrike">
            <a:latin typeface="Times New Roman"/>
          </a:endParaRPr>
        </a:p>
        <a:p>
          <a:pPr>
            <a:lnSpc>
              <a:spcPct val="100000"/>
            </a:lnSpc>
          </a:pPr>
          <a:r>
            <a:rPr b="1" lang="en-US" sz="800" spc="-1" strike="noStrike">
              <a:solidFill>
                <a:srgbClr val="000000"/>
              </a:solidFill>
              <a:latin typeface="Trebuchet MS"/>
            </a:rPr>
            <a:t>3. Profitability</a:t>
          </a:r>
          <a:endParaRPr b="0" lang="en-US" sz="800" spc="-1" strike="noStrike">
            <a:latin typeface="Times New Roman"/>
          </a:endParaRPr>
        </a:p>
        <a:p>
          <a:pPr>
            <a:lnSpc>
              <a:spcPct val="100000"/>
            </a:lnSpc>
          </a:pPr>
          <a:r>
            <a:rPr b="0" lang="en-US" sz="800" spc="-1" strike="noStrike">
              <a:solidFill>
                <a:srgbClr val="000000"/>
              </a:solidFill>
              <a:latin typeface="Trebuchet MS"/>
            </a:rPr>
            <a:t>3.1. Profit before tax / Equity (= ROE)   (Profit / loss before tax) / Total equity</a:t>
          </a:r>
          <a:endParaRPr b="0" lang="en-US" sz="800" spc="-1" strike="noStrike">
            <a:latin typeface="Times New Roman"/>
          </a:endParaRPr>
        </a:p>
        <a:p>
          <a:pPr>
            <a:lnSpc>
              <a:spcPct val="100000"/>
            </a:lnSpc>
          </a:pPr>
          <a:r>
            <a:rPr b="0" lang="en-US" sz="800" spc="-1" strike="noStrike">
              <a:solidFill>
                <a:srgbClr val="000000"/>
              </a:solidFill>
              <a:latin typeface="Trebuchet MS"/>
            </a:rPr>
            <a:t>3.2. Net profit / Equity     (Net profit / loss) / Total equity</a:t>
          </a:r>
          <a:endParaRPr b="0" lang="en-US" sz="800" spc="-1" strike="noStrike">
            <a:latin typeface="Times New Roman"/>
          </a:endParaRPr>
        </a:p>
        <a:p>
          <a:pPr>
            <a:lnSpc>
              <a:spcPct val="100000"/>
            </a:lnSpc>
          </a:pPr>
          <a:r>
            <a:rPr b="0" lang="en-US" sz="800" spc="-1" strike="noStrike">
              <a:solidFill>
                <a:srgbClr val="000000"/>
              </a:solidFill>
              <a:latin typeface="Trebuchet MS"/>
            </a:rPr>
            <a:t>3.3. Profit before interest and tax / Permanent funds  (Profit / loss before tax – interest cost) / Total equity + Total Long Term Debts</a:t>
          </a:r>
          <a:endParaRPr b="0" lang="en-US" sz="800" spc="-1" strike="noStrike">
            <a:latin typeface="Times New Roman"/>
          </a:endParaRPr>
        </a:p>
        <a:p>
          <a:pPr>
            <a:lnSpc>
              <a:spcPct val="100000"/>
            </a:lnSpc>
          </a:pPr>
          <a:r>
            <a:rPr b="1" lang="en-US" sz="800" spc="-1" strike="noStrike">
              <a:solidFill>
                <a:srgbClr val="000000"/>
              </a:solidFill>
              <a:latin typeface="Trebuchet MS"/>
            </a:rPr>
            <a:t>4. Liquidity</a:t>
          </a:r>
          <a:endParaRPr b="0" lang="en-US" sz="800" spc="-1" strike="noStrike">
            <a:latin typeface="Times New Roman"/>
          </a:endParaRPr>
        </a:p>
        <a:p>
          <a:pPr>
            <a:lnSpc>
              <a:spcPct val="100000"/>
            </a:lnSpc>
          </a:pPr>
          <a:r>
            <a:rPr b="0" lang="en-US" sz="800" spc="-1" strike="noStrike">
              <a:solidFill>
                <a:srgbClr val="000000"/>
              </a:solidFill>
              <a:latin typeface="Trebuchet MS"/>
            </a:rPr>
            <a:t>4.1. Current ratio     Total current assets / Total short term liabilities</a:t>
          </a:r>
          <a:endParaRPr b="0" lang="en-US" sz="800" spc="-1" strike="noStrike">
            <a:latin typeface="Times New Roman"/>
          </a:endParaRPr>
        </a:p>
        <a:p>
          <a:pPr>
            <a:lnSpc>
              <a:spcPct val="100000"/>
            </a:lnSpc>
          </a:pPr>
          <a:r>
            <a:rPr b="0" lang="en-US" sz="800" spc="-1" strike="noStrike">
              <a:solidFill>
                <a:srgbClr val="000000"/>
              </a:solidFill>
              <a:latin typeface="Trebuchet MS"/>
            </a:rPr>
            <a:t>4.2. Quick ratio      (Total current assets – inventories) / Total short term debts</a:t>
          </a:r>
          <a:endParaRPr b="0" lang="en-US" sz="800" spc="-1" strike="noStrike">
            <a:latin typeface="Times New Roman"/>
          </a:endParaRPr>
        </a:p>
        <a:p>
          <a:pPr>
            <a:lnSpc>
              <a:spcPct val="100000"/>
            </a:lnSpc>
          </a:pPr>
          <a:r>
            <a:rPr b="0" lang="en-US" sz="800" spc="-1" strike="noStrike">
              <a:solidFill>
                <a:srgbClr val="000000"/>
              </a:solidFill>
              <a:latin typeface="Trebuchet MS"/>
            </a:rPr>
            <a:t>4.3. Working capital     Total current assets – Total short term liabilities</a:t>
          </a:r>
          <a:endParaRPr b="0" lang="en-US" sz="800" spc="-1" strike="noStrike">
            <a:latin typeface="Times New Roman"/>
          </a:endParaRPr>
        </a:p>
        <a:p>
          <a:pPr>
            <a:lnSpc>
              <a:spcPct val="100000"/>
            </a:lnSpc>
          </a:pPr>
          <a:r>
            <a:rPr b="1" lang="en-US" sz="800" spc="-1" strike="noStrike">
              <a:solidFill>
                <a:srgbClr val="000000"/>
              </a:solidFill>
              <a:latin typeface="Trebuchet MS"/>
            </a:rPr>
            <a:t>5. Working capital cycle</a:t>
          </a:r>
          <a:endParaRPr b="0" lang="en-US" sz="800" spc="-1" strike="noStrike">
            <a:latin typeface="Times New Roman"/>
          </a:endParaRPr>
        </a:p>
        <a:p>
          <a:pPr>
            <a:lnSpc>
              <a:spcPct val="100000"/>
            </a:lnSpc>
          </a:pPr>
          <a:r>
            <a:rPr b="0" lang="en-US" sz="800" spc="-1" strike="noStrike">
              <a:solidFill>
                <a:srgbClr val="000000"/>
              </a:solidFill>
              <a:latin typeface="Trebuchet MS"/>
            </a:rPr>
            <a:t>5.1. Stock days on hand (DOH) </a:t>
          </a:r>
          <a:endParaRPr b="0" lang="en-US" sz="800" spc="-1" strike="noStrike">
            <a:latin typeface="Times New Roman"/>
          </a:endParaRPr>
        </a:p>
        <a:p>
          <a:pPr>
            <a:lnSpc>
              <a:spcPct val="100000"/>
            </a:lnSpc>
          </a:pPr>
          <a:r>
            <a:rPr b="0" lang="en-US" sz="800" spc="-1" strike="noStrike">
              <a:solidFill>
                <a:srgbClr val="000000"/>
              </a:solidFill>
              <a:latin typeface="Trebuchet MS"/>
            </a:rPr>
            <a:t>5.1.1. New trucks     see input [7.8 Benchmarks]</a:t>
          </a:r>
          <a:endParaRPr b="0" lang="en-US" sz="800" spc="-1" strike="noStrike">
            <a:latin typeface="Times New Roman"/>
          </a:endParaRPr>
        </a:p>
        <a:p>
          <a:pPr>
            <a:lnSpc>
              <a:spcPct val="100000"/>
            </a:lnSpc>
          </a:pPr>
          <a:r>
            <a:rPr b="0" lang="en-US" sz="800" spc="-1" strike="noStrike">
              <a:solidFill>
                <a:srgbClr val="000000"/>
              </a:solidFill>
              <a:latin typeface="Trebuchet MS"/>
            </a:rPr>
            <a:t>5.1.2. Other products    see input [7.8 Benchmarks]</a:t>
          </a:r>
          <a:endParaRPr b="0" lang="en-US" sz="800" spc="-1" strike="noStrike">
            <a:latin typeface="Times New Roman"/>
          </a:endParaRPr>
        </a:p>
        <a:p>
          <a:pPr>
            <a:lnSpc>
              <a:spcPct val="100000"/>
            </a:lnSpc>
          </a:pPr>
          <a:r>
            <a:rPr b="0" lang="en-US" sz="800" spc="-1" strike="noStrike">
              <a:solidFill>
                <a:srgbClr val="000000"/>
              </a:solidFill>
              <a:latin typeface="Trebuchet MS"/>
            </a:rPr>
            <a:t>5.1.3. Parts      Parts inventory / Cost of parts sold</a:t>
          </a:r>
          <a:endParaRPr b="0" lang="en-US" sz="800" spc="-1" strike="noStrike">
            <a:latin typeface="Times New Roman"/>
          </a:endParaRPr>
        </a:p>
        <a:p>
          <a:pPr>
            <a:lnSpc>
              <a:spcPct val="100000"/>
            </a:lnSpc>
          </a:pPr>
          <a:r>
            <a:rPr b="0" lang="en-US" sz="800" spc="-1" strike="noStrike">
              <a:solidFill>
                <a:srgbClr val="000000"/>
              </a:solidFill>
              <a:latin typeface="Trebuchet MS"/>
            </a:rPr>
            <a:t>5.2. Days sales outstanding (DSO)   (Trade receivables &lt; 1 year) / Turnover * # days</a:t>
          </a:r>
          <a:endParaRPr b="0" lang="en-US" sz="800" spc="-1" strike="noStrike">
            <a:latin typeface="Times New Roman"/>
          </a:endParaRPr>
        </a:p>
        <a:p>
          <a:pPr>
            <a:lnSpc>
              <a:spcPct val="100000"/>
            </a:lnSpc>
          </a:pPr>
          <a:r>
            <a:rPr b="0" lang="en-US" sz="800" spc="-1" strike="noStrike">
              <a:solidFill>
                <a:srgbClr val="000000"/>
              </a:solidFill>
              <a:latin typeface="Trebuchet MS"/>
            </a:rPr>
            <a:t>5.3 Days outstanding payables (DPO)   Trade payables / Purchases * # days</a:t>
          </a:r>
          <a:endParaRPr b="0" lang="en-US" sz="800" spc="-1" strike="noStrike">
            <a:latin typeface="Times New Roman"/>
          </a:endParaRPr>
        </a:p>
        <a:p>
          <a:pPr>
            <a:lnSpc>
              <a:spcPct val="100000"/>
            </a:lnSpc>
          </a:pPr>
          <a:r>
            <a:rPr b="1" lang="en-US" sz="800" spc="-1" strike="noStrike">
              <a:solidFill>
                <a:srgbClr val="000000"/>
              </a:solidFill>
              <a:latin typeface="Trebuchet MS"/>
            </a:rPr>
            <a:t>6. Solvency ratio </a:t>
          </a:r>
          <a:r>
            <a:rPr b="0" lang="en-US" sz="800" spc="-1" strike="noStrike">
              <a:solidFill>
                <a:srgbClr val="000000"/>
              </a:solidFill>
              <a:latin typeface="Trebuchet MS"/>
            </a:rPr>
            <a:t>(Total equity / Total liabilities)</a:t>
          </a:r>
          <a:endParaRPr b="0" lang="en-US" sz="800" spc="-1" strike="noStrike">
            <a:latin typeface="Times New Roman"/>
          </a:endParaRPr>
        </a:p>
        <a:p>
          <a:pPr>
            <a:lnSpc>
              <a:spcPct val="100000"/>
            </a:lnSpc>
          </a:pPr>
          <a:r>
            <a:rPr b="1" lang="en-US" sz="800" spc="-1" strike="noStrike">
              <a:solidFill>
                <a:srgbClr val="000000"/>
              </a:solidFill>
              <a:latin typeface="Trebuchet MS"/>
            </a:rPr>
            <a:t>7. Interest coverage  </a:t>
          </a:r>
          <a:r>
            <a:rPr b="0" lang="en-US" sz="800" spc="-1" strike="noStrike">
              <a:solidFill>
                <a:srgbClr val="000000"/>
              </a:solidFill>
              <a:latin typeface="Trebuchet MS"/>
            </a:rPr>
            <a:t>   (Operating profit before tax and funding cost) / Funding cost</a:t>
          </a:r>
          <a:endParaRPr b="0" lang="en-US" sz="800" spc="-1" strike="noStrike">
            <a:latin typeface="Times New Roman"/>
          </a:endParaRPr>
        </a:p>
        <a:p>
          <a:pPr>
            <a:lnSpc>
              <a:spcPct val="100000"/>
            </a:lnSpc>
          </a:pPr>
          <a:r>
            <a:rPr b="1" lang="en-US" sz="800" spc="-1" strike="noStrike">
              <a:solidFill>
                <a:srgbClr val="000000"/>
              </a:solidFill>
              <a:latin typeface="Trebuchet MS"/>
            </a:rPr>
            <a:t>8. Salaries &amp; wages / Gross margin</a:t>
          </a:r>
          <a:r>
            <a:rPr b="0" lang="en-US" sz="800" spc="-1" strike="noStrike">
              <a:solidFill>
                <a:srgbClr val="000000"/>
              </a:solidFill>
              <a:latin typeface="Trebuchet MS"/>
            </a:rPr>
            <a:t>   (Total cost of personnel + variable salaries &amp; wages)) / Gross profit</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B. Operational ratios</a:t>
          </a:r>
          <a:endParaRPr b="0" lang="en-US" sz="800" spc="-1" strike="noStrike">
            <a:latin typeface="Times New Roman"/>
          </a:endParaRPr>
        </a:p>
        <a:p>
          <a:pPr>
            <a:lnSpc>
              <a:spcPct val="100000"/>
            </a:lnSpc>
          </a:pPr>
          <a:r>
            <a:rPr b="0" lang="en-US" sz="800" spc="-1" strike="noStrike">
              <a:solidFill>
                <a:srgbClr val="000000"/>
              </a:solidFill>
              <a:latin typeface="Trebuchet MS"/>
            </a:rPr>
            <a:t>1. Service retention     See [7.2.3 Turnover Service &amp; Body shop analysis]</a:t>
          </a:r>
          <a:endParaRPr b="0" lang="en-US" sz="800" spc="-1" strike="noStrike">
            <a:latin typeface="Times New Roman"/>
          </a:endParaRPr>
        </a:p>
        <a:p>
          <a:pPr>
            <a:lnSpc>
              <a:spcPct val="100000"/>
            </a:lnSpc>
          </a:pPr>
          <a:r>
            <a:rPr b="0" lang="en-US" sz="800" spc="-1" strike="noStrike">
              <a:solidFill>
                <a:srgbClr val="000000"/>
              </a:solidFill>
              <a:latin typeface="Trebuchet MS"/>
            </a:rPr>
            <a:t>2. Parts retention     See [7.2.2 Turnover Parts analysis]</a:t>
          </a:r>
          <a:endParaRPr b="0" lang="en-US" sz="800" spc="-1" strike="noStrike">
            <a:latin typeface="Times New Roman"/>
          </a:endParaRPr>
        </a:p>
        <a:p>
          <a:pPr>
            <a:lnSpc>
              <a:spcPct val="100000"/>
            </a:lnSpc>
          </a:pPr>
          <a:r>
            <a:rPr b="0" lang="en-US" sz="800" spc="-1" strike="noStrike">
              <a:solidFill>
                <a:srgbClr val="000000"/>
              </a:solidFill>
              <a:latin typeface="Trebuchet MS"/>
            </a:rPr>
            <a:t>3. Productivity workshop    See [7.2.3 Turnover Service &amp; Body shop analysis]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1" lang="en-US" sz="800" spc="-1" strike="noStrike">
              <a:solidFill>
                <a:srgbClr val="000000"/>
              </a:solidFill>
              <a:latin typeface="Trebuchet MS"/>
            </a:rPr>
            <a:t>C. Absorption rate</a:t>
          </a:r>
          <a:endParaRPr b="0" lang="en-US" sz="800" spc="-1" strike="noStrike">
            <a:latin typeface="Times New Roman"/>
          </a:endParaRPr>
        </a:p>
        <a:p>
          <a:pPr>
            <a:lnSpc>
              <a:spcPct val="100000"/>
            </a:lnSpc>
          </a:pPr>
          <a:r>
            <a:rPr b="0" lang="en-US" sz="800" spc="-1" strike="noStrike">
              <a:solidFill>
                <a:srgbClr val="000000"/>
              </a:solidFill>
              <a:latin typeface="Trebuchet MS"/>
            </a:rPr>
            <a:t>The absorption rate shows how well a dealer can survive in case of a downturn of market when truck sales are going down. The rate shows to what extend all the costs can be covered by the gross margin leaving out the gross margin on new and used truck sales and selling expenses of trucks (sales commissions &amp; incentives and commercial policy expenses).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Parts Gross profit + Service &amp; Body shop Gross Profit</a:t>
          </a:r>
          <a:endParaRPr b="0" lang="en-US" sz="800" spc="-1" strike="noStrike">
            <a:latin typeface="Times New Roman"/>
          </a:endParaRPr>
        </a:p>
        <a:p>
          <a:pPr>
            <a:lnSpc>
              <a:spcPct val="100000"/>
            </a:lnSpc>
          </a:pPr>
          <a:r>
            <a:rPr b="0" lang="en-US" sz="800" spc="-1" strike="noStrike">
              <a:solidFill>
                <a:srgbClr val="000000"/>
              </a:solidFill>
              <a:latin typeface="Trebuchet MS"/>
            </a:rPr>
            <a:t>Total dealer overhead</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Sales volume * Gross margin = Gross profit</a:t>
          </a:r>
          <a:endParaRPr b="0" lang="en-US" sz="800" spc="-1" strike="noStrike">
            <a:latin typeface="Times New Roman"/>
          </a:endParaRPr>
        </a:p>
        <a:p>
          <a:pPr>
            <a:lnSpc>
              <a:spcPct val="100000"/>
            </a:lnSpc>
          </a:pPr>
          <a:r>
            <a:rPr b="0" lang="en-US" sz="800" spc="-1" strike="noStrike">
              <a:solidFill>
                <a:srgbClr val="000000"/>
              </a:solidFill>
              <a:latin typeface="Trebuchet MS"/>
            </a:rPr>
            <a:t>Total Overhead = Total Dealership Expenses Less truck Variable Selling Expenses</a:t>
          </a: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122040</xdr:colOff>
      <xdr:row>0</xdr:row>
      <xdr:rowOff>47520</xdr:rowOff>
    </xdr:from>
    <xdr:to>
      <xdr:col>2</xdr:col>
      <xdr:colOff>445680</xdr:colOff>
      <xdr:row>0</xdr:row>
      <xdr:rowOff>256680</xdr:rowOff>
    </xdr:to>
    <xdr:sp>
      <xdr:nvSpPr>
        <xdr:cNvPr id="246" name="CustomShape 1" hidden="1"/>
        <xdr:cNvSpPr/>
      </xdr:nvSpPr>
      <xdr:spPr>
        <a:xfrm>
          <a:off x="4143240" y="47520"/>
          <a:ext cx="323640" cy="209160"/>
        </a:xfrm>
        <a:prstGeom prst="rect">
          <a:avLst/>
        </a:prstGeom>
        <a:noFill/>
        <a:ln>
          <a:noFill/>
        </a:ln>
      </xdr:spPr>
      <xdr:style>
        <a:lnRef idx="0"/>
        <a:fillRef idx="0"/>
        <a:effectRef idx="0"/>
        <a:fontRef idx="minor"/>
      </xdr:style>
    </xdr:sp>
    <xdr:clientData/>
  </xdr:twoCellAnchor>
  <xdr:twoCellAnchor editAs="oneCell">
    <xdr:from>
      <xdr:col>0</xdr:col>
      <xdr:colOff>2762280</xdr:colOff>
      <xdr:row>0</xdr:row>
      <xdr:rowOff>31680</xdr:rowOff>
    </xdr:from>
    <xdr:to>
      <xdr:col>0</xdr:col>
      <xdr:colOff>2977920</xdr:colOff>
      <xdr:row>0</xdr:row>
      <xdr:rowOff>171000</xdr:rowOff>
    </xdr:to>
    <xdr:pic>
      <xdr:nvPicPr>
        <xdr:cNvPr id="247" name="CommandButton1" descr=""/>
        <xdr:cNvPicPr/>
      </xdr:nvPicPr>
      <xdr:blipFill>
        <a:blip r:embed="rId1"/>
        <a:stretch/>
      </xdr:blipFill>
      <xdr:spPr>
        <a:xfrm>
          <a:off x="2762280" y="31680"/>
          <a:ext cx="215640" cy="139320"/>
        </a:xfrm>
        <a:prstGeom prst="rect">
          <a:avLst/>
        </a:prstGeom>
        <a:ln>
          <a:noFill/>
        </a:ln>
      </xdr:spPr>
    </xdr:pic>
    <xdr:clientData/>
  </xdr:twoCellAnchor>
</xdr:wsDr>
</file>

<file path=xl/drawings/drawing5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790560</xdr:colOff>
      <xdr:row>2</xdr:row>
      <xdr:rowOff>47520</xdr:rowOff>
    </xdr:from>
    <xdr:to>
      <xdr:col>10</xdr:col>
      <xdr:colOff>790200</xdr:colOff>
      <xdr:row>59</xdr:row>
      <xdr:rowOff>151920</xdr:rowOff>
    </xdr:to>
    <xdr:sp>
      <xdr:nvSpPr>
        <xdr:cNvPr id="248" name="CustomShape 1" hidden="1"/>
        <xdr:cNvSpPr/>
      </xdr:nvSpPr>
      <xdr:spPr>
        <a:xfrm>
          <a:off x="790560" y="599760"/>
          <a:ext cx="12123360" cy="108583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7.11 Cash Flow Analysis</a:t>
          </a:r>
          <a:endParaRPr b="0" lang="en-US" sz="1000" spc="-1" strike="noStrike">
            <a:latin typeface="Times New Roman"/>
          </a:endParaRPr>
        </a:p>
        <a:p>
          <a:pPr>
            <a:lnSpc>
              <a:spcPct val="100000"/>
            </a:lnSpc>
          </a:pPr>
          <a:r>
            <a:rPr b="0" lang="en-US" sz="1000" spc="-1" strike="noStrike">
              <a:solidFill>
                <a:srgbClr val="000000"/>
              </a:solidFill>
              <a:latin typeface="Trebuchet MS"/>
            </a:rPr>
            <a:t>The cash flow statement a financial statement that shows a company's incoming and outgoing money (sources and uses of cash). The statement shows how changes in balance sheet and income accounts affected cash and cash equivalents, and breaks the analysis down according to operating, investing, and financing activities.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1.1. Cash flow from operating activities</a:t>
          </a:r>
          <a:endParaRPr b="0" lang="en-US" sz="1000" spc="-1" strike="noStrike">
            <a:latin typeface="Times New Roman"/>
          </a:endParaRPr>
        </a:p>
        <a:p>
          <a:pPr>
            <a:lnSpc>
              <a:spcPct val="100000"/>
            </a:lnSpc>
          </a:pPr>
          <a:r>
            <a:rPr b="0" lang="en-US" sz="1000" spc="-1" strike="noStrike">
              <a:solidFill>
                <a:srgbClr val="000000"/>
              </a:solidFill>
              <a:latin typeface="Trebuchet MS"/>
            </a:rPr>
            <a:t>Operating activities include the production, sales and delivery of the company's product as well as collecting payment from the customers. </a:t>
          </a:r>
          <a:endParaRPr b="0" lang="en-US" sz="1000" spc="-1" strike="noStrike">
            <a:latin typeface="Times New Roman"/>
          </a:endParaRPr>
        </a:p>
        <a:p>
          <a:pPr>
            <a:lnSpc>
              <a:spcPct val="100000"/>
            </a:lnSpc>
          </a:pPr>
          <a:r>
            <a:rPr b="0" lang="en-US" sz="1000" spc="-1" strike="noStrike">
              <a:solidFill>
                <a:srgbClr val="000000"/>
              </a:solidFill>
              <a:latin typeface="Trebuchet MS"/>
            </a:rPr>
            <a:t>Items which are added back to the net income figure (which is found on the Income Statement) to arrive at cash flows from operations generally include:</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Depreciation (loss of tangible asset value over time)</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Deferred tax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Amortization (loss of intangible asset value over time)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Any gains or losses associated with an asset sale (unrealized gains/losses are also added back from the income statement)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1.2. Working capital</a:t>
          </a:r>
          <a:endParaRPr b="0" lang="en-US" sz="1000" spc="-1" strike="noStrike">
            <a:latin typeface="Times New Roman"/>
          </a:endParaRPr>
        </a:p>
        <a:p>
          <a:pPr>
            <a:lnSpc>
              <a:spcPct val="100000"/>
            </a:lnSpc>
          </a:pPr>
          <a:r>
            <a:rPr b="0" lang="en-US" sz="1000" spc="-1" strike="noStrike">
              <a:solidFill>
                <a:srgbClr val="000000"/>
              </a:solidFill>
              <a:latin typeface="Trebuchet MS"/>
            </a:rPr>
            <a:t>Working capital represents the amount of day-by-day operating liquidity. It is calculated as current assets minus current liabilities, which include three accounts which are of special importance. These accounts represent the areas of the business where managers have the most direct impact:</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account receivables (current assets)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inventory (current assets), and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account payables (current liabilities) </a:t>
          </a:r>
          <a:endParaRPr b="0" lang="en-US" sz="1000" spc="-1" strike="noStrike">
            <a:latin typeface="Times New Roman"/>
          </a:endParaRPr>
        </a:p>
        <a:p>
          <a:pPr>
            <a:lnSpc>
              <a:spcPct val="100000"/>
            </a:lnSpc>
          </a:pPr>
          <a:r>
            <a:rPr b="0" lang="en-US" sz="1000" spc="-1" strike="noStrike">
              <a:solidFill>
                <a:srgbClr val="000000"/>
              </a:solidFill>
              <a:latin typeface="Trebuchet MS"/>
            </a:rPr>
            <a:t>The current portion of debt (payable within 12 months) is critical, because it represents a short-term claim to current assets and is often secured by long term assets. Common types of short-term debt are bank loans and lines of credit.</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The sum of funds generated from operations and the working capital cycle determine the available funds. When a new investment is planned and this total is already negative, one should consider whether it is appropriate to go on with your investment plans since you will need already additional financing to finance you day-to-day business!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2. Cash flow from investing activities</a:t>
          </a:r>
          <a:endParaRPr b="0" lang="en-US" sz="1000" spc="-1" strike="noStrike">
            <a:latin typeface="Times New Roman"/>
          </a:endParaRPr>
        </a:p>
        <a:p>
          <a:pPr>
            <a:lnSpc>
              <a:spcPct val="100000"/>
            </a:lnSpc>
          </a:pPr>
          <a:r>
            <a:rPr b="0" lang="en-US" sz="1000" spc="-1" strike="noStrike">
              <a:solidFill>
                <a:srgbClr val="000000"/>
              </a:solidFill>
              <a:latin typeface="Trebuchet MS"/>
            </a:rPr>
            <a:t>Investing activities focus on the purchase of the long-term assets a company needs in order to make and sell its products, and the selling of any long-term assets. Items under investing activities include:</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Capital expenditures, which include purchases (and sales) of property, plant and equipment</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Investments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3. Financing activities</a:t>
          </a:r>
          <a:endParaRPr b="0" lang="en-US" sz="1000" spc="-1" strike="noStrike">
            <a:latin typeface="Times New Roman"/>
          </a:endParaRPr>
        </a:p>
        <a:p>
          <a:pPr>
            <a:lnSpc>
              <a:spcPct val="100000"/>
            </a:lnSpc>
          </a:pPr>
          <a:r>
            <a:rPr b="0" lang="en-US" sz="1000" spc="-1" strike="noStrike">
              <a:solidFill>
                <a:srgbClr val="000000"/>
              </a:solidFill>
              <a:latin typeface="Trebuchet MS"/>
            </a:rPr>
            <a:t>Financing activities include the inflow of cash from investors such as banks and shareholders, as well as the outflow of cash to shareholders as dividends as the company generates income. Other activities which impact the long-term liabilities and equity of the company are also listed in the financing activities section of the cash flow statement.</a:t>
          </a:r>
          <a:endParaRPr b="0" lang="en-US" sz="1000" spc="-1" strike="noStrike">
            <a:latin typeface="Times New Roman"/>
          </a:endParaRPr>
        </a:p>
        <a:p>
          <a:pPr>
            <a:lnSpc>
              <a:spcPct val="100000"/>
            </a:lnSpc>
          </a:pPr>
          <a:r>
            <a:rPr b="0" lang="en-US" sz="1000" spc="-1" strike="noStrike">
              <a:solidFill>
                <a:srgbClr val="000000"/>
              </a:solidFill>
              <a:latin typeface="Trebuchet MS"/>
            </a:rPr>
            <a:t>Items under the financing activities section include:</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Dividends paid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Sale or repurchase of the company's stock </a:t>
          </a:r>
          <a:endParaRPr b="0" lang="en-US" sz="1000" spc="-1" strike="noStrike">
            <a:latin typeface="Times New Roman"/>
          </a:endParaRPr>
        </a:p>
        <a:p>
          <a:pPr>
            <a:lnSpc>
              <a:spcPct val="100000"/>
            </a:lnSpc>
          </a:pPr>
          <a:r>
            <a:rPr b="0" lang="en-US" sz="1000" spc="-1" strike="noStrike">
              <a:solidFill>
                <a:srgbClr val="000000"/>
              </a:solidFill>
              <a:latin typeface="Trebuchet MS"/>
            </a:rPr>
            <a:t>● </a:t>
          </a:r>
          <a:r>
            <a:rPr b="0" lang="en-US" sz="1000" spc="-1" strike="noStrike">
              <a:solidFill>
                <a:srgbClr val="000000"/>
              </a:solidFill>
              <a:latin typeface="Trebuchet MS"/>
            </a:rPr>
            <a:t>Net borrowings </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4. Change in liquidity</a:t>
          </a:r>
          <a:endParaRPr b="0" lang="en-US" sz="1000" spc="-1" strike="noStrike">
            <a:latin typeface="Times New Roman"/>
          </a:endParaRPr>
        </a:p>
        <a:p>
          <a:pPr>
            <a:lnSpc>
              <a:spcPct val="100000"/>
            </a:lnSpc>
          </a:pPr>
          <a:r>
            <a:rPr b="0" lang="en-US" sz="1000" spc="-1" strike="noStrike">
              <a:solidFill>
                <a:srgbClr val="000000"/>
              </a:solidFill>
              <a:latin typeface="Trebuchet MS"/>
            </a:rPr>
            <a:t>Change in liquidity is the balance of the cash flow of the operating (A+B+C), investing (D) and financing (E) activities.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5. Ending cash and equivalents</a:t>
          </a:r>
          <a:endParaRPr b="0" lang="en-US" sz="1000" spc="-1" strike="noStrike">
            <a:latin typeface="Times New Roman"/>
          </a:endParaRPr>
        </a:p>
        <a:p>
          <a:pPr>
            <a:lnSpc>
              <a:spcPct val="100000"/>
            </a:lnSpc>
          </a:pPr>
          <a:r>
            <a:rPr b="0" lang="en-US" sz="1000" spc="-1" strike="noStrike">
              <a:solidFill>
                <a:srgbClr val="000000"/>
              </a:solidFill>
              <a:latin typeface="Trebuchet MS"/>
            </a:rPr>
            <a:t>This is the cash and equivalent position of the previous year minus or plus the change in liquidity of the current year.</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2</xdr:col>
      <xdr:colOff>142200</xdr:colOff>
      <xdr:row>0</xdr:row>
      <xdr:rowOff>47520</xdr:rowOff>
    </xdr:from>
    <xdr:to>
      <xdr:col>2</xdr:col>
      <xdr:colOff>446760</xdr:colOff>
      <xdr:row>0</xdr:row>
      <xdr:rowOff>247320</xdr:rowOff>
    </xdr:to>
    <xdr:sp>
      <xdr:nvSpPr>
        <xdr:cNvPr id="249" name="CustomShape 1" hidden="1"/>
        <xdr:cNvSpPr/>
      </xdr:nvSpPr>
      <xdr:spPr>
        <a:xfrm>
          <a:off x="4788360" y="47520"/>
          <a:ext cx="304560" cy="199800"/>
        </a:xfrm>
        <a:prstGeom prst="rect">
          <a:avLst/>
        </a:prstGeom>
        <a:noFill/>
        <a:ln>
          <a:noFill/>
        </a:ln>
      </xdr:spPr>
      <xdr:style>
        <a:lnRef idx="0"/>
        <a:fillRef idx="0"/>
        <a:effectRef idx="0"/>
        <a:fontRef idx="minor"/>
      </xdr:style>
    </xdr:sp>
    <xdr:clientData/>
  </xdr:twoCellAnchor>
  <xdr:twoCellAnchor editAs="oneCell">
    <xdr:from>
      <xdr:col>1</xdr:col>
      <xdr:colOff>2184480</xdr:colOff>
      <xdr:row>0</xdr:row>
      <xdr:rowOff>31680</xdr:rowOff>
    </xdr:from>
    <xdr:to>
      <xdr:col>1</xdr:col>
      <xdr:colOff>2387160</xdr:colOff>
      <xdr:row>0</xdr:row>
      <xdr:rowOff>164520</xdr:rowOff>
    </xdr:to>
    <xdr:pic>
      <xdr:nvPicPr>
        <xdr:cNvPr id="250" name="CommandButton1" descr=""/>
        <xdr:cNvPicPr/>
      </xdr:nvPicPr>
      <xdr:blipFill>
        <a:blip r:embed="rId1"/>
        <a:stretch/>
      </xdr:blipFill>
      <xdr:spPr>
        <a:xfrm>
          <a:off x="3696120" y="31680"/>
          <a:ext cx="202680" cy="132840"/>
        </a:xfrm>
        <a:prstGeom prst="rect">
          <a:avLst/>
        </a:prstGeom>
        <a:ln>
          <a:noFill/>
        </a:ln>
      </xdr:spPr>
    </xdr:pic>
    <xdr:clientData/>
  </xdr:twoCellAnchor>
</xdr:wsDr>
</file>

<file path=xl/drawings/drawing5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6</xdr:row>
      <xdr:rowOff>9360</xdr:rowOff>
    </xdr:from>
    <xdr:to>
      <xdr:col>10</xdr:col>
      <xdr:colOff>933120</xdr:colOff>
      <xdr:row>28</xdr:row>
      <xdr:rowOff>190080</xdr:rowOff>
    </xdr:to>
    <xdr:sp>
      <xdr:nvSpPr>
        <xdr:cNvPr id="251" name="CustomShape 1"/>
        <xdr:cNvSpPr/>
      </xdr:nvSpPr>
      <xdr:spPr>
        <a:xfrm>
          <a:off x="0" y="1361880"/>
          <a:ext cx="10863000" cy="4324680"/>
        </a:xfrm>
        <a:prstGeom prst="rect">
          <a:avLst/>
        </a:prstGeom>
        <a:solidFill>
          <a:srgbClr val="ffffc0"/>
        </a:solidFill>
        <a:ln w="9360">
          <a:solidFill>
            <a:srgbClr val="000000"/>
          </a:solidFill>
          <a:miter/>
        </a:ln>
      </xdr:spPr>
      <xdr:style>
        <a:lnRef idx="0"/>
        <a:fillRef idx="0"/>
        <a:effectRef idx="0"/>
        <a:fontRef idx="minor"/>
      </xdr:style>
      <xdr:txBody>
        <a:bodyPr lIns="90000" rIns="90000" tIns="45000" bIns="45000"/>
        <a:p>
          <a:pPr>
            <a:lnSpc>
              <a:spcPct val="100000"/>
            </a:lnSpc>
          </a:pPr>
          <a:r>
            <a:rPr b="0" lang="en-US" sz="1200" spc="-1" strike="noStrike">
              <a:latin typeface="Times New Roman"/>
            </a:rPr>
            <a:t>Market size and growth assumption 4X2 and 8X4 above 15 tons                                                                                                                                                                                                                                                                                                                                                             We assume a market growth around 10% each year  for the 4x2 segment                                                                                                                                                                                                                                              2018: Total market size  588 units                                                                                                                                                                                                                                                                             2019: Total market size 647 units  (first year of operation), 12% market share /  84 units                                                                                                                                                                             2020: Total market size 712 units, 13% market share / 97 units  (YoY growth sale 15%)                                                                                                                                                                                                                    2021: Total market size 783 units, 14% market share / 117 units (YoY growth sale 20%)                                                                                                                                                                           2022: Total market size 861 units, 15% market share / 130 units (YoY growth sale 11%)                                                                                                                                                                       2023: Total market size  947 units,15% market share / 149 units (YoY growth sale 12%)                                                                                                                                                                               For the 8x4                                                                                                                                                                                                                                                                                                                        We assume a market growth around 5% each year apart in 2020 market growth  will be at least 8%. This sector will be subject to a public budget constraints due to the fact all the mains projects  occured between 2014 and 2015. Therefore, less public construction will take place during the 5 next years.                                                                                                                                                                                                                                          2018: Total market size 558 units                                                                                                                                                                                                                                                                                 2019: Total market size 586 units  (first year of operation), 8% market share / 46 units                                                                                                                                                                                       2020: Total market size 615 units, 9% market share / 53 units (YoY growth sale 15%)                                                                                                                                                                                  2021: Total market size 664 units, 10% market share / 63 units (YoY growth sale 18%)                                                                                                                                                                                    2022: Total market size 697 units, 10% market share / 70 units (YoY growth sale 11%)                                                                                                                                                                                     2023: Total market size 732 units, 11% market share / 81 units (YoY growth sale 15%)                                                                                                                                                                                                                                         </a:t>
          </a:r>
          <a:endParaRPr b="0" lang="en-US" sz="1200" spc="-1" strike="noStrike">
            <a:latin typeface="Times New Roman"/>
          </a:endParaRPr>
        </a:p>
      </xdr:txBody>
    </xdr:sp>
    <xdr:clientData/>
  </xdr:twoCellAnchor>
  <xdr:twoCellAnchor editAs="oneCell">
    <xdr:from>
      <xdr:col>0</xdr:col>
      <xdr:colOff>0</xdr:colOff>
      <xdr:row>31</xdr:row>
      <xdr:rowOff>0</xdr:rowOff>
    </xdr:from>
    <xdr:to>
      <xdr:col>10</xdr:col>
      <xdr:colOff>933120</xdr:colOff>
      <xdr:row>53</xdr:row>
      <xdr:rowOff>180720</xdr:rowOff>
    </xdr:to>
    <xdr:sp>
      <xdr:nvSpPr>
        <xdr:cNvPr id="252" name="CustomShape 1"/>
        <xdr:cNvSpPr/>
      </xdr:nvSpPr>
      <xdr:spPr>
        <a:xfrm>
          <a:off x="0" y="6067800"/>
          <a:ext cx="10863000" cy="4371840"/>
        </a:xfrm>
        <a:prstGeom prst="rect">
          <a:avLst/>
        </a:prstGeom>
        <a:solidFill>
          <a:srgbClr val="ffffc0"/>
        </a:solidFill>
        <a:ln w="9360">
          <a:solidFill>
            <a:srgbClr val="000000"/>
          </a:solidFill>
          <a:miter/>
        </a:ln>
      </xdr:spPr>
      <xdr:style>
        <a:lnRef idx="0"/>
        <a:fillRef idx="0"/>
        <a:effectRef idx="0"/>
        <a:fontRef idx="minor"/>
      </xdr:style>
    </xdr:sp>
    <xdr:clientData/>
  </xdr:twoCellAnchor>
  <xdr:twoCellAnchor editAs="oneCell">
    <xdr:from>
      <xdr:col>4</xdr:col>
      <xdr:colOff>333360</xdr:colOff>
      <xdr:row>7</xdr:row>
      <xdr:rowOff>28440</xdr:rowOff>
    </xdr:from>
    <xdr:to>
      <xdr:col>11</xdr:col>
      <xdr:colOff>111240</xdr:colOff>
      <xdr:row>17</xdr:row>
      <xdr:rowOff>85320</xdr:rowOff>
    </xdr:to>
    <xdr:sp>
      <xdr:nvSpPr>
        <xdr:cNvPr id="253" name="CustomShape 1" hidden="1"/>
        <xdr:cNvSpPr/>
      </xdr:nvSpPr>
      <xdr:spPr>
        <a:xfrm>
          <a:off x="4567320" y="1547640"/>
          <a:ext cx="6472080" cy="193860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800" spc="-1" strike="noStrike">
              <a:solidFill>
                <a:srgbClr val="000000"/>
              </a:solidFill>
              <a:latin typeface="Trebuchet MS"/>
            </a:rPr>
            <a:t>7.12 Assumptions &amp; Remarks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This page should contain all the assumptions which are made for the financial business plan. Also if there are any remarks to be made to understand the business plan or choices made, there is space to show these remarks.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If there are any remarks to be made for the business plan for the long term, there is space to show these remarks.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r>
            <a:rPr b="0" lang="en-US" sz="800" spc="-1" strike="noStrike">
              <a:solidFill>
                <a:srgbClr val="000000"/>
              </a:solidFill>
              <a:latin typeface="Trebuchet MS"/>
            </a:rPr>
            <a:t>If different versions in time of a business plan are made, we advise to note all the changes made compared to a previous version. This helps to understand the total planning process.</a:t>
          </a: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a:p>
          <a:pPr>
            <a:lnSpc>
              <a:spcPct val="100000"/>
            </a:lnSpc>
          </a:pPr>
          <a:endParaRPr b="0" lang="en-US" sz="800" spc="-1" strike="noStrike">
            <a:latin typeface="Times New Roman"/>
          </a:endParaRPr>
        </a:p>
      </xdr:txBody>
    </xdr:sp>
    <xdr:clientData/>
  </xdr:twoCellAnchor>
  <xdr:twoCellAnchor editAs="oneCell">
    <xdr:from>
      <xdr:col>2</xdr:col>
      <xdr:colOff>876240</xdr:colOff>
      <xdr:row>0</xdr:row>
      <xdr:rowOff>38160</xdr:rowOff>
    </xdr:from>
    <xdr:to>
      <xdr:col>3</xdr:col>
      <xdr:colOff>50400</xdr:colOff>
      <xdr:row>0</xdr:row>
      <xdr:rowOff>203040</xdr:rowOff>
    </xdr:to>
    <xdr:pic>
      <xdr:nvPicPr>
        <xdr:cNvPr id="254" name="CommandButton1" descr=""/>
        <xdr:cNvPicPr/>
      </xdr:nvPicPr>
      <xdr:blipFill>
        <a:blip r:embed="rId1"/>
        <a:stretch/>
      </xdr:blipFill>
      <xdr:spPr>
        <a:xfrm>
          <a:off x="2993040" y="38160"/>
          <a:ext cx="232920" cy="164880"/>
        </a:xfrm>
        <a:prstGeom prst="rect">
          <a:avLst/>
        </a:prstGeom>
        <a:ln>
          <a:noFill/>
        </a:ln>
      </xdr:spPr>
    </xdr:pic>
    <xdr:clientData/>
  </xdr:twoCellAnchor>
</xdr:wsDr>
</file>

<file path=xl/drawings/drawing5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800280</xdr:colOff>
      <xdr:row>7</xdr:row>
      <xdr:rowOff>85680</xdr:rowOff>
    </xdr:from>
    <xdr:to>
      <xdr:col>9</xdr:col>
      <xdr:colOff>742680</xdr:colOff>
      <xdr:row>23</xdr:row>
      <xdr:rowOff>28080</xdr:rowOff>
    </xdr:to>
    <xdr:sp>
      <xdr:nvSpPr>
        <xdr:cNvPr id="255" name="CustomShape 1" hidden="1"/>
        <xdr:cNvSpPr/>
      </xdr:nvSpPr>
      <xdr:spPr>
        <a:xfrm>
          <a:off x="4950360" y="1628640"/>
          <a:ext cx="5130360" cy="299016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u="sng">
              <a:solidFill>
                <a:srgbClr val="000000"/>
              </a:solidFill>
              <a:uFillTx/>
              <a:latin typeface="Trebuchet MS"/>
            </a:rPr>
            <a:t>After filling in this business plan please attach the following information: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&gt; Copy of Chamber of Commerce registration</a:t>
          </a:r>
          <a:endParaRPr b="0" lang="en-US" sz="1000" spc="-1" strike="noStrike">
            <a:latin typeface="Times New Roman"/>
          </a:endParaRPr>
        </a:p>
        <a:p>
          <a:pPr>
            <a:lnSpc>
              <a:spcPct val="100000"/>
            </a:lnSpc>
          </a:pPr>
          <a:r>
            <a:rPr b="1" lang="en-US" sz="1000" spc="-1" strike="noStrike">
              <a:solidFill>
                <a:srgbClr val="000000"/>
              </a:solidFill>
              <a:latin typeface="Trebuchet MS"/>
            </a:rPr>
            <a:t>&gt; Photographs of dealer premises</a:t>
          </a:r>
          <a:endParaRPr b="0" lang="en-US" sz="1000" spc="-1" strike="noStrike">
            <a:latin typeface="Times New Roman"/>
          </a:endParaRPr>
        </a:p>
        <a:p>
          <a:pPr>
            <a:lnSpc>
              <a:spcPct val="100000"/>
            </a:lnSpc>
          </a:pPr>
          <a:r>
            <a:rPr b="1" lang="en-US" sz="1000" spc="-1" strike="noStrike">
              <a:solidFill>
                <a:srgbClr val="000000"/>
              </a:solidFill>
              <a:latin typeface="Trebuchet MS"/>
            </a:rPr>
            <a:t>&gt; Latest certified accounts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Thanks in advance for your cooperation.</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1" lang="en-US" sz="1000" spc="-1" strike="noStrike">
              <a:solidFill>
                <a:srgbClr val="000000"/>
              </a:solidFill>
              <a:latin typeface="Trebuchet MS"/>
            </a:rPr>
            <a:t>If any questions are left please contact the Dealer Development department.</a:t>
          </a:r>
          <a:endParaRPr b="0" lang="en-US" sz="1000" spc="-1" strike="noStrike">
            <a:latin typeface="Times New Roman"/>
          </a:endParaRPr>
        </a:p>
        <a:p>
          <a:pPr>
            <a:lnSpc>
              <a:spcPct val="100000"/>
            </a:lnSpc>
          </a:pPr>
          <a:endParaRPr b="0" lang="en-US" sz="1000" spc="-1" strike="noStrike">
            <a:latin typeface="Times New Roman"/>
          </a:endParaRPr>
        </a:p>
      </xdr:txBody>
    </xdr:sp>
    <xdr:clientData/>
  </xdr:twoCellAnchor>
  <xdr:twoCellAnchor editAs="oneCell">
    <xdr:from>
      <xdr:col>4</xdr:col>
      <xdr:colOff>76320</xdr:colOff>
      <xdr:row>0</xdr:row>
      <xdr:rowOff>104760</xdr:rowOff>
    </xdr:from>
    <xdr:to>
      <xdr:col>4</xdr:col>
      <xdr:colOff>733320</xdr:colOff>
      <xdr:row>1</xdr:row>
      <xdr:rowOff>171360</xdr:rowOff>
    </xdr:to>
    <xdr:sp>
      <xdr:nvSpPr>
        <xdr:cNvPr id="256" name="CustomShape 1" hidden="1"/>
        <xdr:cNvSpPr/>
      </xdr:nvSpPr>
      <xdr:spPr>
        <a:xfrm>
          <a:off x="4226400" y="104760"/>
          <a:ext cx="657000" cy="428400"/>
        </a:xfrm>
        <a:prstGeom prst="rect">
          <a:avLst/>
        </a:prstGeom>
        <a:noFill/>
        <a:ln>
          <a:noFill/>
        </a:ln>
      </xdr:spPr>
      <xdr:style>
        <a:lnRef idx="0"/>
        <a:fillRef idx="0"/>
        <a:effectRef idx="0"/>
        <a:fontRef idx="minor"/>
      </xdr:style>
    </xdr:sp>
    <xdr:clientData/>
  </xdr:twoCellAnchor>
  <xdr:twoCellAnchor editAs="oneCell">
    <xdr:from>
      <xdr:col>4</xdr:col>
      <xdr:colOff>50760</xdr:colOff>
      <xdr:row>0</xdr:row>
      <xdr:rowOff>69840</xdr:rowOff>
    </xdr:from>
    <xdr:to>
      <xdr:col>4</xdr:col>
      <xdr:colOff>488520</xdr:colOff>
      <xdr:row>0</xdr:row>
      <xdr:rowOff>355320</xdr:rowOff>
    </xdr:to>
    <xdr:pic>
      <xdr:nvPicPr>
        <xdr:cNvPr id="257" name="CommandButton1" descr=""/>
        <xdr:cNvPicPr/>
      </xdr:nvPicPr>
      <xdr:blipFill>
        <a:blip r:embed="rId1"/>
        <a:stretch/>
      </xdr:blipFill>
      <xdr:spPr>
        <a:xfrm>
          <a:off x="4200840" y="69840"/>
          <a:ext cx="437760" cy="285480"/>
        </a:xfrm>
        <a:prstGeom prst="rect">
          <a:avLst/>
        </a:prstGeom>
        <a:ln>
          <a:noFill/>
        </a:ln>
      </xdr:spPr>
    </xdr:pic>
    <xdr:clientData/>
  </xdr:twoCellAnchor>
</xdr:wsDr>
</file>

<file path=xl/drawings/drawing56.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552600</xdr:colOff>
      <xdr:row>7</xdr:row>
      <xdr:rowOff>114480</xdr:rowOff>
    </xdr:from>
    <xdr:to>
      <xdr:col>9</xdr:col>
      <xdr:colOff>599760</xdr:colOff>
      <xdr:row>122</xdr:row>
      <xdr:rowOff>161640</xdr:rowOff>
    </xdr:to>
    <xdr:sp>
      <xdr:nvSpPr>
        <xdr:cNvPr id="258" name="CustomShape 1" hidden="1"/>
        <xdr:cNvSpPr/>
      </xdr:nvSpPr>
      <xdr:spPr>
        <a:xfrm>
          <a:off x="4443120" y="1657440"/>
          <a:ext cx="4391280" cy="1951920"/>
        </a:xfrm>
        <a:prstGeom prst="roundRect">
          <a:avLst>
            <a:gd name="adj" fmla="val 16667"/>
          </a:avLst>
        </a:prstGeom>
        <a:solidFill>
          <a:srgbClr val="e3e3e3">
            <a:alpha val="86000"/>
          </a:srgbClr>
        </a:solidFill>
        <a:ln w="9360">
          <a:solidFill>
            <a:srgbClr val="000000"/>
          </a:solidFill>
          <a:round/>
        </a:ln>
      </xdr:spPr>
      <xdr:style>
        <a:lnRef idx="0"/>
        <a:fillRef idx="0"/>
        <a:effectRef idx="0"/>
        <a:fontRef idx="minor"/>
      </xdr:style>
      <xdr:txBody>
        <a:bodyPr lIns="27360" rIns="0" tIns="32040" bIns="0"/>
        <a:p>
          <a:pPr>
            <a:lnSpc>
              <a:spcPct val="100000"/>
            </a:lnSpc>
          </a:pPr>
          <a:r>
            <a:rPr b="1" lang="en-US" sz="1000" spc="-1" strike="noStrike">
              <a:solidFill>
                <a:srgbClr val="000000"/>
              </a:solidFill>
              <a:latin typeface="Trebuchet MS"/>
            </a:rPr>
            <a:t>This page is only used for Dealer Developers!</a:t>
          </a:r>
          <a:endParaRPr b="0" lang="en-US" sz="1000" spc="-1" strike="noStrike">
            <a:latin typeface="Times New Roman"/>
          </a:endParaRPr>
        </a:p>
        <a:p>
          <a:pPr>
            <a:lnSpc>
              <a:spcPct val="100000"/>
            </a:lnSpc>
          </a:pPr>
          <a:endParaRPr b="0" lang="en-US" sz="1000" spc="-1" strike="noStrike">
            <a:latin typeface="Times New Roman"/>
          </a:endParaRPr>
        </a:p>
        <a:p>
          <a:pPr>
            <a:lnSpc>
              <a:spcPct val="100000"/>
            </a:lnSpc>
          </a:pPr>
          <a:r>
            <a:rPr b="0" lang="en-US" sz="1000" spc="-1" strike="noStrike">
              <a:solidFill>
                <a:srgbClr val="000000"/>
              </a:solidFill>
              <a:latin typeface="Trebuchet MS"/>
            </a:rPr>
            <a:t>By changing the input variables the sensitivity of each variable can be analyzed.</a:t>
          </a:r>
          <a:endParaRPr b="0" lang="en-US" sz="1000" spc="-1" strike="noStrike">
            <a:latin typeface="Times New Roman"/>
          </a:endParaRPr>
        </a:p>
      </xdr:txBody>
    </xdr:sp>
    <xdr:clientData/>
  </xdr:twoCellAnchor>
  <xdr:twoCellAnchor editAs="oneCell">
    <xdr:from>
      <xdr:col>6</xdr:col>
      <xdr:colOff>333360</xdr:colOff>
      <xdr:row>0</xdr:row>
      <xdr:rowOff>104760</xdr:rowOff>
    </xdr:from>
    <xdr:to>
      <xdr:col>6</xdr:col>
      <xdr:colOff>742680</xdr:colOff>
      <xdr:row>1</xdr:row>
      <xdr:rowOff>9000</xdr:rowOff>
    </xdr:to>
    <xdr:sp>
      <xdr:nvSpPr>
        <xdr:cNvPr id="259" name="CustomShape 1" hidden="1"/>
        <xdr:cNvSpPr/>
      </xdr:nvSpPr>
      <xdr:spPr>
        <a:xfrm>
          <a:off x="5796000" y="104760"/>
          <a:ext cx="409320" cy="266040"/>
        </a:xfrm>
        <a:prstGeom prst="rect">
          <a:avLst/>
        </a:prstGeom>
        <a:noFill/>
        <a:ln>
          <a:noFill/>
        </a:ln>
      </xdr:spPr>
      <xdr:style>
        <a:lnRef idx="0"/>
        <a:fillRef idx="0"/>
        <a:effectRef idx="0"/>
        <a:fontRef idx="minor"/>
      </xdr:style>
    </xdr:sp>
    <xdr:clientData/>
  </xdr:twoCellAnchor>
  <xdr:twoCellAnchor editAs="oneCell">
    <xdr:from>
      <xdr:col>6</xdr:col>
      <xdr:colOff>222120</xdr:colOff>
      <xdr:row>0</xdr:row>
      <xdr:rowOff>69840</xdr:rowOff>
    </xdr:from>
    <xdr:to>
      <xdr:col>6</xdr:col>
      <xdr:colOff>494640</xdr:colOff>
      <xdr:row>1</xdr:row>
      <xdr:rowOff>6120</xdr:rowOff>
    </xdr:to>
    <xdr:pic>
      <xdr:nvPicPr>
        <xdr:cNvPr id="260" name="CommandButton1" descr=""/>
        <xdr:cNvPicPr/>
      </xdr:nvPicPr>
      <xdr:blipFill>
        <a:blip r:embed="rId1"/>
        <a:stretch/>
      </xdr:blipFill>
      <xdr:spPr>
        <a:xfrm>
          <a:off x="5684760" y="69840"/>
          <a:ext cx="272520" cy="29808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
</Relationships>
</file>

<file path=xl/worksheets/_rels/sheet8.xml.rels><?xml version="1.0" encoding="UTF-8"?>
<Relationships xmlns="http://schemas.openxmlformats.org/package/2006/relationships"><Relationship Id="rId1" Type="http://schemas.openxmlformats.org/officeDocument/2006/relationships/drawing" Target="../drawings/drawing7.xml"/>
</Relationships>
</file>

<file path=xl/worksheets/_rels/sheet9.xml.rels><?xml version="1.0" encoding="UTF-8"?>
<Relationships xmlns="http://schemas.openxmlformats.org/package/2006/relationships"><Relationship Id="rId1" Type="http://schemas.openxmlformats.org/officeDocument/2006/relationships/drawing" Target="../drawings/drawing8.xml"/>
</Relationships>
</file>

<file path=xl/worksheets/_rels/sheet10.xml.rels><?xml version="1.0" encoding="UTF-8"?>
<Relationships xmlns="http://schemas.openxmlformats.org/package/2006/relationships"><Relationship Id="rId1" Type="http://schemas.openxmlformats.org/officeDocument/2006/relationships/drawing" Target="../drawings/drawing9.xml"/>
</Relationships>
</file>

<file path=xl/worksheets/_rels/sheet11.xml.rels><?xml version="1.0" encoding="UTF-8"?>
<Relationships xmlns="http://schemas.openxmlformats.org/package/2006/relationships"><Relationship Id="rId1" Type="http://schemas.openxmlformats.org/officeDocument/2006/relationships/drawing" Target="../drawings/drawing10.xml"/>
</Relationships>
</file>

<file path=xl/worksheets/_rels/sheet12.xml.rels><?xml version="1.0" encoding="UTF-8"?>
<Relationships xmlns="http://schemas.openxmlformats.org/package/2006/relationships"><Relationship Id="rId1" Type="http://schemas.openxmlformats.org/officeDocument/2006/relationships/drawing" Target="../drawings/drawing11.xml"/>
</Relationships>
</file>

<file path=xl/worksheets/_rels/sheet13.xml.rels><?xml version="1.0" encoding="UTF-8"?>
<Relationships xmlns="http://schemas.openxmlformats.org/package/2006/relationships"><Relationship Id="rId1" Type="http://schemas.openxmlformats.org/officeDocument/2006/relationships/drawing" Target="../drawings/drawing12.xml"/>
</Relationships>
</file>

<file path=xl/worksheets/_rels/sheet14.xml.rels><?xml version="1.0" encoding="UTF-8"?>
<Relationships xmlns="http://schemas.openxmlformats.org/package/2006/relationships"><Relationship Id="rId1" Type="http://schemas.openxmlformats.org/officeDocument/2006/relationships/drawing" Target="../drawings/drawing13.xml"/>
</Relationships>
</file>

<file path=xl/worksheets/_rels/sheet15.xml.rels><?xml version="1.0" encoding="UTF-8"?>
<Relationships xmlns="http://schemas.openxmlformats.org/package/2006/relationships"><Relationship Id="rId1" Type="http://schemas.openxmlformats.org/officeDocument/2006/relationships/drawing" Target="../drawings/drawing14.xml"/>
</Relationships>
</file>

<file path=xl/worksheets/_rels/sheet16.xml.rels><?xml version="1.0" encoding="UTF-8"?>
<Relationships xmlns="http://schemas.openxmlformats.org/package/2006/relationships"><Relationship Id="rId1" Type="http://schemas.openxmlformats.org/officeDocument/2006/relationships/drawing" Target="../drawings/drawing15.xml"/>
</Relationships>
</file>

<file path=xl/worksheets/_rels/sheet17.xml.rels><?xml version="1.0" encoding="UTF-8"?>
<Relationships xmlns="http://schemas.openxmlformats.org/package/2006/relationships"><Relationship Id="rId1" Type="http://schemas.openxmlformats.org/officeDocument/2006/relationships/drawing" Target="../drawings/drawing16.xml"/>
</Relationships>
</file>

<file path=xl/worksheets/_rels/sheet18.xml.rels><?xml version="1.0" encoding="UTF-8"?>
<Relationships xmlns="http://schemas.openxmlformats.org/package/2006/relationships"><Relationship Id="rId1" Type="http://schemas.openxmlformats.org/officeDocument/2006/relationships/drawing" Target="../drawings/drawing17.xml"/>
</Relationships>
</file>

<file path=xl/worksheets/_rels/sheet19.xml.rels><?xml version="1.0" encoding="UTF-8"?>
<Relationships xmlns="http://schemas.openxmlformats.org/package/2006/relationships"><Relationship Id="rId1" Type="http://schemas.openxmlformats.org/officeDocument/2006/relationships/drawing" Target="../drawings/drawing18.xml"/>
</Relationships>
</file>

<file path=xl/worksheets/_rels/sheet20.xml.rels><?xml version="1.0" encoding="UTF-8"?>
<Relationships xmlns="http://schemas.openxmlformats.org/package/2006/relationships"><Relationship Id="rId1" Type="http://schemas.openxmlformats.org/officeDocument/2006/relationships/drawing" Target="../drawings/drawing19.xml"/>
</Relationships>
</file>

<file path=xl/worksheets/_rels/sheet21.xml.rels><?xml version="1.0" encoding="UTF-8"?>
<Relationships xmlns="http://schemas.openxmlformats.org/package/2006/relationships"><Relationship Id="rId1" Type="http://schemas.openxmlformats.org/officeDocument/2006/relationships/drawing" Target="../drawings/drawing20.xml"/>
</Relationships>
</file>

<file path=xl/worksheets/_rels/sheet22.xml.rels><?xml version="1.0" encoding="UTF-8"?>
<Relationships xmlns="http://schemas.openxmlformats.org/package/2006/relationships"><Relationship Id="rId1" Type="http://schemas.openxmlformats.org/officeDocument/2006/relationships/drawing" Target="../drawings/drawing21.xml"/>
</Relationships>
</file>

<file path=xl/worksheets/_rels/sheet23.xml.rels><?xml version="1.0" encoding="UTF-8"?>
<Relationships xmlns="http://schemas.openxmlformats.org/package/2006/relationships"><Relationship Id="rId1" Type="http://schemas.openxmlformats.org/officeDocument/2006/relationships/drawing" Target="../drawings/drawing22.xml"/>
</Relationships>
</file>

<file path=xl/worksheets/_rels/sheet24.xml.rels><?xml version="1.0" encoding="UTF-8"?>
<Relationships xmlns="http://schemas.openxmlformats.org/package/2006/relationships"><Relationship Id="rId1" Type="http://schemas.openxmlformats.org/officeDocument/2006/relationships/drawing" Target="../drawings/drawing23.xml"/>
</Relationships>
</file>

<file path=xl/worksheets/_rels/sheet25.xml.rels><?xml version="1.0" encoding="UTF-8"?>
<Relationships xmlns="http://schemas.openxmlformats.org/package/2006/relationships"><Relationship Id="rId1" Type="http://schemas.openxmlformats.org/officeDocument/2006/relationships/drawing" Target="../drawings/drawing24.xml"/>
</Relationships>
</file>

<file path=xl/worksheets/_rels/sheet26.xml.rels><?xml version="1.0" encoding="UTF-8"?>
<Relationships xmlns="http://schemas.openxmlformats.org/package/2006/relationships"><Relationship Id="rId1" Type="http://schemas.openxmlformats.org/officeDocument/2006/relationships/drawing" Target="../drawings/drawing25.xml"/>
</Relationships>
</file>

<file path=xl/worksheets/_rels/sheet27.xml.rels><?xml version="1.0" encoding="UTF-8"?>
<Relationships xmlns="http://schemas.openxmlformats.org/package/2006/relationships"><Relationship Id="rId1" Type="http://schemas.openxmlformats.org/officeDocument/2006/relationships/drawing" Target="../drawings/drawing26.xml"/>
</Relationships>
</file>

<file path=xl/worksheets/_rels/sheet28.xml.rels><?xml version="1.0" encoding="UTF-8"?>
<Relationships xmlns="http://schemas.openxmlformats.org/package/2006/relationships"><Relationship Id="rId1" Type="http://schemas.openxmlformats.org/officeDocument/2006/relationships/drawing" Target="../drawings/drawing27.xml"/>
</Relationships>
</file>

<file path=xl/worksheets/_rels/sheet29.xml.rels><?xml version="1.0" encoding="UTF-8"?>
<Relationships xmlns="http://schemas.openxmlformats.org/package/2006/relationships"><Relationship Id="rId1" Type="http://schemas.openxmlformats.org/officeDocument/2006/relationships/drawing" Target="../drawings/drawing28.xml"/>
</Relationships>
</file>

<file path=xl/worksheets/_rels/sheet30.xml.rels><?xml version="1.0" encoding="UTF-8"?>
<Relationships xmlns="http://schemas.openxmlformats.org/package/2006/relationships"><Relationship Id="rId1" Type="http://schemas.openxmlformats.org/officeDocument/2006/relationships/drawing" Target="../drawings/drawing29.xml"/>
</Relationships>
</file>

<file path=xl/worksheets/_rels/sheet31.xml.rels><?xml version="1.0" encoding="UTF-8"?>
<Relationships xmlns="http://schemas.openxmlformats.org/package/2006/relationships"><Relationship Id="rId1" Type="http://schemas.openxmlformats.org/officeDocument/2006/relationships/drawing" Target="../drawings/drawing30.xml"/>
</Relationships>
</file>

<file path=xl/worksheets/_rels/sheet32.xml.rels><?xml version="1.0" encoding="UTF-8"?>
<Relationships xmlns="http://schemas.openxmlformats.org/package/2006/relationships"><Relationship Id="rId1" Type="http://schemas.openxmlformats.org/officeDocument/2006/relationships/drawing" Target="../drawings/drawing31.xml"/>
</Relationships>
</file>

<file path=xl/worksheets/_rels/sheet33.xml.rels><?xml version="1.0" encoding="UTF-8"?>
<Relationships xmlns="http://schemas.openxmlformats.org/package/2006/relationships"><Relationship Id="rId1" Type="http://schemas.openxmlformats.org/officeDocument/2006/relationships/drawing" Target="../drawings/drawing32.xml"/>
</Relationships>
</file>

<file path=xl/worksheets/_rels/sheet34.xml.rels><?xml version="1.0" encoding="UTF-8"?>
<Relationships xmlns="http://schemas.openxmlformats.org/package/2006/relationships"><Relationship Id="rId1" Type="http://schemas.openxmlformats.org/officeDocument/2006/relationships/drawing" Target="../drawings/drawing33.xml"/>
</Relationships>
</file>

<file path=xl/worksheets/_rels/sheet35.xml.rels><?xml version="1.0" encoding="UTF-8"?>
<Relationships xmlns="http://schemas.openxmlformats.org/package/2006/relationships"><Relationship Id="rId1" Type="http://schemas.openxmlformats.org/officeDocument/2006/relationships/drawing" Target="../drawings/drawing34.xml"/>
</Relationships>
</file>

<file path=xl/worksheets/_rels/sheet36.xml.rels><?xml version="1.0" encoding="UTF-8"?>
<Relationships xmlns="http://schemas.openxmlformats.org/package/2006/relationships"><Relationship Id="rId1" Type="http://schemas.openxmlformats.org/officeDocument/2006/relationships/drawing" Target="../drawings/drawing35.xml"/>
</Relationships>
</file>

<file path=xl/worksheets/_rels/sheet38.xml.rels><?xml version="1.0" encoding="UTF-8"?>
<Relationships xmlns="http://schemas.openxmlformats.org/package/2006/relationships"><Relationship Id="rId1" Type="http://schemas.openxmlformats.org/officeDocument/2006/relationships/drawing" Target="../drawings/drawing36.xml"/>
</Relationships>
</file>

<file path=xl/worksheets/_rels/sheet39.xml.rels><?xml version="1.0" encoding="UTF-8"?>
<Relationships xmlns="http://schemas.openxmlformats.org/package/2006/relationships"><Relationship Id="rId1" Type="http://schemas.openxmlformats.org/officeDocument/2006/relationships/drawing" Target="../drawings/drawing37.xml"/>
</Relationships>
</file>

<file path=xl/worksheets/_rels/sheet42.xml.rels><?xml version="1.0" encoding="UTF-8"?>
<Relationships xmlns="http://schemas.openxmlformats.org/package/2006/relationships"><Relationship Id="rId1" Type="http://schemas.openxmlformats.org/officeDocument/2006/relationships/drawing" Target="../drawings/drawing38.xml"/>
</Relationships>
</file>

<file path=xl/worksheets/_rels/sheet44.xml.rels><?xml version="1.0" encoding="UTF-8"?>
<Relationships xmlns="http://schemas.openxmlformats.org/package/2006/relationships"><Relationship Id="rId1" Type="http://schemas.openxmlformats.org/officeDocument/2006/relationships/drawing" Target="../drawings/drawing39.xml"/>
</Relationships>
</file>

<file path=xl/worksheets/_rels/sheet45.xml.rels><?xml version="1.0" encoding="UTF-8"?>
<Relationships xmlns="http://schemas.openxmlformats.org/package/2006/relationships"><Relationship Id="rId1" Type="http://schemas.openxmlformats.org/officeDocument/2006/relationships/drawing" Target="../drawings/drawing40.xml"/>
</Relationships>
</file>

<file path=xl/worksheets/_rels/sheet46.xml.rels><?xml version="1.0" encoding="UTF-8"?>
<Relationships xmlns="http://schemas.openxmlformats.org/package/2006/relationships"><Relationship Id="rId1" Type="http://schemas.openxmlformats.org/officeDocument/2006/relationships/drawing" Target="../drawings/drawing41.xml"/>
</Relationships>
</file>

<file path=xl/worksheets/_rels/sheet47.xml.rels><?xml version="1.0" encoding="UTF-8"?>
<Relationships xmlns="http://schemas.openxmlformats.org/package/2006/relationships"><Relationship Id="rId1" Type="http://schemas.openxmlformats.org/officeDocument/2006/relationships/drawing" Target="../drawings/drawing42.xml"/>
</Relationships>
</file>

<file path=xl/worksheets/_rels/sheet48.xml.rels><?xml version="1.0" encoding="UTF-8"?>
<Relationships xmlns="http://schemas.openxmlformats.org/package/2006/relationships"><Relationship Id="rId1" Type="http://schemas.openxmlformats.org/officeDocument/2006/relationships/drawing" Target="../drawings/drawing43.xml"/>
</Relationships>
</file>

<file path=xl/worksheets/_rels/sheet49.xml.rels><?xml version="1.0" encoding="UTF-8"?>
<Relationships xmlns="http://schemas.openxmlformats.org/package/2006/relationships"><Relationship Id="rId1" Type="http://schemas.openxmlformats.org/officeDocument/2006/relationships/drawing" Target="../drawings/drawing44.xml"/>
</Relationships>
</file>

<file path=xl/worksheets/_rels/sheet51.xml.rels><?xml version="1.0" encoding="UTF-8"?>
<Relationships xmlns="http://schemas.openxmlformats.org/package/2006/relationships"><Relationship Id="rId1" Type="http://schemas.openxmlformats.org/officeDocument/2006/relationships/drawing" Target="../drawings/drawing45.xml"/>
</Relationships>
</file>

<file path=xl/worksheets/_rels/sheet52.xml.rels><?xml version="1.0" encoding="UTF-8"?>
<Relationships xmlns="http://schemas.openxmlformats.org/package/2006/relationships"><Relationship Id="rId1" Type="http://schemas.openxmlformats.org/officeDocument/2006/relationships/drawing" Target="../drawings/drawing46.xml"/>
</Relationships>
</file>

<file path=xl/worksheets/_rels/sheet53.xml.rels><?xml version="1.0" encoding="UTF-8"?>
<Relationships xmlns="http://schemas.openxmlformats.org/package/2006/relationships"><Relationship Id="rId1" Type="http://schemas.openxmlformats.org/officeDocument/2006/relationships/drawing" Target="../drawings/drawing47.xml"/>
</Relationships>
</file>

<file path=xl/worksheets/_rels/sheet54.xml.rels><?xml version="1.0" encoding="UTF-8"?>
<Relationships xmlns="http://schemas.openxmlformats.org/package/2006/relationships"><Relationship Id="rId1" Type="http://schemas.openxmlformats.org/officeDocument/2006/relationships/drawing" Target="../drawings/drawing48.xml"/>
</Relationships>
</file>

<file path=xl/worksheets/_rels/sheet55.xml.rels><?xml version="1.0" encoding="UTF-8"?>
<Relationships xmlns="http://schemas.openxmlformats.org/package/2006/relationships"><Relationship Id="rId1" Type="http://schemas.openxmlformats.org/officeDocument/2006/relationships/drawing" Target="../drawings/drawing49.xml"/>
</Relationships>
</file>

<file path=xl/worksheets/_rels/sheet56.xml.rels><?xml version="1.0" encoding="UTF-8"?>
<Relationships xmlns="http://schemas.openxmlformats.org/package/2006/relationships"><Relationship Id="rId1" Type="http://schemas.openxmlformats.org/officeDocument/2006/relationships/drawing" Target="../drawings/drawing50.xml"/>
</Relationships>
</file>

<file path=xl/worksheets/_rels/sheet57.xml.rels><?xml version="1.0" encoding="UTF-8"?>
<Relationships xmlns="http://schemas.openxmlformats.org/package/2006/relationships"><Relationship Id="rId1" Type="http://schemas.openxmlformats.org/officeDocument/2006/relationships/drawing" Target="../drawings/drawing51.xml"/>
</Relationships>
</file>

<file path=xl/worksheets/_rels/sheet58.xml.rels><?xml version="1.0" encoding="UTF-8"?>
<Relationships xmlns="http://schemas.openxmlformats.org/package/2006/relationships"><Relationship Id="rId1" Type="http://schemas.openxmlformats.org/officeDocument/2006/relationships/drawing" Target="../drawings/drawing52.xml"/>
</Relationships>
</file>

<file path=xl/worksheets/_rels/sheet59.xml.rels><?xml version="1.0" encoding="UTF-8"?>
<Relationships xmlns="http://schemas.openxmlformats.org/package/2006/relationships"><Relationship Id="rId1" Type="http://schemas.openxmlformats.org/officeDocument/2006/relationships/drawing" Target="../drawings/drawing53.xml"/>
</Relationships>
</file>

<file path=xl/worksheets/_rels/sheet60.xml.rels><?xml version="1.0" encoding="UTF-8"?>
<Relationships xmlns="http://schemas.openxmlformats.org/package/2006/relationships"><Relationship Id="rId1" Type="http://schemas.openxmlformats.org/officeDocument/2006/relationships/drawing" Target="../drawings/drawing54.xml"/>
</Relationships>
</file>

<file path=xl/worksheets/_rels/sheet61.xml.rels><?xml version="1.0" encoding="UTF-8"?>
<Relationships xmlns="http://schemas.openxmlformats.org/package/2006/relationships"><Relationship Id="rId1" Type="http://schemas.openxmlformats.org/officeDocument/2006/relationships/drawing" Target="../drawings/drawing55.xml"/>
</Relationships>
</file>

<file path=xl/worksheets/_rels/sheet62.xml.rels><?xml version="1.0" encoding="UTF-8"?>
<Relationships xmlns="http://schemas.openxmlformats.org/package/2006/relationships"><Relationship Id="rId1" Type="http://schemas.openxmlformats.org/officeDocument/2006/relationships/drawing" Target="../drawings/drawing56.xml"/>
</Relationships>
</file>

<file path=xl/worksheets/sheet1.xml><?xml version="1.0" encoding="utf-8"?>
<worksheet xmlns="http://schemas.openxmlformats.org/spreadsheetml/2006/main" xmlns:r="http://schemas.openxmlformats.org/officeDocument/2006/relationships">
  <sheetPr filterMode="false">
    <tabColor rgb="FFFF00FF"/>
    <pageSetUpPr fitToPage="true"/>
  </sheetPr>
  <dimension ref="A1:V104857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6" activeCellId="0" sqref="D6"/>
    </sheetView>
  </sheetViews>
  <sheetFormatPr defaultRowHeight="15" zeroHeight="true" outlineLevelRow="0" outlineLevelCol="0"/>
  <cols>
    <col collapsed="false" customWidth="false" hidden="false" outlineLevel="0" max="1" min="1" style="1" width="11.57"/>
    <col collapsed="false" customWidth="true" hidden="false" outlineLevel="0" max="2" min="2" style="2" width="9.14"/>
    <col collapsed="false" customWidth="true" hidden="false" outlineLevel="0" max="3" min="3" style="2" width="26.29"/>
    <col collapsed="false" customWidth="true" hidden="false" outlineLevel="0" max="4" min="4" style="2" width="6.01"/>
    <col collapsed="false" customWidth="true" hidden="false" outlineLevel="0" max="5" min="5" style="2" width="2.85"/>
    <col collapsed="false" customWidth="true" hidden="false" outlineLevel="0" max="6" min="6" style="2" width="12.42"/>
    <col collapsed="false" customWidth="true" hidden="false" outlineLevel="0" max="7" min="7" style="2" width="12.71"/>
    <col collapsed="false" customWidth="true" hidden="false" outlineLevel="0" max="8" min="8" style="2" width="12.57"/>
    <col collapsed="false" customWidth="true" hidden="false" outlineLevel="0" max="9" min="9" style="2" width="9.29"/>
    <col collapsed="false" customWidth="true" hidden="false" outlineLevel="0" max="10" min="10" style="2" width="16.86"/>
    <col collapsed="false" customWidth="true" hidden="false" outlineLevel="0" max="11" min="11" style="3" width="14.43"/>
    <col collapsed="false" customWidth="true" hidden="false" outlineLevel="0" max="12" min="12" style="2" width="1"/>
    <col collapsed="false" customWidth="true" hidden="true" outlineLevel="0" max="13" min="13" style="4" width="3.99"/>
    <col collapsed="false" customWidth="true" hidden="true" outlineLevel="0" max="14" min="14" style="4" width="18.42"/>
    <col collapsed="false" customWidth="true" hidden="true" outlineLevel="0" max="15" min="15" style="4" width="9.14"/>
    <col collapsed="false" customWidth="true" hidden="true" outlineLevel="0" max="16" min="16" style="4" width="7"/>
    <col collapsed="false" customWidth="true" hidden="true" outlineLevel="0" max="17" min="17" style="4" width="6.57"/>
    <col collapsed="false" customWidth="true" hidden="true" outlineLevel="0" max="18" min="18" style="4" width="9"/>
    <col collapsed="false" customWidth="true" hidden="true" outlineLevel="0" max="1025" min="19" style="4" width="9.14"/>
  </cols>
  <sheetData>
    <row r="1" s="10" customFormat="true" ht="29.25" hidden="false" customHeight="true" outlineLevel="0" collapsed="false">
      <c r="A1" s="5" t="s">
        <v>0</v>
      </c>
      <c r="B1" s="6"/>
      <c r="C1" s="6"/>
      <c r="D1" s="7" t="s">
        <v>1</v>
      </c>
      <c r="E1" s="7"/>
      <c r="F1" s="7"/>
      <c r="G1" s="7"/>
      <c r="H1" s="7"/>
      <c r="I1" s="6"/>
      <c r="J1" s="6"/>
      <c r="K1" s="8" t="s">
        <v>2</v>
      </c>
      <c r="L1" s="9"/>
      <c r="N1" s="11"/>
    </row>
    <row r="2" customFormat="false" ht="15" hidden="false" customHeight="false" outlineLevel="0" collapsed="false">
      <c r="A2" s="12"/>
      <c r="B2" s="13"/>
      <c r="C2" s="13"/>
      <c r="D2" s="13"/>
      <c r="E2" s="13"/>
      <c r="F2" s="13"/>
      <c r="G2" s="13"/>
      <c r="H2" s="13"/>
      <c r="I2" s="13"/>
      <c r="J2" s="13"/>
      <c r="K2" s="14"/>
      <c r="L2" s="15"/>
      <c r="N2" s="4" t="s">
        <v>3</v>
      </c>
      <c r="O2" s="16" t="s">
        <v>4</v>
      </c>
      <c r="P2" s="16"/>
      <c r="Q2" s="16"/>
      <c r="R2" s="16" t="s">
        <v>5</v>
      </c>
    </row>
    <row r="3" s="23" customFormat="true" ht="18" hidden="false" customHeight="false" outlineLevel="0" collapsed="false">
      <c r="A3" s="17"/>
      <c r="B3" s="18"/>
      <c r="C3" s="18"/>
      <c r="D3" s="18"/>
      <c r="E3" s="18"/>
      <c r="F3" s="18"/>
      <c r="G3" s="18"/>
      <c r="H3" s="18"/>
      <c r="I3" s="18"/>
      <c r="J3" s="18"/>
      <c r="K3" s="19"/>
      <c r="L3" s="18"/>
      <c r="M3" s="4"/>
      <c r="N3" s="20" t="s">
        <v>6</v>
      </c>
      <c r="O3" s="21" t="n">
        <v>0</v>
      </c>
      <c r="P3" s="22"/>
      <c r="Q3" s="22"/>
      <c r="R3" s="21" t="n">
        <v>0</v>
      </c>
    </row>
    <row r="4" s="23" customFormat="true" ht="18" hidden="false" customHeight="false" outlineLevel="0" collapsed="false">
      <c r="A4" s="17"/>
      <c r="B4" s="18"/>
      <c r="C4" s="18"/>
      <c r="D4" s="18"/>
      <c r="E4" s="18"/>
      <c r="F4" s="18"/>
      <c r="G4" s="18"/>
      <c r="H4" s="18"/>
      <c r="I4" s="18"/>
      <c r="J4" s="18"/>
      <c r="K4" s="24"/>
      <c r="L4" s="25"/>
      <c r="M4" s="23" t="n">
        <v>1</v>
      </c>
      <c r="N4" s="22" t="s">
        <v>7</v>
      </c>
      <c r="O4" s="21" t="n">
        <v>0</v>
      </c>
      <c r="P4" s="26"/>
      <c r="Q4" s="26"/>
      <c r="R4" s="21" t="n">
        <v>-0.0059</v>
      </c>
      <c r="S4" s="23" t="s">
        <v>8</v>
      </c>
      <c r="T4" s="27" t="n">
        <v>2010</v>
      </c>
      <c r="V4" s="23" t="s">
        <v>9</v>
      </c>
    </row>
    <row r="5" s="23" customFormat="true" ht="18" hidden="false" customHeight="false" outlineLevel="0" collapsed="false">
      <c r="A5" s="17"/>
      <c r="B5" s="18"/>
      <c r="C5" s="18"/>
      <c r="D5" s="18"/>
      <c r="E5" s="18"/>
      <c r="F5" s="18"/>
      <c r="G5" s="18"/>
      <c r="H5" s="18"/>
      <c r="I5" s="18"/>
      <c r="J5" s="18"/>
      <c r="K5" s="28"/>
      <c r="L5" s="29"/>
      <c r="M5" s="23" t="n">
        <v>2</v>
      </c>
      <c r="N5" s="22" t="s">
        <v>10</v>
      </c>
      <c r="O5" s="21" t="n">
        <v>0.1</v>
      </c>
      <c r="P5" s="26"/>
      <c r="Q5" s="26"/>
      <c r="R5" s="21" t="n">
        <v>0</v>
      </c>
      <c r="S5" s="23" t="s">
        <v>11</v>
      </c>
      <c r="T5" s="27" t="n">
        <v>2011</v>
      </c>
      <c r="V5" s="23" t="s">
        <v>12</v>
      </c>
    </row>
    <row r="6" s="23" customFormat="true" ht="18" hidden="false" customHeight="false" outlineLevel="0" collapsed="false">
      <c r="A6" s="17"/>
      <c r="B6" s="18"/>
      <c r="C6" s="18"/>
      <c r="D6" s="18"/>
      <c r="E6" s="18"/>
      <c r="F6" s="18"/>
      <c r="G6" s="18"/>
      <c r="H6" s="18"/>
      <c r="I6" s="18"/>
      <c r="J6" s="18"/>
      <c r="K6" s="28"/>
      <c r="L6" s="29"/>
      <c r="M6" s="23" t="n">
        <v>3</v>
      </c>
      <c r="N6" s="22" t="s">
        <v>13</v>
      </c>
      <c r="O6" s="21" t="n">
        <v>0</v>
      </c>
      <c r="P6" s="26"/>
      <c r="Q6" s="26"/>
      <c r="R6" s="21" t="n">
        <v>-0.0109</v>
      </c>
      <c r="S6" s="23" t="s">
        <v>14</v>
      </c>
      <c r="T6" s="27" t="n">
        <v>2012</v>
      </c>
      <c r="U6" s="23" t="n">
        <v>3</v>
      </c>
      <c r="V6" s="23" t="s">
        <v>15</v>
      </c>
    </row>
    <row r="7" s="23" customFormat="true" ht="18" hidden="false" customHeight="false" outlineLevel="0" collapsed="false">
      <c r="A7" s="17"/>
      <c r="B7" s="18"/>
      <c r="C7" s="18"/>
      <c r="D7" s="18"/>
      <c r="E7" s="18"/>
      <c r="F7" s="18"/>
      <c r="G7" s="18"/>
      <c r="H7" s="18"/>
      <c r="I7" s="18"/>
      <c r="J7" s="18"/>
      <c r="K7" s="28"/>
      <c r="L7" s="29"/>
      <c r="M7" s="23" t="n">
        <v>4</v>
      </c>
      <c r="N7" s="22" t="s">
        <v>16</v>
      </c>
      <c r="O7" s="21" t="n">
        <v>0.1</v>
      </c>
      <c r="P7" s="26"/>
      <c r="Q7" s="26"/>
      <c r="R7" s="21" t="n">
        <v>-0.006</v>
      </c>
      <c r="S7" s="23" t="s">
        <v>17</v>
      </c>
      <c r="T7" s="27" t="n">
        <v>2013</v>
      </c>
      <c r="U7" s="23" t="n">
        <v>4</v>
      </c>
      <c r="V7" s="23" t="s">
        <v>18</v>
      </c>
    </row>
    <row r="8" s="23" customFormat="true" ht="18" hidden="false" customHeight="false" outlineLevel="0" collapsed="false">
      <c r="A8" s="17"/>
      <c r="B8" s="18"/>
      <c r="C8" s="18"/>
      <c r="D8" s="18"/>
      <c r="E8" s="18"/>
      <c r="F8" s="18"/>
      <c r="G8" s="18"/>
      <c r="H8" s="18"/>
      <c r="I8" s="18"/>
      <c r="J8" s="18"/>
      <c r="K8" s="28"/>
      <c r="L8" s="29"/>
      <c r="M8" s="23" t="n">
        <v>5</v>
      </c>
      <c r="N8" s="22" t="s">
        <v>19</v>
      </c>
      <c r="O8" s="21" t="n">
        <v>0.1</v>
      </c>
      <c r="P8" s="26"/>
      <c r="Q8" s="26"/>
      <c r="R8" s="21" t="n">
        <v>-0.006</v>
      </c>
      <c r="S8" s="23" t="s">
        <v>20</v>
      </c>
      <c r="T8" s="27" t="n">
        <v>2014</v>
      </c>
      <c r="U8" s="23" t="n">
        <v>5</v>
      </c>
      <c r="V8" s="23" t="s">
        <v>21</v>
      </c>
    </row>
    <row r="9" s="23" customFormat="true" ht="18" hidden="false" customHeight="false" outlineLevel="0" collapsed="false">
      <c r="A9" s="17"/>
      <c r="B9" s="18"/>
      <c r="C9" s="18"/>
      <c r="D9" s="18"/>
      <c r="E9" s="18"/>
      <c r="F9" s="18"/>
      <c r="G9" s="18"/>
      <c r="H9" s="18"/>
      <c r="I9" s="18"/>
      <c r="J9" s="18"/>
      <c r="K9" s="28"/>
      <c r="L9" s="29"/>
      <c r="M9" s="23" t="n">
        <v>6</v>
      </c>
      <c r="N9" s="22" t="s">
        <v>22</v>
      </c>
      <c r="O9" s="21" t="n">
        <v>0.1</v>
      </c>
      <c r="P9" s="26"/>
      <c r="Q9" s="26"/>
      <c r="R9" s="21" t="n">
        <v>-0.006</v>
      </c>
      <c r="S9" s="23" t="s">
        <v>23</v>
      </c>
      <c r="T9" s="27" t="n">
        <v>2015</v>
      </c>
      <c r="V9" s="23" t="s">
        <v>24</v>
      </c>
    </row>
    <row r="10" s="23" customFormat="true" ht="18" hidden="false" customHeight="false" outlineLevel="0" collapsed="false">
      <c r="A10" s="17"/>
      <c r="B10" s="18"/>
      <c r="C10" s="18"/>
      <c r="D10" s="18"/>
      <c r="E10" s="18"/>
      <c r="F10" s="18"/>
      <c r="G10" s="18"/>
      <c r="H10" s="18"/>
      <c r="I10" s="18"/>
      <c r="J10" s="18"/>
      <c r="K10" s="28"/>
      <c r="L10" s="29"/>
      <c r="M10" s="23" t="n">
        <v>7</v>
      </c>
      <c r="N10" s="22" t="s">
        <v>25</v>
      </c>
      <c r="O10" s="21" t="n">
        <v>0</v>
      </c>
      <c r="P10" s="26"/>
      <c r="Q10" s="26"/>
      <c r="R10" s="21" t="n">
        <v>0</v>
      </c>
      <c r="S10" s="23" t="s">
        <v>26</v>
      </c>
      <c r="T10" s="27" t="n">
        <v>2016</v>
      </c>
      <c r="V10" s="23" t="s">
        <v>27</v>
      </c>
    </row>
    <row r="11" s="23" customFormat="true" ht="18" hidden="false" customHeight="false" outlineLevel="0" collapsed="false">
      <c r="A11" s="17" t="s">
        <v>28</v>
      </c>
      <c r="B11" s="18"/>
      <c r="C11" s="30" t="s">
        <v>29</v>
      </c>
      <c r="D11" s="18"/>
      <c r="E11" s="18"/>
      <c r="F11" s="31" t="s">
        <v>30</v>
      </c>
      <c r="G11" s="31"/>
      <c r="H11" s="31"/>
      <c r="I11" s="31"/>
      <c r="J11" s="31"/>
      <c r="K11" s="28"/>
      <c r="L11" s="29"/>
      <c r="M11" s="23" t="n">
        <v>8</v>
      </c>
      <c r="N11" s="22" t="s">
        <v>31</v>
      </c>
      <c r="O11" s="21" t="n">
        <v>0.1</v>
      </c>
      <c r="P11" s="26"/>
      <c r="Q11" s="26"/>
      <c r="R11" s="21" t="n">
        <v>0.0114</v>
      </c>
      <c r="S11" s="23" t="s">
        <v>32</v>
      </c>
      <c r="T11" s="27" t="n">
        <v>2017</v>
      </c>
      <c r="V11" s="23" t="s">
        <v>33</v>
      </c>
    </row>
    <row r="12" s="23" customFormat="true" ht="18" hidden="false" customHeight="false" outlineLevel="0" collapsed="false">
      <c r="A12" s="17" t="s">
        <v>34</v>
      </c>
      <c r="B12" s="18"/>
      <c r="C12" s="32" t="s">
        <v>35</v>
      </c>
      <c r="D12" s="32"/>
      <c r="E12" s="32"/>
      <c r="F12" s="32"/>
      <c r="G12" s="32"/>
      <c r="H12" s="32"/>
      <c r="I12" s="32"/>
      <c r="J12" s="32"/>
      <c r="K12" s="28"/>
      <c r="L12" s="29"/>
      <c r="M12" s="23" t="n">
        <v>9</v>
      </c>
      <c r="N12" s="22" t="s">
        <v>36</v>
      </c>
      <c r="O12" s="21" t="n">
        <v>0.1</v>
      </c>
      <c r="P12" s="26"/>
      <c r="Q12" s="26"/>
      <c r="R12" s="21" t="n">
        <v>0.0183</v>
      </c>
      <c r="S12" s="23" t="s">
        <v>37</v>
      </c>
      <c r="T12" s="27" t="n">
        <v>2018</v>
      </c>
      <c r="V12" s="23" t="s">
        <v>38</v>
      </c>
    </row>
    <row r="13" s="23" customFormat="true" ht="18" hidden="false" customHeight="false" outlineLevel="0" collapsed="false">
      <c r="A13" s="17" t="s">
        <v>39</v>
      </c>
      <c r="B13" s="18"/>
      <c r="C13" s="32" t="s">
        <v>40</v>
      </c>
      <c r="D13" s="32"/>
      <c r="E13" s="32"/>
      <c r="F13" s="32"/>
      <c r="G13" s="32"/>
      <c r="H13" s="32"/>
      <c r="I13" s="32"/>
      <c r="J13" s="32"/>
      <c r="K13" s="28"/>
      <c r="L13" s="29"/>
      <c r="M13" s="23" t="n">
        <v>10</v>
      </c>
      <c r="N13" s="22" t="s">
        <v>41</v>
      </c>
      <c r="O13" s="21" t="n">
        <v>0.1</v>
      </c>
      <c r="P13" s="26"/>
      <c r="Q13" s="26"/>
      <c r="R13" s="21" t="n">
        <v>-0.006</v>
      </c>
      <c r="S13" s="23" t="s">
        <v>42</v>
      </c>
      <c r="T13" s="27" t="n">
        <v>2019</v>
      </c>
      <c r="V13" s="23" t="s">
        <v>43</v>
      </c>
    </row>
    <row r="14" s="23" customFormat="true" ht="18" hidden="false" customHeight="false" outlineLevel="0" collapsed="false">
      <c r="A14" s="17"/>
      <c r="B14" s="18"/>
      <c r="C14" s="29"/>
      <c r="D14" s="29"/>
      <c r="E14" s="29"/>
      <c r="F14" s="29"/>
      <c r="G14" s="33"/>
      <c r="H14" s="18"/>
      <c r="I14" s="18"/>
      <c r="J14" s="18"/>
      <c r="K14" s="28"/>
      <c r="L14" s="29"/>
      <c r="M14" s="23" t="n">
        <v>11</v>
      </c>
      <c r="N14" s="22" t="s">
        <v>44</v>
      </c>
      <c r="O14" s="21" t="n">
        <v>0.1</v>
      </c>
      <c r="P14" s="26"/>
      <c r="Q14" s="26"/>
      <c r="R14" s="21" t="n">
        <v>-0.0339</v>
      </c>
      <c r="T14" s="27" t="n">
        <v>2020</v>
      </c>
      <c r="V14" s="23" t="s">
        <v>45</v>
      </c>
    </row>
    <row r="15" s="23" customFormat="true" ht="18" hidden="false" customHeight="false" outlineLevel="0" collapsed="false">
      <c r="A15" s="17" t="s">
        <v>46</v>
      </c>
      <c r="B15" s="18"/>
      <c r="C15" s="34" t="n">
        <v>1</v>
      </c>
      <c r="D15" s="29"/>
      <c r="E15" s="29"/>
      <c r="F15" s="29"/>
      <c r="G15" s="33"/>
      <c r="H15" s="18"/>
      <c r="I15" s="18"/>
      <c r="J15" s="18"/>
      <c r="K15" s="28"/>
      <c r="L15" s="29"/>
      <c r="M15" s="23" t="n">
        <v>12</v>
      </c>
      <c r="N15" s="22" t="s">
        <v>47</v>
      </c>
      <c r="O15" s="21" t="n">
        <v>0</v>
      </c>
      <c r="P15" s="26"/>
      <c r="Q15" s="26"/>
      <c r="R15" s="21" t="n">
        <v>0.0024</v>
      </c>
      <c r="V15" s="23" t="s">
        <v>48</v>
      </c>
    </row>
    <row r="16" s="23" customFormat="true" ht="18" hidden="false" customHeight="false" outlineLevel="0" collapsed="false">
      <c r="A16" s="17" t="s">
        <v>49</v>
      </c>
      <c r="C16" s="35" t="s">
        <v>50</v>
      </c>
      <c r="D16" s="36" t="s">
        <v>51</v>
      </c>
      <c r="E16" s="36"/>
      <c r="F16" s="35" t="s">
        <v>52</v>
      </c>
      <c r="H16" s="18"/>
      <c r="I16" s="18"/>
      <c r="J16" s="18"/>
      <c r="K16" s="28"/>
      <c r="L16" s="29"/>
      <c r="M16" s="23" t="n">
        <v>13</v>
      </c>
      <c r="N16" s="22" t="s">
        <v>53</v>
      </c>
      <c r="O16" s="21" t="n">
        <v>0</v>
      </c>
      <c r="P16" s="26"/>
      <c r="Q16" s="26"/>
      <c r="R16" s="21" t="n">
        <v>-0.006</v>
      </c>
    </row>
    <row r="17" s="23" customFormat="true" ht="18" hidden="false" customHeight="false" outlineLevel="0" collapsed="false">
      <c r="B17" s="18"/>
      <c r="C17" s="37" t="s">
        <v>27</v>
      </c>
      <c r="D17" s="38" t="n">
        <v>2018</v>
      </c>
      <c r="E17" s="38"/>
      <c r="F17" s="38" t="n">
        <v>3</v>
      </c>
      <c r="G17" s="33"/>
      <c r="H17" s="18"/>
      <c r="I17" s="18"/>
      <c r="J17" s="18"/>
      <c r="K17" s="28"/>
      <c r="L17" s="29"/>
      <c r="M17" s="23" t="n">
        <v>14</v>
      </c>
      <c r="N17" s="22" t="s">
        <v>54</v>
      </c>
      <c r="O17" s="21" t="n">
        <v>0</v>
      </c>
      <c r="P17" s="26"/>
      <c r="Q17" s="26"/>
      <c r="R17" s="21" t="n">
        <v>0</v>
      </c>
    </row>
    <row r="18" s="23" customFormat="true" ht="18" hidden="false" customHeight="false" outlineLevel="0" collapsed="false">
      <c r="A18" s="17" t="s">
        <v>55</v>
      </c>
      <c r="B18" s="18"/>
      <c r="C18" s="39" t="n">
        <v>2018</v>
      </c>
      <c r="D18" s="29"/>
      <c r="E18" s="29"/>
      <c r="F18" s="29"/>
      <c r="G18" s="40"/>
      <c r="H18" s="18"/>
      <c r="I18" s="18"/>
      <c r="J18" s="18"/>
      <c r="K18" s="19"/>
      <c r="L18" s="18"/>
      <c r="M18" s="23" t="n">
        <v>15</v>
      </c>
      <c r="N18" s="22" t="s">
        <v>56</v>
      </c>
      <c r="O18" s="21" t="n">
        <v>0.1</v>
      </c>
      <c r="P18" s="26"/>
      <c r="Q18" s="26"/>
      <c r="R18" s="21" t="n">
        <v>-0.0029</v>
      </c>
    </row>
    <row r="19" s="23" customFormat="true" ht="18" hidden="false" customHeight="false" outlineLevel="0" collapsed="false">
      <c r="A19" s="17" t="s">
        <v>57</v>
      </c>
      <c r="B19" s="18"/>
      <c r="C19" s="34" t="n">
        <v>5</v>
      </c>
      <c r="D19" s="29"/>
      <c r="E19" s="29"/>
      <c r="F19" s="29"/>
      <c r="G19" s="33"/>
      <c r="H19" s="18"/>
      <c r="I19" s="18"/>
      <c r="J19" s="18"/>
      <c r="K19" s="19"/>
      <c r="L19" s="18"/>
      <c r="M19" s="23" t="n">
        <v>16</v>
      </c>
      <c r="N19" s="22" t="s">
        <v>58</v>
      </c>
      <c r="O19" s="21" t="n">
        <v>0.1</v>
      </c>
      <c r="P19" s="26"/>
      <c r="Q19" s="26"/>
      <c r="R19" s="21" t="n">
        <v>-0.0339</v>
      </c>
    </row>
    <row r="20" s="23" customFormat="true" ht="18" hidden="false" customHeight="false" outlineLevel="0" collapsed="false">
      <c r="A20" s="17"/>
      <c r="B20" s="18"/>
      <c r="C20" s="29"/>
      <c r="D20" s="29"/>
      <c r="E20" s="29"/>
      <c r="F20" s="29"/>
      <c r="G20" s="33"/>
      <c r="H20" s="18"/>
      <c r="I20" s="18"/>
      <c r="J20" s="18"/>
      <c r="K20" s="19"/>
      <c r="L20" s="18"/>
      <c r="M20" s="23" t="n">
        <v>17</v>
      </c>
      <c r="N20" s="22" t="s">
        <v>59</v>
      </c>
      <c r="O20" s="21" t="n">
        <v>0</v>
      </c>
      <c r="P20" s="26"/>
      <c r="Q20" s="26"/>
      <c r="R20" s="21" t="n">
        <v>-0.15</v>
      </c>
    </row>
    <row r="21" s="23" customFormat="true" ht="18" hidden="false" customHeight="false" outlineLevel="0" collapsed="false">
      <c r="A21" s="17" t="s">
        <v>60</v>
      </c>
      <c r="B21" s="18"/>
      <c r="C21" s="39" t="s">
        <v>14</v>
      </c>
      <c r="D21" s="29"/>
      <c r="E21" s="41"/>
      <c r="F21" s="41"/>
      <c r="G21" s="41"/>
      <c r="H21" s="41"/>
      <c r="I21" s="18"/>
      <c r="J21" s="18"/>
      <c r="K21" s="19"/>
      <c r="L21" s="18"/>
      <c r="M21" s="23" t="n">
        <v>18</v>
      </c>
      <c r="N21" s="22" t="s">
        <v>61</v>
      </c>
      <c r="O21" s="21" t="n">
        <v>0</v>
      </c>
      <c r="P21" s="26"/>
      <c r="Q21" s="26"/>
      <c r="R21" s="21" t="n">
        <v>0</v>
      </c>
    </row>
    <row r="22" s="23" customFormat="true" ht="18" hidden="false" customHeight="false" outlineLevel="0" collapsed="false">
      <c r="A22" s="42"/>
      <c r="B22" s="18"/>
      <c r="C22" s="29"/>
      <c r="D22" s="29"/>
      <c r="E22" s="29"/>
      <c r="F22" s="29"/>
      <c r="G22" s="33"/>
      <c r="H22" s="18"/>
      <c r="I22" s="18"/>
      <c r="J22" s="18"/>
      <c r="K22" s="19"/>
      <c r="L22" s="18"/>
      <c r="M22" s="23" t="n">
        <v>19</v>
      </c>
      <c r="N22" s="22" t="s">
        <v>62</v>
      </c>
      <c r="O22" s="21" t="n">
        <v>0</v>
      </c>
      <c r="P22" s="26"/>
      <c r="Q22" s="26"/>
      <c r="R22" s="21" t="n">
        <v>-0.0043</v>
      </c>
    </row>
    <row r="23" s="23" customFormat="true" ht="18" hidden="false" customHeight="false" outlineLevel="0" collapsed="false">
      <c r="A23" s="17"/>
      <c r="B23" s="18"/>
      <c r="C23" s="18"/>
      <c r="D23" s="18"/>
      <c r="E23" s="18"/>
      <c r="F23" s="18"/>
      <c r="G23" s="18"/>
      <c r="H23" s="18"/>
      <c r="I23" s="18"/>
      <c r="J23" s="18"/>
      <c r="K23" s="19"/>
      <c r="L23" s="18"/>
      <c r="M23" s="23" t="n">
        <v>20</v>
      </c>
      <c r="N23" s="22" t="s">
        <v>63</v>
      </c>
      <c r="O23" s="21" t="n">
        <v>0.1</v>
      </c>
      <c r="P23" s="26"/>
      <c r="Q23" s="26"/>
      <c r="R23" s="21" t="n">
        <v>-0.006</v>
      </c>
    </row>
    <row r="24" s="23" customFormat="true" ht="18" hidden="false" customHeight="false" outlineLevel="0" collapsed="false">
      <c r="A24" s="43"/>
      <c r="B24" s="18"/>
      <c r="C24" s="18"/>
      <c r="D24" s="18"/>
      <c r="E24" s="18"/>
      <c r="F24" s="18"/>
      <c r="G24" s="18"/>
      <c r="H24" s="18"/>
      <c r="I24" s="18"/>
      <c r="J24" s="18"/>
      <c r="K24" s="19"/>
      <c r="L24" s="18"/>
      <c r="M24" s="23" t="n">
        <v>21</v>
      </c>
      <c r="N24" s="22" t="s">
        <v>64</v>
      </c>
      <c r="O24" s="21" t="n">
        <v>0.1</v>
      </c>
      <c r="P24" s="26"/>
      <c r="Q24" s="26"/>
      <c r="R24" s="21" t="n">
        <v>-0.006</v>
      </c>
    </row>
    <row r="25" s="23" customFormat="true" ht="15.75" hidden="false" customHeight="true" outlineLevel="0" collapsed="false">
      <c r="A25" s="44"/>
      <c r="B25" s="2"/>
      <c r="C25" s="2"/>
      <c r="D25" s="2"/>
      <c r="E25" s="2"/>
      <c r="F25" s="2"/>
      <c r="G25" s="2"/>
      <c r="H25" s="18"/>
      <c r="I25" s="18"/>
      <c r="J25" s="45"/>
      <c r="K25" s="19"/>
      <c r="L25" s="18"/>
      <c r="M25" s="23" t="n">
        <v>22</v>
      </c>
      <c r="N25" s="22" t="s">
        <v>65</v>
      </c>
      <c r="O25" s="21" t="n">
        <v>0</v>
      </c>
      <c r="P25" s="26"/>
      <c r="Q25" s="26"/>
      <c r="R25" s="21" t="n">
        <v>-0.0109</v>
      </c>
    </row>
    <row r="26" s="23" customFormat="true" ht="15.75" hidden="false" customHeight="true" outlineLevel="0" collapsed="false">
      <c r="A26" s="44"/>
      <c r="B26" s="2"/>
      <c r="C26" s="2"/>
      <c r="D26" s="2"/>
      <c r="E26" s="2"/>
      <c r="F26" s="2"/>
      <c r="G26" s="2"/>
      <c r="H26" s="18"/>
      <c r="I26" s="18"/>
      <c r="J26" s="18"/>
      <c r="K26" s="19"/>
      <c r="L26" s="18"/>
      <c r="M26" s="23" t="n">
        <v>23</v>
      </c>
      <c r="N26" s="22" t="s">
        <v>66</v>
      </c>
      <c r="O26" s="21" t="n">
        <v>0.1</v>
      </c>
      <c r="P26" s="26"/>
      <c r="Q26" s="26"/>
      <c r="R26" s="21" t="n">
        <v>0</v>
      </c>
    </row>
    <row r="27" s="23" customFormat="true" ht="15.75" hidden="false" customHeight="true" outlineLevel="0" collapsed="false">
      <c r="A27" s="44"/>
      <c r="B27" s="2"/>
      <c r="C27" s="2"/>
      <c r="D27" s="2"/>
      <c r="E27" s="2"/>
      <c r="F27" s="2"/>
      <c r="G27" s="2"/>
      <c r="H27" s="18"/>
      <c r="I27" s="18"/>
      <c r="J27" s="18"/>
      <c r="K27" s="19"/>
      <c r="L27" s="18"/>
      <c r="M27" s="23" t="n">
        <v>24</v>
      </c>
      <c r="N27" s="22" t="s">
        <v>67</v>
      </c>
      <c r="O27" s="21" t="n">
        <v>0</v>
      </c>
      <c r="P27" s="26"/>
      <c r="Q27" s="26"/>
      <c r="R27" s="21" t="n">
        <v>-0.006</v>
      </c>
    </row>
    <row r="28" s="23" customFormat="true" ht="18" hidden="false" customHeight="false" outlineLevel="0" collapsed="false">
      <c r="A28" s="1"/>
      <c r="B28" s="2"/>
      <c r="C28" s="2"/>
      <c r="D28" s="2"/>
      <c r="E28" s="2"/>
      <c r="F28" s="2"/>
      <c r="G28" s="2"/>
      <c r="H28" s="18"/>
      <c r="I28" s="18"/>
      <c r="J28" s="18"/>
      <c r="K28" s="19"/>
      <c r="L28" s="18"/>
      <c r="M28" s="23" t="n">
        <v>25</v>
      </c>
      <c r="N28" s="22" t="s">
        <v>68</v>
      </c>
      <c r="O28" s="21" t="n">
        <v>0</v>
      </c>
      <c r="P28" s="26"/>
      <c r="Q28" s="26"/>
      <c r="R28" s="21" t="n">
        <v>-0.0339</v>
      </c>
    </row>
    <row r="29" s="23" customFormat="true" ht="18" hidden="false" customHeight="false" outlineLevel="0" collapsed="false">
      <c r="A29" s="1"/>
      <c r="B29" s="2"/>
      <c r="C29" s="2"/>
      <c r="D29" s="2"/>
      <c r="E29" s="2"/>
      <c r="F29" s="2"/>
      <c r="G29" s="2"/>
      <c r="H29" s="18"/>
      <c r="I29" s="18"/>
      <c r="J29" s="18"/>
      <c r="K29" s="19"/>
      <c r="L29" s="18"/>
      <c r="M29" s="23" t="n">
        <v>26</v>
      </c>
      <c r="N29" s="22" t="s">
        <v>69</v>
      </c>
      <c r="O29" s="21" t="n">
        <v>0.1</v>
      </c>
      <c r="P29" s="26"/>
      <c r="Q29" s="26"/>
      <c r="R29" s="21" t="n">
        <v>0.0183</v>
      </c>
    </row>
    <row r="30" s="23" customFormat="true" ht="18" hidden="false" customHeight="false" outlineLevel="0" collapsed="false">
      <c r="A30" s="1"/>
      <c r="B30" s="2"/>
      <c r="C30" s="2"/>
      <c r="D30" s="2"/>
      <c r="E30" s="2"/>
      <c r="F30" s="2"/>
      <c r="G30" s="2"/>
      <c r="H30" s="18"/>
      <c r="I30" s="18"/>
      <c r="J30" s="18"/>
      <c r="K30" s="19"/>
      <c r="L30" s="18"/>
      <c r="M30" s="23" t="n">
        <v>27</v>
      </c>
      <c r="N30" s="22" t="s">
        <v>70</v>
      </c>
      <c r="O30" s="21" t="n">
        <v>0</v>
      </c>
      <c r="R30" s="21" t="n">
        <v>0</v>
      </c>
    </row>
    <row r="31" s="23" customFormat="true" ht="18" hidden="false" customHeight="false" outlineLevel="0" collapsed="false">
      <c r="A31" s="1"/>
      <c r="B31" s="2"/>
      <c r="C31" s="2"/>
      <c r="D31" s="2"/>
      <c r="E31" s="2"/>
      <c r="F31" s="2"/>
      <c r="G31" s="2"/>
      <c r="H31" s="18"/>
      <c r="I31" s="18"/>
      <c r="J31" s="18"/>
      <c r="K31" s="19"/>
      <c r="L31" s="18"/>
      <c r="M31" s="23" t="n">
        <v>28</v>
      </c>
      <c r="N31" s="22" t="s">
        <v>71</v>
      </c>
      <c r="O31" s="21" t="n">
        <v>0.1</v>
      </c>
      <c r="P31" s="26"/>
      <c r="Q31" s="26"/>
      <c r="R31" s="21" t="n">
        <v>0.0035</v>
      </c>
    </row>
    <row r="32" s="23" customFormat="true" ht="15.75" hidden="false" customHeight="true" outlineLevel="0" collapsed="false">
      <c r="A32" s="1"/>
      <c r="B32" s="2"/>
      <c r="C32" s="2"/>
      <c r="D32" s="2"/>
      <c r="E32" s="2"/>
      <c r="F32" s="2"/>
      <c r="G32" s="2"/>
      <c r="H32" s="18"/>
      <c r="I32" s="18"/>
      <c r="J32" s="18"/>
      <c r="K32" s="19"/>
      <c r="L32" s="18"/>
      <c r="M32" s="23" t="n">
        <v>29</v>
      </c>
      <c r="N32" s="22" t="s">
        <v>72</v>
      </c>
      <c r="O32" s="21" t="n">
        <v>0</v>
      </c>
      <c r="P32" s="26"/>
      <c r="Q32" s="26"/>
      <c r="R32" s="21" t="n">
        <v>-0.0041</v>
      </c>
    </row>
    <row r="33" s="23" customFormat="true" ht="18" hidden="false" customHeight="false" outlineLevel="0" collapsed="false">
      <c r="A33" s="17"/>
      <c r="B33" s="18"/>
      <c r="C33" s="18"/>
      <c r="D33" s="18"/>
      <c r="E33" s="18"/>
      <c r="F33" s="18"/>
      <c r="G33" s="18"/>
      <c r="H33" s="18"/>
      <c r="I33" s="18"/>
      <c r="J33" s="18"/>
      <c r="K33" s="19"/>
      <c r="L33" s="18"/>
      <c r="M33" s="23" t="n">
        <v>30</v>
      </c>
      <c r="N33" s="22" t="s">
        <v>73</v>
      </c>
      <c r="O33" s="21" t="n">
        <v>0.1</v>
      </c>
      <c r="P33" s="26"/>
      <c r="Q33" s="26"/>
      <c r="R33" s="21" t="n">
        <v>-0.006</v>
      </c>
    </row>
    <row r="34" s="23" customFormat="true" ht="18" hidden="false" customHeight="false" outlineLevel="0" collapsed="false">
      <c r="A34" s="17"/>
      <c r="B34" s="18"/>
      <c r="C34" s="18"/>
      <c r="D34" s="18"/>
      <c r="E34" s="18"/>
      <c r="F34" s="18"/>
      <c r="G34" s="18"/>
      <c r="H34" s="18"/>
      <c r="I34" s="18"/>
      <c r="J34" s="18"/>
      <c r="K34" s="19"/>
      <c r="L34" s="18"/>
      <c r="M34" s="23" t="n">
        <v>31</v>
      </c>
      <c r="N34" s="22" t="s">
        <v>74</v>
      </c>
      <c r="O34" s="21" t="n">
        <v>0.1</v>
      </c>
      <c r="P34" s="26"/>
      <c r="Q34" s="26"/>
      <c r="R34" s="21" t="n">
        <v>0</v>
      </c>
    </row>
    <row r="35" s="23" customFormat="true" ht="18" hidden="false" customHeight="false" outlineLevel="0" collapsed="false">
      <c r="A35" s="17"/>
      <c r="B35" s="18"/>
      <c r="C35" s="18"/>
      <c r="D35" s="18"/>
      <c r="E35" s="18"/>
      <c r="F35" s="18"/>
      <c r="G35" s="18"/>
      <c r="H35" s="18"/>
      <c r="I35" s="18"/>
      <c r="J35" s="18"/>
      <c r="K35" s="19"/>
      <c r="L35" s="18"/>
      <c r="M35" s="23" t="n">
        <v>32</v>
      </c>
      <c r="N35" s="22" t="s">
        <v>75</v>
      </c>
      <c r="O35" s="21" t="n">
        <v>0.1</v>
      </c>
      <c r="P35" s="26"/>
      <c r="Q35" s="26"/>
      <c r="R35" s="21" t="n">
        <v>-0.006</v>
      </c>
    </row>
    <row r="36" s="23" customFormat="true" ht="18" hidden="false" customHeight="false" outlineLevel="0" collapsed="false">
      <c r="A36" s="17"/>
      <c r="B36" s="18"/>
      <c r="C36" s="18"/>
      <c r="D36" s="18"/>
      <c r="E36" s="18"/>
      <c r="F36" s="18"/>
      <c r="G36" s="18"/>
      <c r="H36" s="18"/>
      <c r="I36" s="18"/>
      <c r="J36" s="18"/>
      <c r="K36" s="19"/>
      <c r="L36" s="18"/>
      <c r="M36" s="23" t="n">
        <v>33</v>
      </c>
      <c r="N36" s="22" t="s">
        <v>76</v>
      </c>
      <c r="O36" s="21" t="n">
        <v>0.1</v>
      </c>
      <c r="P36" s="26"/>
      <c r="Q36" s="26"/>
      <c r="R36" s="21" t="n">
        <v>0.0117</v>
      </c>
    </row>
    <row r="37" s="23" customFormat="true" ht="18" hidden="false" customHeight="false" outlineLevel="0" collapsed="false">
      <c r="A37" s="17"/>
      <c r="B37" s="18"/>
      <c r="C37" s="18"/>
      <c r="D37" s="18"/>
      <c r="E37" s="18"/>
      <c r="F37" s="18"/>
      <c r="G37" s="18"/>
      <c r="H37" s="18"/>
      <c r="I37" s="18"/>
      <c r="J37" s="18"/>
      <c r="K37" s="19"/>
      <c r="L37" s="18"/>
      <c r="M37" s="23" t="n">
        <v>34</v>
      </c>
      <c r="N37" s="4" t="s">
        <v>77</v>
      </c>
      <c r="O37" s="21" t="n">
        <v>0.1</v>
      </c>
      <c r="P37" s="26"/>
      <c r="Q37" s="26"/>
      <c r="R37" s="21" t="n">
        <v>-0.006</v>
      </c>
    </row>
    <row r="38" s="23" customFormat="true" ht="18" hidden="false" customHeight="false" outlineLevel="0" collapsed="false">
      <c r="A38" s="17"/>
      <c r="B38" s="18"/>
      <c r="C38" s="18"/>
      <c r="D38" s="18"/>
      <c r="E38" s="18"/>
      <c r="F38" s="18"/>
      <c r="G38" s="18"/>
      <c r="H38" s="18"/>
      <c r="I38" s="18"/>
      <c r="J38" s="18"/>
      <c r="K38" s="19"/>
      <c r="L38" s="18"/>
      <c r="M38" s="23" t="n">
        <v>35</v>
      </c>
      <c r="N38" s="22" t="s">
        <v>78</v>
      </c>
      <c r="O38" s="21" t="n">
        <v>0</v>
      </c>
      <c r="R38" s="21" t="n">
        <v>0</v>
      </c>
    </row>
    <row r="39" s="23" customFormat="true" ht="18" hidden="false" customHeight="false" outlineLevel="0" collapsed="false">
      <c r="A39" s="17"/>
      <c r="B39" s="18"/>
      <c r="C39" s="18"/>
      <c r="D39" s="18"/>
      <c r="E39" s="18"/>
      <c r="F39" s="18"/>
      <c r="G39" s="18"/>
      <c r="H39" s="18"/>
      <c r="I39" s="18"/>
      <c r="J39" s="18"/>
      <c r="K39" s="19"/>
      <c r="L39" s="18"/>
      <c r="M39" s="23" t="n">
        <v>36</v>
      </c>
      <c r="N39" s="22" t="s">
        <v>79</v>
      </c>
      <c r="O39" s="21" t="n">
        <v>0</v>
      </c>
      <c r="P39" s="26"/>
      <c r="Q39" s="26"/>
      <c r="R39" s="21" t="n">
        <v>-0.0041</v>
      </c>
    </row>
    <row r="40" s="23" customFormat="true" ht="18" hidden="false" customHeight="false" outlineLevel="0" collapsed="false">
      <c r="A40" s="17"/>
      <c r="B40" s="18"/>
      <c r="C40" s="18"/>
      <c r="D40" s="18"/>
      <c r="E40" s="18"/>
      <c r="F40" s="18"/>
      <c r="G40" s="18"/>
      <c r="H40" s="18"/>
      <c r="I40" s="18"/>
      <c r="J40" s="18"/>
      <c r="K40" s="19"/>
      <c r="L40" s="18"/>
      <c r="M40" s="23" t="n">
        <v>37</v>
      </c>
      <c r="N40" s="22" t="s">
        <v>80</v>
      </c>
      <c r="O40" s="21" t="n">
        <v>0.1</v>
      </c>
      <c r="P40" s="26"/>
      <c r="Q40" s="26"/>
      <c r="R40" s="21" t="n">
        <v>0.0183</v>
      </c>
    </row>
    <row r="41" s="23" customFormat="true" ht="18" hidden="false" customHeight="false" outlineLevel="0" collapsed="false">
      <c r="A41" s="17"/>
      <c r="B41" s="18"/>
      <c r="C41" s="18"/>
      <c r="D41" s="18"/>
      <c r="E41" s="18"/>
      <c r="F41" s="18"/>
      <c r="G41" s="18"/>
      <c r="H41" s="18"/>
      <c r="I41" s="18"/>
      <c r="J41" s="18"/>
      <c r="K41" s="19"/>
      <c r="L41" s="18"/>
      <c r="M41" s="23" t="n">
        <v>38</v>
      </c>
      <c r="N41" s="22" t="s">
        <v>81</v>
      </c>
      <c r="O41" s="21" t="n">
        <v>0</v>
      </c>
      <c r="P41" s="26"/>
      <c r="Q41" s="26"/>
      <c r="R41" s="21" t="n">
        <v>-0.0032</v>
      </c>
    </row>
    <row r="42" s="23" customFormat="true" ht="15" hidden="false" customHeight="true" outlineLevel="0" collapsed="false">
      <c r="A42" s="17"/>
      <c r="B42" s="18"/>
      <c r="C42" s="18"/>
      <c r="D42" s="18"/>
      <c r="E42" s="18"/>
      <c r="F42" s="18"/>
      <c r="G42" s="18"/>
      <c r="H42" s="18"/>
      <c r="I42" s="18"/>
      <c r="J42" s="18"/>
      <c r="K42" s="19"/>
      <c r="L42" s="18"/>
      <c r="M42" s="23" t="n">
        <v>39</v>
      </c>
      <c r="N42" s="22" t="s">
        <v>82</v>
      </c>
      <c r="O42" s="21" t="n">
        <v>0.1</v>
      </c>
      <c r="P42" s="26"/>
      <c r="Q42" s="26"/>
      <c r="R42" s="21" t="n">
        <v>0</v>
      </c>
    </row>
    <row r="43" s="23" customFormat="true" ht="15" hidden="false" customHeight="true" outlineLevel="0" collapsed="false">
      <c r="A43" s="17"/>
      <c r="B43" s="18"/>
      <c r="C43" s="18"/>
      <c r="D43" s="18"/>
      <c r="E43" s="18"/>
      <c r="F43" s="18"/>
      <c r="G43" s="18"/>
      <c r="H43" s="18"/>
      <c r="I43" s="18"/>
      <c r="J43" s="18"/>
      <c r="K43" s="19"/>
      <c r="L43" s="18"/>
      <c r="M43" s="23" t="n">
        <v>40</v>
      </c>
      <c r="N43" s="22" t="s">
        <v>83</v>
      </c>
      <c r="O43" s="21" t="n">
        <v>0.1</v>
      </c>
      <c r="P43" s="26"/>
      <c r="Q43" s="26"/>
      <c r="R43" s="21" t="n">
        <v>0</v>
      </c>
    </row>
    <row r="44" customFormat="false" ht="15" hidden="false" customHeight="true" outlineLevel="0" collapsed="false">
      <c r="M44" s="23" t="n">
        <v>41</v>
      </c>
      <c r="N44" s="4" t="s">
        <v>29</v>
      </c>
      <c r="O44" s="46" t="n">
        <v>0.1</v>
      </c>
      <c r="P44" s="47"/>
      <c r="Q44" s="47"/>
      <c r="R44" s="46" t="n">
        <v>-0.15</v>
      </c>
    </row>
    <row r="45" customFormat="false" ht="15" hidden="false" customHeight="true" outlineLevel="0" collapsed="false">
      <c r="Q45" s="48"/>
    </row>
    <row r="46" customFormat="false" ht="15" hidden="false" customHeight="true" outlineLevel="0" collapsed="false">
      <c r="Q46" s="48"/>
    </row>
    <row r="47" customFormat="false" ht="15" hidden="false" customHeight="true" outlineLevel="0" collapsed="false">
      <c r="Q47" s="48"/>
    </row>
    <row r="48" customFormat="false" ht="15" hidden="false" customHeight="true" outlineLevel="0" collapsed="false">
      <c r="Q48" s="48"/>
    </row>
    <row r="49" customFormat="false" ht="15" hidden="false" customHeight="true" outlineLevel="0" collapsed="false">
      <c r="Q49" s="48"/>
    </row>
    <row r="50" customFormat="false" ht="15" hidden="false" customHeight="true" outlineLevel="0" collapsed="false">
      <c r="Q50" s="48"/>
    </row>
    <row r="51" customFormat="false" ht="15.75" hidden="false" customHeight="true" outlineLevel="0" collapsed="false">
      <c r="Q51" s="48"/>
    </row>
    <row r="52" customFormat="false" ht="15" hidden="false" customHeight="false" outlineLevel="0" collapsed="false">
      <c r="A52" s="49"/>
      <c r="B52" s="50"/>
      <c r="C52" s="50"/>
      <c r="D52" s="50"/>
      <c r="E52" s="50"/>
      <c r="F52" s="50"/>
      <c r="G52" s="50"/>
      <c r="H52" s="50"/>
      <c r="I52" s="50"/>
      <c r="J52" s="50"/>
      <c r="K52" s="51"/>
      <c r="Q52" s="48"/>
    </row>
    <row r="1048576" customFormat="false" ht="15" hidden="true" customHeight="false" outlineLevel="0" collapsed="false"/>
  </sheetData>
  <mergeCells count="5">
    <mergeCell ref="F11:J11"/>
    <mergeCell ref="C12:J12"/>
    <mergeCell ref="C13:J13"/>
    <mergeCell ref="D16:E16"/>
    <mergeCell ref="D17:E17"/>
  </mergeCells>
  <conditionalFormatting sqref="F11:J11">
    <cfRule type="expression" priority="2" aboveAverage="0" equalAverage="0" bottom="0" percent="0" rank="0" text="" dxfId="0">
      <formula>AND(($C11=N44),($F11=0))</formula>
    </cfRule>
  </conditionalFormatting>
  <conditionalFormatting sqref="E11">
    <cfRule type="expression" priority="3" aboveAverage="0" equalAverage="0" bottom="0" percent="0" rank="0" text="" dxfId="1">
      <formula>"Other Country"</formula>
    </cfRule>
  </conditionalFormatting>
  <dataValidations count="6">
    <dataValidation allowBlank="true" operator="between" showDropDown="false" showErrorMessage="true" showInputMessage="true" sqref="C17" type="list">
      <formula1>$V$3:$V$15</formula1>
      <formula2>0</formula2>
    </dataValidation>
    <dataValidation allowBlank="true" operator="between" showDropDown="false" showErrorMessage="true" showInputMessage="true" sqref="D17:E17 C18" type="list">
      <formula1>$T$3:$T$14</formula1>
      <formula2>0</formula2>
    </dataValidation>
    <dataValidation allowBlank="true" operator="between" showDropDown="false" showErrorMessage="true" showInputMessage="true" sqref="C19" type="list">
      <formula1>$U$5:$U$8</formula1>
      <formula2>0</formula2>
    </dataValidation>
    <dataValidation allowBlank="true" operator="between" showDropDown="false" showErrorMessage="true" showInputMessage="true" sqref="C11" type="list">
      <formula1>$N$3:$N$44</formula1>
      <formula2>0</formula2>
    </dataValidation>
    <dataValidation allowBlank="true" operator="between" showDropDown="false" showErrorMessage="true" showInputMessage="true" sqref="C15" type="list">
      <formula1>$M$3:$M$13</formula1>
      <formula2>0</formula2>
    </dataValidation>
    <dataValidation allowBlank="true" operator="between" showDropDown="false" showErrorMessage="true" showInputMessage="true" sqref="F17" type="list">
      <formula1>$M$3:$M$34</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xml><?xml version="1.0" encoding="utf-8"?>
<worksheet xmlns="http://schemas.openxmlformats.org/spreadsheetml/2006/main" xmlns:r="http://schemas.openxmlformats.org/officeDocument/2006/relationships">
  <sheetPr filterMode="false">
    <tabColor rgb="FFFF00FF"/>
    <pageSetUpPr fitToPage="true"/>
  </sheetPr>
  <dimension ref="A1:M73"/>
  <sheetViews>
    <sheetView showFormulas="false" showGridLines="false" showRowColHeaders="true" showZeros="true" rightToLeft="false" tabSelected="false" showOutlineSymbols="true" defaultGridColor="true" view="normal" topLeftCell="A31" colorId="64" zoomScale="100" zoomScaleNormal="100" zoomScalePageLayoutView="100" workbookViewId="0">
      <selection pane="topLeft" activeCell="K22" activeCellId="0" sqref="K22"/>
    </sheetView>
  </sheetViews>
  <sheetFormatPr defaultRowHeight="15" zeroHeight="true" outlineLevelRow="0" outlineLevelCol="0"/>
  <cols>
    <col collapsed="false" customWidth="true" hidden="false" outlineLevel="0" max="1" min="1" style="52" width="18"/>
    <col collapsed="false" customWidth="true" hidden="false" outlineLevel="0" max="2" min="2" style="53" width="11.99"/>
    <col collapsed="false" customWidth="true" hidden="false" outlineLevel="0" max="3" min="3" style="53" width="9.14"/>
    <col collapsed="false" customWidth="true" hidden="false" outlineLevel="0" max="4" min="4" style="53" width="10.71"/>
    <col collapsed="false" customWidth="true" hidden="false" outlineLevel="0" max="5" min="5" style="53" width="14.01"/>
    <col collapsed="false" customWidth="true" hidden="false" outlineLevel="0" max="6" min="6" style="53" width="34.14"/>
    <col collapsed="false" customWidth="true" hidden="false" outlineLevel="0" max="7" min="7" style="53" width="9.14"/>
    <col collapsed="false" customWidth="true" hidden="false" outlineLevel="0" max="8" min="8" style="53" width="3.57"/>
    <col collapsed="false" customWidth="true" hidden="false" outlineLevel="0" max="9" min="9" style="53" width="2.85"/>
    <col collapsed="false" customWidth="true" hidden="false" outlineLevel="0" max="10" min="10" style="53" width="13.86"/>
    <col collapsed="false" customWidth="true" hidden="false" outlineLevel="0" max="11" min="11" style="54" width="13.86"/>
    <col collapsed="false" customWidth="true" hidden="false" outlineLevel="0" max="12" min="12" style="4" width="1.58"/>
    <col collapsed="false" customWidth="true" hidden="true" outlineLevel="0" max="1025" min="13" style="4" width="9.14"/>
  </cols>
  <sheetData>
    <row r="1" s="57" customFormat="true" ht="28.5" hidden="false" customHeight="false" outlineLevel="0" collapsed="false">
      <c r="A1" s="55" t="str">
        <f aca="false">"Business Plan "&amp;'Reference sheet'!K5</f>
        <v>Business Plan </v>
      </c>
      <c r="B1" s="55"/>
      <c r="C1" s="55"/>
      <c r="D1" s="55"/>
      <c r="E1" s="55"/>
      <c r="F1" s="55"/>
      <c r="G1" s="55"/>
      <c r="H1" s="55"/>
      <c r="I1" s="55"/>
      <c r="J1" s="55"/>
      <c r="K1" s="55"/>
      <c r="L1" s="56"/>
    </row>
    <row r="2" s="57" customFormat="true" ht="28.5" hidden="false" customHeight="false" outlineLevel="0" collapsed="false">
      <c r="A2" s="58"/>
      <c r="B2" s="59"/>
      <c r="C2" s="59"/>
      <c r="D2" s="59"/>
      <c r="E2" s="59"/>
      <c r="F2" s="59"/>
      <c r="G2" s="59"/>
      <c r="H2" s="59"/>
      <c r="I2" s="59"/>
      <c r="J2" s="59"/>
      <c r="K2" s="56"/>
      <c r="L2" s="60"/>
    </row>
    <row r="3" customFormat="false" ht="15" hidden="false" customHeight="false" outlineLevel="0" collapsed="false">
      <c r="B3" s="48"/>
      <c r="C3" s="48"/>
      <c r="D3" s="48"/>
      <c r="E3" s="48"/>
      <c r="F3" s="48"/>
      <c r="G3" s="48"/>
      <c r="H3" s="48"/>
      <c r="I3" s="48"/>
      <c r="J3" s="48"/>
      <c r="L3" s="54"/>
    </row>
    <row r="4" s="57" customFormat="true" ht="28.5" hidden="false" customHeight="false" outlineLevel="0" collapsed="false">
      <c r="A4" s="61" t="str">
        <f aca="false">IF('Reference sheet'!C12="","Dealer name",'Reference sheet'!C12)</f>
        <v>TEST</v>
      </c>
      <c r="B4" s="61"/>
      <c r="C4" s="61"/>
      <c r="D4" s="61"/>
      <c r="E4" s="61"/>
      <c r="F4" s="61"/>
      <c r="G4" s="61"/>
      <c r="H4" s="61"/>
      <c r="I4" s="61"/>
      <c r="J4" s="61"/>
      <c r="K4" s="61"/>
      <c r="L4" s="61"/>
    </row>
    <row r="5" customFormat="false" ht="15" hidden="false" customHeight="false" outlineLevel="0" collapsed="false">
      <c r="B5" s="48"/>
      <c r="C5" s="48"/>
      <c r="D5" s="48"/>
      <c r="E5" s="48"/>
      <c r="F5" s="48"/>
      <c r="G5" s="48"/>
      <c r="H5" s="48"/>
      <c r="I5" s="48"/>
      <c r="J5" s="48"/>
      <c r="L5" s="54"/>
    </row>
    <row r="6" customFormat="false" ht="21" hidden="false" customHeight="false" outlineLevel="0" collapsed="false">
      <c r="A6" s="62" t="str">
        <f aca="false">IF('Reference sheet'!C13="","Dealer residence",'Reference sheet'!C13)</f>
        <v>Tunis</v>
      </c>
      <c r="B6" s="62"/>
      <c r="C6" s="62"/>
      <c r="D6" s="62"/>
      <c r="E6" s="62"/>
      <c r="F6" s="62"/>
      <c r="G6" s="62"/>
      <c r="H6" s="62"/>
      <c r="I6" s="62"/>
      <c r="J6" s="62"/>
      <c r="K6" s="62"/>
      <c r="L6" s="62"/>
    </row>
    <row r="7" customFormat="false" ht="15" hidden="false" customHeight="false" outlineLevel="0" collapsed="false">
      <c r="B7" s="48"/>
      <c r="C7" s="48"/>
      <c r="D7" s="48"/>
      <c r="E7" s="48"/>
      <c r="F7" s="48"/>
      <c r="G7" s="48"/>
      <c r="H7" s="48"/>
      <c r="I7" s="48"/>
      <c r="J7" s="48"/>
      <c r="L7" s="54"/>
    </row>
    <row r="8" customFormat="false" ht="15" hidden="false" customHeight="false" outlineLevel="0" collapsed="false">
      <c r="B8" s="48"/>
      <c r="C8" s="48"/>
      <c r="D8" s="48"/>
      <c r="E8" s="48"/>
      <c r="F8" s="48"/>
      <c r="G8" s="48"/>
      <c r="H8" s="48"/>
      <c r="I8" s="48"/>
      <c r="J8" s="48"/>
      <c r="L8" s="54"/>
    </row>
    <row r="9" customFormat="false" ht="21" hidden="false" customHeight="false" outlineLevel="0" collapsed="false">
      <c r="A9" s="63" t="str">
        <f aca="false">"Version "&amp;'Reference sheet'!C15</f>
        <v>Version 1</v>
      </c>
      <c r="B9" s="63"/>
      <c r="C9" s="63"/>
      <c r="D9" s="63"/>
      <c r="E9" s="63"/>
      <c r="F9" s="63"/>
      <c r="G9" s="63"/>
      <c r="H9" s="63"/>
      <c r="I9" s="63"/>
      <c r="J9" s="63"/>
      <c r="K9" s="63"/>
      <c r="L9" s="63"/>
    </row>
    <row r="10" customFormat="false" ht="15" hidden="false" customHeight="false" outlineLevel="0" collapsed="false">
      <c r="B10" s="48"/>
      <c r="C10" s="48"/>
      <c r="D10" s="48"/>
      <c r="E10" s="48"/>
      <c r="F10" s="48"/>
      <c r="G10" s="48"/>
      <c r="H10" s="48"/>
      <c r="I10" s="48"/>
      <c r="J10" s="48"/>
      <c r="L10" s="54"/>
    </row>
    <row r="11" customFormat="false" ht="15" hidden="false" customHeight="false" outlineLevel="0" collapsed="false">
      <c r="B11" s="48"/>
      <c r="C11" s="48"/>
      <c r="D11" s="48"/>
      <c r="E11" s="48"/>
      <c r="F11" s="48"/>
      <c r="G11" s="48"/>
      <c r="H11" s="48"/>
      <c r="I11" s="48"/>
      <c r="J11" s="48"/>
      <c r="L11" s="54"/>
    </row>
    <row r="12" customFormat="false" ht="21" hidden="false" customHeight="false" outlineLevel="0" collapsed="false">
      <c r="B12" s="64" t="s">
        <v>84</v>
      </c>
      <c r="C12" s="65"/>
      <c r="D12" s="65"/>
      <c r="E12" s="65"/>
      <c r="F12" s="48"/>
      <c r="G12" s="65"/>
      <c r="H12" s="65"/>
      <c r="I12" s="48"/>
      <c r="J12" s="48"/>
      <c r="L12" s="54"/>
    </row>
    <row r="13" customFormat="false" ht="18" hidden="false" customHeight="false" outlineLevel="0" collapsed="false">
      <c r="B13" s="66"/>
      <c r="C13" s="67"/>
      <c r="D13" s="65"/>
      <c r="E13" s="65"/>
      <c r="F13" s="48"/>
      <c r="G13" s="65"/>
      <c r="H13" s="65"/>
      <c r="I13" s="48"/>
      <c r="J13" s="48"/>
      <c r="L13" s="54"/>
    </row>
    <row r="14" customFormat="false" ht="18" hidden="false" customHeight="false" outlineLevel="0" collapsed="false">
      <c r="B14" s="68" t="s">
        <v>85</v>
      </c>
      <c r="C14" s="69"/>
      <c r="D14" s="70"/>
      <c r="E14" s="70"/>
      <c r="F14" s="71"/>
      <c r="G14" s="70"/>
      <c r="H14" s="70"/>
      <c r="I14" s="71"/>
      <c r="J14" s="71"/>
      <c r="L14" s="54"/>
    </row>
    <row r="15" customFormat="false" ht="18" hidden="false" customHeight="false" outlineLevel="0" collapsed="false">
      <c r="B15" s="68" t="s">
        <v>86</v>
      </c>
      <c r="C15" s="72"/>
      <c r="D15" s="70"/>
      <c r="E15" s="70"/>
      <c r="F15" s="73"/>
      <c r="G15" s="70"/>
      <c r="H15" s="70"/>
      <c r="I15" s="71"/>
      <c r="J15" s="71"/>
      <c r="L15" s="54"/>
    </row>
    <row r="16" customFormat="false" ht="18" hidden="false" customHeight="false" outlineLevel="0" collapsed="false">
      <c r="B16" s="74" t="s">
        <v>87</v>
      </c>
      <c r="C16" s="74" t="s">
        <v>88</v>
      </c>
      <c r="D16" s="71"/>
      <c r="E16" s="71"/>
      <c r="F16" s="75" t="s">
        <v>89</v>
      </c>
      <c r="G16" s="70"/>
      <c r="H16" s="76"/>
      <c r="I16" s="71"/>
      <c r="J16" s="71"/>
      <c r="L16" s="54"/>
    </row>
    <row r="17" customFormat="false" ht="18" hidden="false" customHeight="false" outlineLevel="0" collapsed="false">
      <c r="B17" s="74"/>
      <c r="C17" s="74"/>
      <c r="D17" s="71"/>
      <c r="E17" s="71"/>
      <c r="F17" s="75" t="str">
        <f aca="false">'1.1 Mission &amp; Objectives'!K1</f>
        <v>1.1 Mission &amp; Objectives</v>
      </c>
      <c r="G17" s="70"/>
      <c r="H17" s="76"/>
      <c r="I17" s="71"/>
      <c r="J17" s="71"/>
      <c r="L17" s="54"/>
    </row>
    <row r="18" customFormat="false" ht="18" hidden="false" customHeight="false" outlineLevel="0" collapsed="false">
      <c r="B18" s="74"/>
      <c r="C18" s="74"/>
      <c r="D18" s="71"/>
      <c r="E18" s="71"/>
      <c r="F18" s="73"/>
      <c r="G18" s="70"/>
      <c r="H18" s="76"/>
      <c r="I18" s="71"/>
      <c r="J18" s="71"/>
      <c r="L18" s="54"/>
    </row>
    <row r="19" customFormat="false" ht="18" hidden="false" customHeight="false" outlineLevel="0" collapsed="false">
      <c r="B19" s="74" t="s">
        <v>90</v>
      </c>
      <c r="C19" s="74" t="str">
        <f aca="false">'2.0 Company Profile'!A1</f>
        <v>Company Summary</v>
      </c>
      <c r="D19" s="71"/>
      <c r="E19" s="71"/>
      <c r="F19" s="75" t="str">
        <f aca="false">'2.0 Company Profile'!K1</f>
        <v>2.0 Company Profile</v>
      </c>
      <c r="G19" s="70"/>
      <c r="H19" s="70"/>
      <c r="I19" s="71"/>
      <c r="J19" s="71"/>
      <c r="L19" s="54"/>
    </row>
    <row r="20" customFormat="false" ht="18" hidden="false" customHeight="false" outlineLevel="0" collapsed="false">
      <c r="B20" s="74"/>
      <c r="C20" s="74"/>
      <c r="D20" s="71"/>
      <c r="E20" s="71"/>
      <c r="F20" s="75" t="str">
        <f aca="false">'2.1 Company Organisation'!K1</f>
        <v>2.1 Company Organisation</v>
      </c>
      <c r="G20" s="70"/>
      <c r="H20" s="70"/>
      <c r="I20" s="71"/>
      <c r="J20" s="71"/>
      <c r="L20" s="54"/>
    </row>
    <row r="21" customFormat="false" ht="18" hidden="false" customHeight="false" outlineLevel="0" collapsed="false">
      <c r="B21" s="74"/>
      <c r="C21" s="74"/>
      <c r="D21" s="71"/>
      <c r="E21" s="71"/>
      <c r="F21" s="75" t="str">
        <f aca="false">'2.2 Location &amp; Facilities'!K1</f>
        <v>2.2 Location &amp; Facilities</v>
      </c>
      <c r="G21" s="70"/>
      <c r="H21" s="70"/>
      <c r="I21" s="71"/>
      <c r="J21" s="71"/>
      <c r="L21" s="54"/>
    </row>
    <row r="22" customFormat="false" ht="15" hidden="false" customHeight="false" outlineLevel="0" collapsed="false">
      <c r="B22" s="71"/>
      <c r="C22" s="71"/>
      <c r="D22" s="71"/>
      <c r="E22" s="71"/>
      <c r="F22" s="73"/>
      <c r="G22" s="71"/>
      <c r="H22" s="71"/>
      <c r="I22" s="71"/>
      <c r="J22" s="71"/>
      <c r="L22" s="54"/>
    </row>
    <row r="23" customFormat="false" ht="18" hidden="false" customHeight="false" outlineLevel="0" collapsed="false">
      <c r="B23" s="74" t="s">
        <v>91</v>
      </c>
      <c r="C23" s="74" t="str">
        <f aca="false">'3.0 Products &amp; Services'!A1</f>
        <v>Products &amp; Services</v>
      </c>
      <c r="D23" s="71"/>
      <c r="E23" s="71"/>
      <c r="F23" s="75" t="str">
        <f aca="false">'3.0 Products &amp; Services'!K1</f>
        <v>3.0 Products &amp; Services</v>
      </c>
      <c r="G23" s="70"/>
      <c r="H23" s="70"/>
      <c r="I23" s="71"/>
      <c r="J23" s="71"/>
      <c r="L23" s="54"/>
    </row>
    <row r="24" customFormat="false" ht="18" hidden="false" customHeight="false" outlineLevel="0" collapsed="false">
      <c r="B24" s="74"/>
      <c r="C24" s="74"/>
      <c r="D24" s="71"/>
      <c r="E24" s="71"/>
      <c r="F24" s="75" t="str">
        <f aca="false">'3.1 Financing &amp; Insurance'!K1</f>
        <v>3.1 Financing &amp; Insurance</v>
      </c>
      <c r="G24" s="70"/>
      <c r="H24" s="70"/>
      <c r="I24" s="71"/>
      <c r="J24" s="71"/>
      <c r="L24" s="54"/>
    </row>
    <row r="25" customFormat="false" ht="18" hidden="false" customHeight="false" outlineLevel="0" collapsed="false">
      <c r="B25" s="74"/>
      <c r="C25" s="74"/>
      <c r="D25" s="71"/>
      <c r="E25" s="71"/>
      <c r="F25" s="75" t="str">
        <f aca="false">'3.2 Funding'!K1</f>
        <v>3.2 Funding</v>
      </c>
      <c r="G25" s="70"/>
      <c r="H25" s="70"/>
      <c r="I25" s="71"/>
      <c r="J25" s="71"/>
      <c r="L25" s="54"/>
    </row>
    <row r="26" customFormat="false" ht="15" hidden="false" customHeight="false" outlineLevel="0" collapsed="false">
      <c r="B26" s="74"/>
      <c r="C26" s="74"/>
      <c r="D26" s="71"/>
      <c r="E26" s="71"/>
      <c r="F26" s="73"/>
      <c r="G26" s="71"/>
      <c r="H26" s="71"/>
      <c r="I26" s="71"/>
      <c r="J26" s="71"/>
      <c r="L26" s="54"/>
    </row>
    <row r="27" customFormat="false" ht="18" hidden="false" customHeight="false" outlineLevel="0" collapsed="false">
      <c r="B27" s="74" t="s">
        <v>92</v>
      </c>
      <c r="C27" s="74" t="str">
        <f aca="false">'4.0 Organisation &amp; HR'!A1</f>
        <v>Management Summary</v>
      </c>
      <c r="D27" s="71"/>
      <c r="E27" s="71"/>
      <c r="F27" s="75" t="str">
        <f aca="false">'4.0 Organisation &amp; HR'!K1</f>
        <v>4.0 Organisation &amp; HR</v>
      </c>
      <c r="G27" s="70"/>
      <c r="H27" s="70"/>
      <c r="I27" s="71"/>
      <c r="J27" s="71"/>
      <c r="L27" s="54"/>
    </row>
    <row r="28" customFormat="false" ht="15" hidden="false" customHeight="false" outlineLevel="0" collapsed="false">
      <c r="B28" s="74"/>
      <c r="C28" s="74"/>
      <c r="D28" s="71"/>
      <c r="E28" s="71"/>
      <c r="F28" s="75" t="str">
        <f aca="false">'4.1.1 Management team'!K1</f>
        <v>4.1.1 Management team</v>
      </c>
      <c r="G28" s="71"/>
      <c r="H28" s="71"/>
      <c r="I28" s="71"/>
      <c r="J28" s="71"/>
      <c r="L28" s="54"/>
    </row>
    <row r="29" customFormat="false" ht="15" hidden="false" customHeight="false" outlineLevel="0" collapsed="false">
      <c r="B29" s="74"/>
      <c r="C29" s="74"/>
      <c r="D29" s="71"/>
      <c r="E29" s="71"/>
      <c r="F29" s="75" t="str">
        <f aca="false">'4.1.2 Management team'!K1</f>
        <v>4.1.2 Management team (other)</v>
      </c>
      <c r="G29" s="71"/>
      <c r="H29" s="71"/>
      <c r="I29" s="71"/>
      <c r="J29" s="71"/>
      <c r="L29" s="54"/>
    </row>
    <row r="30" customFormat="false" ht="15" hidden="false" customHeight="false" outlineLevel="0" collapsed="false">
      <c r="B30" s="74"/>
      <c r="C30" s="74"/>
      <c r="D30" s="71"/>
      <c r="E30" s="71"/>
      <c r="F30" s="73"/>
      <c r="G30" s="71"/>
      <c r="H30" s="71"/>
      <c r="I30" s="71"/>
      <c r="J30" s="71"/>
      <c r="L30" s="54"/>
    </row>
    <row r="31" customFormat="false" ht="18" hidden="false" customHeight="false" outlineLevel="0" collapsed="false">
      <c r="B31" s="74" t="s">
        <v>93</v>
      </c>
      <c r="C31" s="74" t="str">
        <f aca="false">'5.0 Economy'!A1</f>
        <v>Market Analysis </v>
      </c>
      <c r="D31" s="71"/>
      <c r="E31" s="71"/>
      <c r="F31" s="77" t="str">
        <f aca="false">'5.0 Economy'!K1</f>
        <v>5.0 Economy</v>
      </c>
      <c r="G31" s="70"/>
      <c r="H31" s="71"/>
      <c r="I31" s="71"/>
      <c r="J31" s="71"/>
      <c r="L31" s="54"/>
    </row>
    <row r="32" customFormat="false" ht="18" hidden="false" customHeight="false" outlineLevel="0" collapsed="false">
      <c r="B32" s="74"/>
      <c r="C32" s="74"/>
      <c r="D32" s="71"/>
      <c r="E32" s="71"/>
      <c r="F32" s="77" t="s">
        <v>94</v>
      </c>
      <c r="G32" s="70"/>
      <c r="H32" s="71"/>
      <c r="I32" s="71"/>
      <c r="J32" s="71"/>
      <c r="L32" s="54"/>
    </row>
    <row r="33" customFormat="false" ht="18" hidden="false" customHeight="false" outlineLevel="0" collapsed="false">
      <c r="B33" s="74"/>
      <c r="C33" s="74"/>
      <c r="D33" s="71"/>
      <c r="E33" s="71"/>
      <c r="F33" s="75" t="str">
        <f aca="false">'5.1.1 NewTruck market-Country'!K1</f>
        <v>5.1.1 New Truck Market - Country</v>
      </c>
      <c r="G33" s="70"/>
      <c r="H33" s="71"/>
      <c r="I33" s="71"/>
      <c r="J33" s="71"/>
      <c r="L33" s="54"/>
    </row>
    <row r="34" customFormat="false" ht="18" hidden="false" customHeight="false" outlineLevel="0" collapsed="false">
      <c r="B34" s="71"/>
      <c r="C34" s="71"/>
      <c r="D34" s="71"/>
      <c r="E34" s="71"/>
      <c r="F34" s="77" t="str">
        <f aca="false">'5.1.2 NT market-Dealer area'!K1</f>
        <v>5.1.2 New Truck Market - Dealer Area</v>
      </c>
      <c r="G34" s="70"/>
      <c r="H34" s="71"/>
      <c r="I34" s="71"/>
      <c r="J34" s="71"/>
      <c r="K34" s="78"/>
      <c r="L34" s="54"/>
      <c r="M34" s="48"/>
    </row>
    <row r="35" customFormat="false" ht="18" hidden="false" customHeight="false" outlineLevel="0" collapsed="false">
      <c r="B35" s="74"/>
      <c r="C35" s="74"/>
      <c r="D35" s="71"/>
      <c r="E35" s="71"/>
      <c r="F35" s="75" t="str">
        <f aca="false">'5.2 UT market-Dealer area'!K1</f>
        <v>5.2 Used Truck Market - Dealer Area</v>
      </c>
      <c r="G35" s="70"/>
      <c r="H35" s="71"/>
      <c r="I35" s="71"/>
      <c r="J35" s="71"/>
      <c r="K35" s="78"/>
      <c r="L35" s="54"/>
      <c r="M35" s="48"/>
    </row>
    <row r="36" customFormat="false" ht="18" hidden="false" customHeight="false" outlineLevel="0" collapsed="false">
      <c r="B36" s="74"/>
      <c r="C36" s="74"/>
      <c r="D36" s="71"/>
      <c r="E36" s="71"/>
      <c r="F36" s="75" t="str">
        <f aca="false">'5.3 Running Parc - Dealer Area'!M1</f>
        <v>5.3 Running Parc - Dealer Area</v>
      </c>
      <c r="G36" s="70"/>
      <c r="H36" s="71"/>
      <c r="I36" s="71"/>
      <c r="J36" s="71"/>
      <c r="K36" s="78"/>
      <c r="L36" s="54"/>
      <c r="M36" s="48"/>
    </row>
    <row r="37" customFormat="false" ht="18" hidden="false" customHeight="false" outlineLevel="0" collapsed="false">
      <c r="B37" s="74"/>
      <c r="C37" s="74"/>
      <c r="D37" s="71"/>
      <c r="E37" s="71"/>
      <c r="F37" s="75" t="str">
        <f aca="false">'5.4.1 Competition in Area'!K1</f>
        <v>5.4.1 Competition in Area</v>
      </c>
      <c r="G37" s="70"/>
      <c r="H37" s="71"/>
      <c r="I37" s="71"/>
      <c r="J37" s="71"/>
      <c r="K37" s="78"/>
      <c r="L37" s="54"/>
      <c r="M37" s="48"/>
    </row>
    <row r="38" customFormat="false" ht="18" hidden="false" customHeight="false" outlineLevel="0" collapsed="false">
      <c r="B38" s="74"/>
      <c r="C38" s="74"/>
      <c r="D38" s="71"/>
      <c r="E38" s="71"/>
      <c r="F38" s="75" t="str">
        <f aca="false">'5.4.2 Comp. Analysis Table'!K1</f>
        <v>5.4.2 Competitive Analysis Table</v>
      </c>
      <c r="G38" s="70"/>
      <c r="H38" s="71"/>
      <c r="I38" s="71"/>
      <c r="J38" s="71"/>
      <c r="K38" s="78"/>
      <c r="L38" s="54"/>
      <c r="M38" s="48"/>
    </row>
    <row r="39" customFormat="false" ht="18" hidden="false" customHeight="false" outlineLevel="0" collapsed="false">
      <c r="B39" s="74"/>
      <c r="C39" s="74"/>
      <c r="D39" s="71"/>
      <c r="E39" s="71"/>
      <c r="F39" s="75" t="str">
        <f aca="false">'5.4.3 Comp.  Analysis SWOT'!K1</f>
        <v>5.4.3 Competitive Analysis SWOT</v>
      </c>
      <c r="G39" s="70"/>
      <c r="H39" s="71"/>
      <c r="I39" s="71"/>
      <c r="J39" s="71"/>
      <c r="K39" s="78"/>
      <c r="L39" s="54"/>
      <c r="M39" s="48"/>
    </row>
    <row r="40" customFormat="false" ht="18" hidden="false" customHeight="false" outlineLevel="0" collapsed="false">
      <c r="B40" s="74"/>
      <c r="C40" s="74"/>
      <c r="D40" s="71"/>
      <c r="E40" s="71"/>
      <c r="F40" s="75" t="str">
        <f aca="false">'5.5 Customers'!M1</f>
        <v>5.5 Customers</v>
      </c>
      <c r="G40" s="70"/>
      <c r="H40" s="71"/>
      <c r="I40" s="71"/>
      <c r="J40" s="71"/>
      <c r="K40" s="78"/>
      <c r="L40" s="54"/>
      <c r="M40" s="48"/>
    </row>
    <row r="41" customFormat="false" ht="18" hidden="false" customHeight="false" outlineLevel="0" collapsed="false">
      <c r="B41" s="74"/>
      <c r="C41" s="74"/>
      <c r="D41" s="71"/>
      <c r="E41" s="71"/>
      <c r="F41" s="79"/>
      <c r="G41" s="70"/>
      <c r="H41" s="71"/>
      <c r="I41" s="71"/>
      <c r="J41" s="71"/>
      <c r="K41" s="78"/>
      <c r="L41" s="54"/>
      <c r="M41" s="48"/>
    </row>
    <row r="42" customFormat="false" ht="18" hidden="false" customHeight="false" outlineLevel="0" collapsed="false">
      <c r="B42" s="74" t="s">
        <v>95</v>
      </c>
      <c r="C42" s="74" t="str">
        <f aca="false">'6.0 New Truck Sales'!A1</f>
        <v>Strategy and Implementation</v>
      </c>
      <c r="D42" s="71"/>
      <c r="E42" s="71"/>
      <c r="F42" s="75" t="str">
        <f aca="false">'6.0 New Truck Sales'!K1</f>
        <v>6.0 New Truck Sales</v>
      </c>
      <c r="G42" s="71"/>
      <c r="H42" s="71"/>
      <c r="I42" s="71"/>
      <c r="J42" s="71"/>
      <c r="K42" s="78"/>
      <c r="L42" s="54"/>
      <c r="M42" s="48"/>
    </row>
    <row r="43" customFormat="false" ht="18" hidden="false" customHeight="false" outlineLevel="0" collapsed="false">
      <c r="B43" s="74"/>
      <c r="C43" s="74"/>
      <c r="D43" s="71"/>
      <c r="E43" s="71"/>
      <c r="F43" s="75" t="str">
        <f aca="false">'6.1 Used Trucks'!K1</f>
        <v>6.1 Used Trucks</v>
      </c>
      <c r="G43" s="70"/>
      <c r="H43" s="71"/>
      <c r="I43" s="71"/>
      <c r="J43" s="71"/>
      <c r="K43" s="80"/>
      <c r="L43" s="54"/>
    </row>
    <row r="44" customFormat="false" ht="18" hidden="false" customHeight="false" outlineLevel="0" collapsed="false">
      <c r="B44" s="71"/>
      <c r="C44" s="71"/>
      <c r="D44" s="71"/>
      <c r="E44" s="71"/>
      <c r="F44" s="75" t="str">
        <f aca="false">'6.2 After Sales - Parts'!K1</f>
        <v>6.2 After Sales - Parts</v>
      </c>
      <c r="G44" s="70"/>
      <c r="H44" s="70"/>
      <c r="I44" s="71"/>
      <c r="J44" s="71"/>
      <c r="K44" s="80"/>
      <c r="L44" s="54"/>
    </row>
    <row r="45" customFormat="false" ht="15" hidden="false" customHeight="false" outlineLevel="0" collapsed="false">
      <c r="B45" s="74"/>
      <c r="C45" s="74"/>
      <c r="D45" s="71"/>
      <c r="E45" s="71"/>
      <c r="F45" s="75" t="str">
        <f aca="false">'6.3 After Sales - Service'!K1</f>
        <v>6.3 After Sales - Service</v>
      </c>
      <c r="G45" s="71"/>
      <c r="H45" s="71"/>
      <c r="I45" s="71"/>
      <c r="J45" s="71"/>
      <c r="K45" s="80"/>
      <c r="L45" s="54"/>
    </row>
    <row r="46" customFormat="false" ht="15" hidden="false" customHeight="false" outlineLevel="0" collapsed="false">
      <c r="B46" s="71"/>
      <c r="C46" s="71"/>
      <c r="D46" s="71"/>
      <c r="E46" s="71"/>
      <c r="F46" s="75" t="str">
        <f aca="false">'6.4 SWOT &amp; Action Plan'!K1</f>
        <v>6.4 SWOT Analysis &amp; Action Plan</v>
      </c>
      <c r="G46" s="71"/>
      <c r="H46" s="71"/>
      <c r="I46" s="71"/>
      <c r="J46" s="71"/>
      <c r="L46" s="54"/>
    </row>
    <row r="47" customFormat="false" ht="15" hidden="false" customHeight="false" outlineLevel="0" collapsed="false">
      <c r="B47" s="71"/>
      <c r="C47" s="71"/>
      <c r="D47" s="71"/>
      <c r="E47" s="71"/>
      <c r="F47" s="73"/>
      <c r="G47" s="71"/>
      <c r="H47" s="71"/>
      <c r="I47" s="71"/>
      <c r="J47" s="71"/>
      <c r="L47" s="54"/>
    </row>
    <row r="48" customFormat="false" ht="15" hidden="false" customHeight="false" outlineLevel="0" collapsed="false">
      <c r="B48" s="74" t="s">
        <v>96</v>
      </c>
      <c r="C48" s="74" t="str">
        <f aca="false">'7.1 Dealer area'!$A$1</f>
        <v>Financial Business Plan</v>
      </c>
      <c r="D48" s="71"/>
      <c r="E48" s="71"/>
      <c r="F48" s="75" t="str">
        <f aca="false">'7.1 Dealer area'!K1</f>
        <v>7.1 Dealer Area Analysis</v>
      </c>
      <c r="G48" s="71"/>
      <c r="H48" s="71"/>
      <c r="I48" s="71"/>
      <c r="J48" s="71"/>
      <c r="L48" s="54"/>
    </row>
    <row r="49" customFormat="false" ht="15" hidden="false" customHeight="false" outlineLevel="0" collapsed="false">
      <c r="B49" s="71"/>
      <c r="C49" s="71"/>
      <c r="D49" s="71"/>
      <c r="E49" s="71"/>
      <c r="F49" s="75" t="str">
        <f aca="false">'7.2.1 Turnover Vehicles'!K1</f>
        <v>7.2.1 Turnover Vehicles</v>
      </c>
      <c r="G49" s="71"/>
      <c r="H49" s="71"/>
      <c r="I49" s="71"/>
      <c r="J49" s="71"/>
      <c r="L49" s="54"/>
    </row>
    <row r="50" customFormat="false" ht="15" hidden="false" customHeight="false" outlineLevel="0" collapsed="false">
      <c r="B50" s="71"/>
      <c r="C50" s="71"/>
      <c r="D50" s="71"/>
      <c r="E50" s="71"/>
      <c r="F50" s="75" t="str">
        <f aca="false">'7.2.2 Turnover Parts'!K1</f>
        <v>7.2.2 Turnover Parts</v>
      </c>
      <c r="G50" s="71"/>
      <c r="H50" s="71"/>
      <c r="I50" s="71"/>
      <c r="J50" s="71"/>
      <c r="L50" s="54"/>
    </row>
    <row r="51" customFormat="false" ht="18" hidden="false" customHeight="false" outlineLevel="0" collapsed="false">
      <c r="B51" s="70"/>
      <c r="C51" s="70"/>
      <c r="D51" s="70"/>
      <c r="E51" s="71"/>
      <c r="F51" s="75" t="str">
        <f aca="false">'7.2.3 Turnover Service &amp; Body'!K1</f>
        <v>7.2.3 Turnover Service &amp; Bodyshop</v>
      </c>
      <c r="G51" s="71"/>
      <c r="H51" s="71"/>
      <c r="I51" s="71"/>
      <c r="J51" s="71"/>
      <c r="L51" s="54"/>
    </row>
    <row r="52" customFormat="false" ht="18" hidden="false" customHeight="false" outlineLevel="0" collapsed="false">
      <c r="B52" s="70"/>
      <c r="C52" s="70"/>
      <c r="D52" s="70"/>
      <c r="E52" s="71"/>
      <c r="F52" s="75" t="str">
        <f aca="false">'7.3 Cost of sales'!K1</f>
        <v>7.3 Cost of Sales</v>
      </c>
      <c r="G52" s="71"/>
      <c r="H52" s="71"/>
      <c r="I52" s="71"/>
      <c r="J52" s="71"/>
      <c r="L52" s="54"/>
    </row>
    <row r="53" customFormat="false" ht="18" hidden="false" customHeight="false" outlineLevel="0" collapsed="false">
      <c r="B53" s="70"/>
      <c r="C53" s="70"/>
      <c r="D53" s="70"/>
      <c r="E53" s="71"/>
      <c r="F53" s="75" t="str">
        <f aca="false">'7.4.1 Salaries &amp; Wages'!K1</f>
        <v>7.4.1 Salaries &amp; wages</v>
      </c>
      <c r="G53" s="71"/>
      <c r="H53" s="71"/>
      <c r="I53" s="71"/>
      <c r="J53" s="71"/>
      <c r="L53" s="54"/>
    </row>
    <row r="54" customFormat="false" ht="18" hidden="false" customHeight="false" outlineLevel="0" collapsed="false">
      <c r="B54" s="70"/>
      <c r="C54" s="70"/>
      <c r="D54" s="70"/>
      <c r="E54" s="71"/>
      <c r="F54" s="75" t="str">
        <f aca="false">'7.4.2 Selling &amp; Oper. expenses'!K1</f>
        <v>7.4.2 Selling &amp; Operating Expenses</v>
      </c>
      <c r="G54" s="71"/>
      <c r="H54" s="71"/>
      <c r="I54" s="71"/>
      <c r="J54" s="71"/>
      <c r="L54" s="54"/>
    </row>
    <row r="55" customFormat="false" ht="15" hidden="false" customHeight="false" outlineLevel="0" collapsed="false">
      <c r="B55" s="71"/>
      <c r="C55" s="71"/>
      <c r="D55" s="71"/>
      <c r="E55" s="71"/>
      <c r="F55" s="75" t="str">
        <f aca="false">'7.4.3 Inv. &amp; Depr.'!L1</f>
        <v>7.4.3 Investments, Depreciations and Provisions</v>
      </c>
      <c r="G55" s="71"/>
      <c r="H55" s="71"/>
      <c r="I55" s="71"/>
      <c r="J55" s="71"/>
      <c r="L55" s="54"/>
    </row>
    <row r="56" customFormat="false" ht="15" hidden="false" customHeight="false" outlineLevel="0" collapsed="false">
      <c r="B56" s="71"/>
      <c r="C56" s="71"/>
      <c r="D56" s="71"/>
      <c r="E56" s="71"/>
      <c r="F56" s="75" t="str">
        <f aca="false">'7.5.1 Financial Requirements'!L1</f>
        <v>7.5.1 Financial Income: Requirements</v>
      </c>
      <c r="G56" s="71"/>
      <c r="H56" s="71"/>
      <c r="I56" s="71"/>
      <c r="J56" s="71"/>
      <c r="L56" s="54"/>
    </row>
    <row r="57" customFormat="false" ht="15" hidden="false" customHeight="false" outlineLevel="0" collapsed="false">
      <c r="B57" s="71"/>
      <c r="C57" s="71"/>
      <c r="D57" s="71"/>
      <c r="E57" s="71"/>
      <c r="F57" s="75" t="str">
        <f aca="false">'7.5.2 Fin. Income &amp; Expenses '!M1</f>
        <v>7.5.2 Financial Income &amp; Expenses</v>
      </c>
      <c r="G57" s="71"/>
      <c r="H57" s="71"/>
      <c r="I57" s="71"/>
      <c r="J57" s="71"/>
      <c r="L57" s="54"/>
    </row>
    <row r="58" customFormat="false" ht="15" hidden="false" customHeight="false" outlineLevel="0" collapsed="false">
      <c r="B58" s="71"/>
      <c r="C58" s="71"/>
      <c r="D58" s="71"/>
      <c r="E58" s="71"/>
      <c r="F58" s="75" t="str">
        <f aca="false">'7.5.3 VAT'!K1</f>
        <v>7.5.3 VAT</v>
      </c>
      <c r="G58" s="71"/>
      <c r="H58" s="71"/>
      <c r="I58" s="71"/>
      <c r="J58" s="71"/>
      <c r="L58" s="54"/>
    </row>
    <row r="59" customFormat="false" ht="15" hidden="false" customHeight="false" outlineLevel="0" collapsed="false">
      <c r="B59" s="71"/>
      <c r="C59" s="71"/>
      <c r="D59" s="71"/>
      <c r="E59" s="71"/>
      <c r="F59" s="75" t="str">
        <f aca="false">'7.6.1 Activity contribution'!I1</f>
        <v>7.6.1 Activity Contribution</v>
      </c>
      <c r="G59" s="71"/>
      <c r="H59" s="71"/>
      <c r="I59" s="71"/>
      <c r="J59" s="71"/>
      <c r="L59" s="54"/>
    </row>
    <row r="60" customFormat="false" ht="15" hidden="false" customHeight="false" outlineLevel="0" collapsed="false">
      <c r="B60" s="71"/>
      <c r="C60" s="71"/>
      <c r="D60" s="71"/>
      <c r="E60" s="71"/>
      <c r="F60" s="75" t="str">
        <f aca="false">'7.6.2 Activity analysis'!P1</f>
        <v>7.6.2 Activity Analysis</v>
      </c>
      <c r="G60" s="71"/>
      <c r="H60" s="71"/>
      <c r="I60" s="71"/>
      <c r="J60" s="71"/>
      <c r="L60" s="54"/>
    </row>
    <row r="61" customFormat="false" ht="15" hidden="false" customHeight="false" outlineLevel="0" collapsed="false">
      <c r="B61" s="71"/>
      <c r="C61" s="71"/>
      <c r="D61" s="71"/>
      <c r="E61" s="71"/>
      <c r="F61" s="75" t="str">
        <f aca="false">'7.7 P&amp;L'!K1</f>
        <v>7.7 Profit &amp; Loss Account</v>
      </c>
      <c r="G61" s="71"/>
      <c r="H61" s="71"/>
      <c r="I61" s="71"/>
      <c r="J61" s="71"/>
      <c r="L61" s="54"/>
    </row>
    <row r="62" customFormat="false" ht="15" hidden="false" customHeight="false" outlineLevel="0" collapsed="false">
      <c r="B62" s="71"/>
      <c r="C62" s="71"/>
      <c r="D62" s="71"/>
      <c r="E62" s="71"/>
      <c r="F62" s="75" t="e">
        <f aca="false">#REF!</f>
        <v>#REF!</v>
      </c>
      <c r="G62" s="71"/>
      <c r="H62" s="71"/>
      <c r="I62" s="71"/>
      <c r="J62" s="71"/>
      <c r="L62" s="54"/>
    </row>
    <row r="63" customFormat="false" ht="15" hidden="false" customHeight="false" outlineLevel="0" collapsed="false">
      <c r="B63" s="71"/>
      <c r="C63" s="71"/>
      <c r="D63" s="71"/>
      <c r="E63" s="71"/>
      <c r="F63" s="75" t="e">
        <f aca="false">#REF!</f>
        <v>#REF!</v>
      </c>
      <c r="G63" s="71"/>
      <c r="H63" s="71"/>
      <c r="I63" s="71"/>
      <c r="J63" s="71"/>
      <c r="L63" s="54"/>
    </row>
    <row r="64" customFormat="false" ht="15" hidden="false" customHeight="false" outlineLevel="0" collapsed="false">
      <c r="B64" s="71"/>
      <c r="C64" s="71"/>
      <c r="D64" s="71"/>
      <c r="E64" s="71"/>
      <c r="F64" s="75" t="str">
        <f aca="false">'7.9.2 Balance Liabilities'!K1</f>
        <v>7.9.2 Balance Sheet - Liabilities</v>
      </c>
      <c r="G64" s="71"/>
      <c r="H64" s="71"/>
      <c r="I64" s="71"/>
      <c r="J64" s="71"/>
      <c r="L64" s="54"/>
    </row>
    <row r="65" customFormat="false" ht="15" hidden="false" customHeight="false" outlineLevel="0" collapsed="false">
      <c r="B65" s="71"/>
      <c r="C65" s="71"/>
      <c r="D65" s="71"/>
      <c r="E65" s="71"/>
      <c r="F65" s="75" t="str">
        <f aca="false">'7.10 Ratio''s balance'!K1</f>
        <v>7.10 Ratio's Balance Sheet</v>
      </c>
      <c r="G65" s="71"/>
      <c r="H65" s="71"/>
      <c r="I65" s="71"/>
      <c r="J65" s="71"/>
      <c r="L65" s="54"/>
    </row>
    <row r="66" customFormat="false" ht="15" hidden="false" customHeight="false" outlineLevel="0" collapsed="false">
      <c r="B66" s="71"/>
      <c r="C66" s="71"/>
      <c r="D66" s="71"/>
      <c r="E66" s="71"/>
      <c r="F66" s="75" t="str">
        <f aca="false">'7.11 Cash Flow Analysis'!K1</f>
        <v>7.11 Cash Flow Analysis</v>
      </c>
      <c r="G66" s="71"/>
      <c r="H66" s="71"/>
      <c r="I66" s="71"/>
      <c r="J66" s="71"/>
      <c r="L66" s="54"/>
    </row>
    <row r="67" customFormat="false" ht="15" hidden="false" customHeight="false" outlineLevel="0" collapsed="false">
      <c r="B67" s="71"/>
      <c r="C67" s="71"/>
      <c r="D67" s="71"/>
      <c r="E67" s="71"/>
      <c r="F67" s="75" t="str">
        <f aca="false">'7.12 Assumptions &amp; Remarks'!K1</f>
        <v>7.12 Assumptions &amp; Remarks</v>
      </c>
      <c r="G67" s="71"/>
      <c r="H67" s="71"/>
      <c r="I67" s="71"/>
      <c r="J67" s="71"/>
      <c r="L67" s="54"/>
    </row>
    <row r="68" customFormat="false" ht="15" hidden="false" customHeight="false" outlineLevel="0" collapsed="false">
      <c r="B68" s="71"/>
      <c r="C68" s="71"/>
      <c r="D68" s="71"/>
      <c r="E68" s="71"/>
      <c r="F68" s="75"/>
      <c r="G68" s="71"/>
      <c r="H68" s="71"/>
      <c r="I68" s="71"/>
      <c r="J68" s="71"/>
      <c r="L68" s="54"/>
    </row>
    <row r="69" customFormat="false" ht="15" hidden="false" customHeight="false" outlineLevel="0" collapsed="false">
      <c r="B69" s="74" t="s">
        <v>97</v>
      </c>
      <c r="C69" s="74" t="s">
        <v>98</v>
      </c>
      <c r="D69" s="71"/>
      <c r="E69" s="71"/>
      <c r="F69" s="81" t="s">
        <v>99</v>
      </c>
      <c r="G69" s="71"/>
      <c r="H69" s="71"/>
      <c r="I69" s="71"/>
      <c r="J69" s="71"/>
      <c r="L69" s="54"/>
    </row>
    <row r="70" customFormat="false" ht="15" hidden="false" customHeight="false" outlineLevel="0" collapsed="false">
      <c r="B70" s="74"/>
      <c r="C70" s="74"/>
      <c r="D70" s="71"/>
      <c r="E70" s="71"/>
      <c r="F70" s="75"/>
      <c r="G70" s="71"/>
      <c r="H70" s="71"/>
      <c r="I70" s="71"/>
      <c r="J70" s="71"/>
      <c r="L70" s="54"/>
    </row>
    <row r="71" customFormat="false" ht="15" hidden="false" customHeight="false" outlineLevel="0" collapsed="false">
      <c r="B71" s="74"/>
      <c r="C71" s="74"/>
      <c r="D71" s="71"/>
      <c r="E71" s="71"/>
      <c r="F71" s="81"/>
      <c r="G71" s="71"/>
      <c r="H71" s="71"/>
      <c r="I71" s="71"/>
      <c r="J71" s="71"/>
      <c r="L71" s="54"/>
    </row>
    <row r="72" customFormat="false" ht="15" hidden="false" customHeight="false" outlineLevel="0" collapsed="false">
      <c r="A72" s="82"/>
      <c r="B72" s="83"/>
      <c r="C72" s="83"/>
      <c r="D72" s="83"/>
      <c r="E72" s="83"/>
      <c r="F72" s="83"/>
      <c r="G72" s="83"/>
      <c r="H72" s="83"/>
      <c r="I72" s="83"/>
      <c r="J72" s="83"/>
      <c r="K72" s="84"/>
      <c r="L72" s="84"/>
    </row>
    <row r="73" s="87" customFormat="true" ht="15" hidden="false" customHeight="false" outlineLevel="0" collapsed="false">
      <c r="A73" s="85"/>
      <c r="B73" s="86"/>
      <c r="C73" s="86"/>
      <c r="D73" s="86"/>
      <c r="E73" s="86"/>
      <c r="F73" s="86"/>
      <c r="G73" s="86"/>
      <c r="H73" s="86"/>
      <c r="I73" s="86"/>
      <c r="J73" s="86"/>
      <c r="K73" s="86"/>
      <c r="L73" s="85"/>
    </row>
  </sheetData>
  <mergeCells count="4">
    <mergeCell ref="A1:K1"/>
    <mergeCell ref="A4:L4"/>
    <mergeCell ref="A6:L6"/>
    <mergeCell ref="A9:L9"/>
  </mergeCells>
  <hyperlinks>
    <hyperlink ref="B14" location="'Reference sheet'!A1" display="Reference Sheet"/>
    <hyperlink ref="B15" location="Intro!A1" display="Intro"/>
    <hyperlink ref="F16" location="'1.0 Executive summary'!Afdrukbereik" display="1.0 Executive summary"/>
    <hyperlink ref="F32" location="'5.1 DAF Vehicle Parc Input'!Afdrukbereik" display="5.1 DAF Vehicle Parc Input"/>
    <hyperlink ref="F69" location="'8.0 Attachments'!Afdrukbereik" display="8.0 Attachments"/>
  </hyperlink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worksheet>
</file>

<file path=xl/worksheets/sheet3.xml><?xml version="1.0" encoding="utf-8"?>
<worksheet xmlns="http://schemas.openxmlformats.org/spreadsheetml/2006/main" xmlns:r="http://schemas.openxmlformats.org/officeDocument/2006/relationships">
  <sheetPr filterMode="false">
    <tabColor rgb="FFFF00FF"/>
    <pageSetUpPr fitToPage="true"/>
  </sheetPr>
  <dimension ref="A1:AC18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33" activeCellId="0" sqref="A33"/>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5.43"/>
    <col collapsed="false" customWidth="true" hidden="false" outlineLevel="0" max="6" min="6" style="16" width="2.71"/>
    <col collapsed="false" customWidth="true" hidden="false" outlineLevel="0" max="22" min="7" style="4" width="7.29"/>
    <col collapsed="false" customWidth="true" hidden="false" outlineLevel="0" max="27" min="23" style="4" width="5.14"/>
    <col collapsed="false" customWidth="true" hidden="false" outlineLevel="0" max="28" min="28" style="4" width="3.42"/>
    <col collapsed="false" customWidth="true" hidden="false" outlineLevel="0" max="29" min="29" style="4" width="0.42"/>
    <col collapsed="false" customWidth="true" hidden="true" outlineLevel="0" max="250" min="30" style="4" width="9.14"/>
    <col collapsed="false" customWidth="false" hidden="true" outlineLevel="0" max="1025" min="251" style="4" width="11.52"/>
  </cols>
  <sheetData>
    <row r="1" customFormat="false" ht="29.25" hidden="false" customHeight="false" outlineLevel="0" collapsed="false">
      <c r="A1" s="88" t="s">
        <v>100</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row>
    <row r="2" customFormat="false" ht="15" hidden="false" customHeight="true" outlineLevel="0" collapsed="false">
      <c r="A2" s="90"/>
      <c r="B2" s="91"/>
      <c r="C2" s="91"/>
      <c r="D2" s="91"/>
      <c r="E2" s="91"/>
      <c r="F2" s="91"/>
      <c r="G2" s="91"/>
      <c r="H2" s="91"/>
      <c r="I2" s="91"/>
      <c r="J2" s="91"/>
      <c r="K2" s="91"/>
      <c r="L2" s="91"/>
      <c r="M2" s="91"/>
      <c r="N2" s="91"/>
      <c r="O2" s="91"/>
      <c r="P2" s="92"/>
      <c r="Q2" s="91"/>
      <c r="R2" s="91"/>
      <c r="S2" s="91"/>
      <c r="T2" s="91"/>
      <c r="U2" s="91"/>
      <c r="V2" s="91"/>
      <c r="W2" s="93"/>
      <c r="X2" s="93"/>
      <c r="Y2" s="93"/>
      <c r="Z2" s="92"/>
      <c r="AA2" s="93"/>
      <c r="AB2" s="94"/>
      <c r="AC2" s="89"/>
    </row>
    <row r="3" customFormat="false" ht="15" hidden="false" customHeight="false" outlineLevel="0" collapsed="false">
      <c r="A3" s="90"/>
      <c r="B3" s="91"/>
      <c r="C3" s="95" t="s">
        <v>101</v>
      </c>
      <c r="D3" s="95"/>
      <c r="E3" s="95"/>
      <c r="F3" s="95"/>
      <c r="G3" s="95"/>
      <c r="H3" s="95"/>
      <c r="I3" s="95"/>
      <c r="J3" s="95"/>
      <c r="K3" s="95"/>
      <c r="L3" s="95"/>
      <c r="M3" s="95"/>
      <c r="N3" s="95"/>
      <c r="O3" s="95"/>
      <c r="P3" s="95"/>
      <c r="Q3" s="95"/>
      <c r="R3" s="95"/>
      <c r="S3" s="95"/>
      <c r="T3" s="95"/>
      <c r="U3" s="95"/>
      <c r="V3" s="95"/>
      <c r="W3" s="95"/>
      <c r="X3" s="95"/>
      <c r="Y3" s="95"/>
      <c r="Z3" s="95"/>
      <c r="AA3" s="91"/>
      <c r="AB3" s="96"/>
      <c r="AC3" s="89"/>
    </row>
    <row r="4" customFormat="false" ht="18" hidden="false" customHeight="false" outlineLevel="0" collapsed="false">
      <c r="A4" s="90"/>
      <c r="B4" s="97"/>
      <c r="C4" s="95"/>
      <c r="D4" s="95"/>
      <c r="E4" s="95"/>
      <c r="F4" s="95"/>
      <c r="G4" s="95"/>
      <c r="H4" s="95"/>
      <c r="I4" s="95"/>
      <c r="J4" s="95"/>
      <c r="K4" s="95"/>
      <c r="L4" s="95"/>
      <c r="M4" s="95"/>
      <c r="N4" s="95"/>
      <c r="O4" s="95"/>
      <c r="P4" s="95"/>
      <c r="Q4" s="95"/>
      <c r="R4" s="95"/>
      <c r="S4" s="95"/>
      <c r="T4" s="95"/>
      <c r="U4" s="95"/>
      <c r="V4" s="95"/>
      <c r="W4" s="95"/>
      <c r="X4" s="95"/>
      <c r="Y4" s="95"/>
      <c r="Z4" s="95"/>
      <c r="AA4" s="91"/>
      <c r="AB4" s="96"/>
      <c r="AC4" s="89"/>
    </row>
    <row r="5" customFormat="false" ht="15" hidden="false" customHeight="false" outlineLevel="0" collapsed="false">
      <c r="A5" s="90"/>
      <c r="B5" s="98"/>
      <c r="AA5" s="91"/>
      <c r="AB5" s="96"/>
      <c r="AC5" s="89"/>
    </row>
    <row r="6" customFormat="false" ht="15" hidden="false" customHeight="false" outlineLevel="0" collapsed="false">
      <c r="A6" s="90"/>
      <c r="B6" s="99"/>
      <c r="AA6" s="91"/>
      <c r="AB6" s="96"/>
      <c r="AC6" s="89"/>
    </row>
    <row r="7" customFormat="false" ht="15" hidden="false" customHeight="false" outlineLevel="0" collapsed="false">
      <c r="A7" s="90"/>
      <c r="B7" s="99"/>
      <c r="AA7" s="91"/>
      <c r="AB7" s="96"/>
      <c r="AC7" s="89"/>
    </row>
    <row r="8" customFormat="false" ht="15" hidden="false" customHeight="false" outlineLevel="0" collapsed="false">
      <c r="A8" s="90"/>
      <c r="B8" s="100"/>
      <c r="AA8" s="91"/>
      <c r="AB8" s="96"/>
      <c r="AC8" s="89"/>
    </row>
    <row r="9" customFormat="false" ht="15" hidden="false" customHeight="false" outlineLevel="0" collapsed="false">
      <c r="A9" s="90"/>
      <c r="B9" s="98"/>
      <c r="AA9" s="91"/>
      <c r="AB9" s="96"/>
      <c r="AC9" s="89"/>
    </row>
    <row r="10" customFormat="false" ht="15" hidden="false" customHeight="false" outlineLevel="0" collapsed="false">
      <c r="A10" s="90"/>
      <c r="B10" s="99"/>
      <c r="AA10" s="91"/>
      <c r="AB10" s="96"/>
      <c r="AC10" s="89"/>
    </row>
    <row r="11" customFormat="false" ht="15" hidden="false" customHeight="true" outlineLevel="0" collapsed="false">
      <c r="A11" s="90"/>
      <c r="B11" s="99"/>
      <c r="AA11" s="91"/>
      <c r="AB11" s="96"/>
      <c r="AC11" s="89"/>
    </row>
    <row r="12" customFormat="false" ht="15" hidden="false" customHeight="true" outlineLevel="0" collapsed="false">
      <c r="A12" s="90"/>
      <c r="B12" s="99"/>
      <c r="AA12" s="91"/>
      <c r="AB12" s="96"/>
      <c r="AC12" s="89"/>
    </row>
    <row r="13" customFormat="false" ht="15" hidden="false" customHeight="false" outlineLevel="0" collapsed="false">
      <c r="A13" s="90"/>
      <c r="B13" s="99"/>
      <c r="AA13" s="91"/>
      <c r="AB13" s="96"/>
      <c r="AC13" s="89"/>
    </row>
    <row r="14" customFormat="false" ht="15" hidden="false" customHeight="false" outlineLevel="0" collapsed="false">
      <c r="A14" s="90"/>
      <c r="B14" s="99"/>
      <c r="AA14" s="91"/>
      <c r="AB14" s="96"/>
      <c r="AC14" s="89"/>
    </row>
    <row r="15" customFormat="false" ht="15" hidden="false" customHeight="false" outlineLevel="0" collapsed="false">
      <c r="A15" s="90"/>
      <c r="B15" s="99"/>
      <c r="AA15" s="91"/>
      <c r="AB15" s="96"/>
      <c r="AC15" s="89"/>
    </row>
    <row r="16" customFormat="false" ht="15" hidden="false" customHeight="false" outlineLevel="0" collapsed="false">
      <c r="A16" s="90"/>
      <c r="B16" s="99"/>
      <c r="AA16" s="91"/>
      <c r="AB16" s="96"/>
      <c r="AC16" s="89"/>
    </row>
    <row r="17" customFormat="false" ht="15" hidden="false" customHeight="false" outlineLevel="0" collapsed="false">
      <c r="A17" s="90"/>
      <c r="B17" s="99"/>
      <c r="AA17" s="91"/>
      <c r="AB17" s="96"/>
      <c r="AC17" s="89"/>
    </row>
    <row r="18" customFormat="false" ht="15" hidden="false" customHeight="false" outlineLevel="0" collapsed="false">
      <c r="A18" s="90"/>
      <c r="B18" s="99"/>
      <c r="AA18" s="91"/>
      <c r="AB18" s="96"/>
      <c r="AC18" s="89"/>
    </row>
    <row r="19" customFormat="false" ht="15" hidden="false" customHeight="true" outlineLevel="0" collapsed="false">
      <c r="A19" s="90"/>
      <c r="B19" s="99"/>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91"/>
      <c r="AB19" s="96"/>
      <c r="AC19" s="89"/>
    </row>
    <row r="20" customFormat="false" ht="15" hidden="false" customHeight="false" outlineLevel="0" collapsed="false">
      <c r="A20" s="90"/>
      <c r="B20" s="99"/>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91"/>
      <c r="AB20" s="96"/>
      <c r="AC20" s="89"/>
    </row>
    <row r="21" customFormat="false" ht="15" hidden="false" customHeight="true" outlineLevel="0" collapsed="false">
      <c r="A21" s="90"/>
      <c r="B21" s="99"/>
      <c r="C21" s="101"/>
      <c r="D21" s="101"/>
      <c r="E21" s="101"/>
      <c r="F21" s="101"/>
      <c r="G21" s="101"/>
      <c r="H21" s="101"/>
      <c r="I21" s="101"/>
      <c r="J21" s="101"/>
      <c r="K21" s="101"/>
      <c r="L21" s="101"/>
      <c r="M21" s="101"/>
      <c r="N21" s="101"/>
      <c r="O21" s="101"/>
      <c r="P21" s="101"/>
      <c r="Q21" s="101"/>
      <c r="R21" s="101"/>
      <c r="S21" s="101"/>
      <c r="T21" s="101"/>
      <c r="U21" s="101"/>
      <c r="V21" s="101"/>
      <c r="W21" s="101"/>
      <c r="X21" s="101"/>
      <c r="Y21" s="101"/>
      <c r="Z21" s="101"/>
      <c r="AA21" s="91"/>
      <c r="AB21" s="96"/>
      <c r="AC21" s="89"/>
    </row>
    <row r="22" customFormat="false" ht="15" hidden="false" customHeight="true" outlineLevel="0" collapsed="false">
      <c r="A22" s="90"/>
      <c r="B22" s="99"/>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91"/>
      <c r="AB22" s="96"/>
      <c r="AC22" s="89"/>
    </row>
    <row r="23" customFormat="false" ht="15" hidden="false" customHeight="false" outlineLevel="0" collapsed="false">
      <c r="A23" s="90"/>
      <c r="B23" s="99"/>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91"/>
      <c r="AB23" s="96"/>
      <c r="AC23" s="89"/>
    </row>
    <row r="24" customFormat="false" ht="15" hidden="false" customHeight="true" outlineLevel="0" collapsed="false">
      <c r="A24" s="90"/>
      <c r="B24" s="99"/>
      <c r="C24" s="101"/>
      <c r="D24" s="101"/>
      <c r="E24" s="101"/>
      <c r="F24" s="101"/>
      <c r="G24" s="101"/>
      <c r="H24" s="101"/>
      <c r="I24" s="101"/>
      <c r="J24" s="101"/>
      <c r="K24" s="101"/>
      <c r="L24" s="101"/>
      <c r="M24" s="101"/>
      <c r="N24" s="101"/>
      <c r="O24" s="101"/>
      <c r="P24" s="101"/>
      <c r="Q24" s="101"/>
      <c r="R24" s="101"/>
      <c r="S24" s="101"/>
      <c r="T24" s="101"/>
      <c r="U24" s="101"/>
      <c r="V24" s="101"/>
      <c r="W24" s="101"/>
      <c r="X24" s="101"/>
      <c r="Y24" s="101"/>
      <c r="Z24" s="101"/>
      <c r="AA24" s="91"/>
      <c r="AB24" s="96"/>
      <c r="AC24" s="89"/>
    </row>
    <row r="25" customFormat="false" ht="15" hidden="false" customHeight="true" outlineLevel="0" collapsed="false">
      <c r="A25" s="90"/>
      <c r="B25" s="99"/>
      <c r="C25" s="101"/>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91"/>
      <c r="AB25" s="96"/>
      <c r="AC25" s="89"/>
    </row>
    <row r="26" customFormat="false" ht="15" hidden="false" customHeight="true" outlineLevel="0" collapsed="false">
      <c r="A26" s="90"/>
      <c r="B26" s="99"/>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91"/>
      <c r="AB26" s="96"/>
      <c r="AC26" s="89"/>
    </row>
    <row r="27" customFormat="false" ht="15" hidden="false" customHeight="true" outlineLevel="0" collapsed="false">
      <c r="A27" s="90"/>
      <c r="B27" s="99"/>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91"/>
      <c r="AB27" s="96"/>
      <c r="AC27" s="89"/>
    </row>
    <row r="28" customFormat="false" ht="15" hidden="false" customHeight="true" outlineLevel="0" collapsed="false">
      <c r="A28" s="90"/>
      <c r="B28" s="99"/>
      <c r="C28" s="101"/>
      <c r="D28" s="101"/>
      <c r="E28" s="101"/>
      <c r="F28" s="101"/>
      <c r="G28" s="101"/>
      <c r="H28" s="101"/>
      <c r="I28" s="101"/>
      <c r="J28" s="101"/>
      <c r="K28" s="101"/>
      <c r="L28" s="101"/>
      <c r="M28" s="101"/>
      <c r="N28" s="101"/>
      <c r="O28" s="101"/>
      <c r="P28" s="101"/>
      <c r="Q28" s="101"/>
      <c r="R28" s="101"/>
      <c r="S28" s="101"/>
      <c r="T28" s="101"/>
      <c r="U28" s="101"/>
      <c r="V28" s="101"/>
      <c r="W28" s="101"/>
      <c r="X28" s="101"/>
      <c r="Y28" s="101"/>
      <c r="Z28" s="101"/>
      <c r="AA28" s="91"/>
      <c r="AB28" s="96"/>
      <c r="AC28" s="89"/>
    </row>
    <row r="29" customFormat="false" ht="15" hidden="false" customHeight="true" outlineLevel="0" collapsed="false">
      <c r="A29" s="90"/>
      <c r="B29" s="99"/>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91"/>
      <c r="AB29" s="96"/>
      <c r="AC29" s="89"/>
    </row>
    <row r="30" customFormat="false" ht="15" hidden="false" customHeight="true" outlineLevel="0" collapsed="false">
      <c r="A30" s="90"/>
      <c r="B30" s="99"/>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c r="AA30" s="91"/>
      <c r="AB30" s="96"/>
      <c r="AC30" s="89"/>
    </row>
    <row r="31" customFormat="false" ht="15" hidden="false" customHeight="true" outlineLevel="0" collapsed="false">
      <c r="A31" s="90"/>
      <c r="B31" s="99"/>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91"/>
      <c r="AB31" s="96"/>
      <c r="AC31" s="89"/>
    </row>
    <row r="32" customFormat="false" ht="15" hidden="false" customHeight="true" outlineLevel="0" collapsed="false">
      <c r="A32" s="90"/>
      <c r="B32" s="99"/>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91"/>
      <c r="AB32" s="96"/>
      <c r="AC32" s="89"/>
    </row>
    <row r="33" customFormat="false" ht="15" hidden="false" customHeight="true" outlineLevel="0" collapsed="false">
      <c r="A33" s="102"/>
      <c r="B33" s="99"/>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91"/>
      <c r="AB33" s="96"/>
      <c r="AC33" s="89"/>
    </row>
    <row r="34" customFormat="false" ht="15" hidden="false" customHeight="true" outlineLevel="0" collapsed="false">
      <c r="A34" s="90"/>
      <c r="B34" s="99"/>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91"/>
      <c r="AB34" s="96"/>
      <c r="AC34" s="89"/>
    </row>
    <row r="35" customFormat="false" ht="15" hidden="false" customHeight="true" outlineLevel="0" collapsed="false">
      <c r="A35" s="102"/>
      <c r="B35" s="99"/>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91"/>
      <c r="AB35" s="96"/>
      <c r="AC35" s="89"/>
    </row>
    <row r="36" customFormat="false" ht="15" hidden="false" customHeight="true" outlineLevel="0" collapsed="false">
      <c r="A36" s="90"/>
      <c r="B36" s="99"/>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91"/>
      <c r="AB36" s="96"/>
      <c r="AC36" s="89"/>
    </row>
    <row r="37" customFormat="false" ht="15" hidden="false" customHeight="true" outlineLevel="0" collapsed="false">
      <c r="A37" s="90"/>
      <c r="B37" s="99"/>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91"/>
      <c r="AB37" s="96"/>
      <c r="AC37" s="89"/>
    </row>
    <row r="38" customFormat="false" ht="15" hidden="false" customHeight="true" outlineLevel="0" collapsed="false">
      <c r="A38" s="90"/>
      <c r="B38" s="99"/>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91"/>
      <c r="AB38" s="96"/>
      <c r="AC38" s="89"/>
    </row>
    <row r="39" customFormat="false" ht="15" hidden="false" customHeight="true" outlineLevel="0" collapsed="false">
      <c r="A39" s="90"/>
      <c r="B39" s="99"/>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91"/>
      <c r="AB39" s="96"/>
      <c r="AC39" s="89"/>
    </row>
    <row r="40" customFormat="false" ht="15" hidden="false" customHeight="true" outlineLevel="0" collapsed="false">
      <c r="A40" s="90"/>
      <c r="B40" s="99"/>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91"/>
      <c r="AB40" s="96"/>
      <c r="AC40" s="89"/>
    </row>
    <row r="41" customFormat="false" ht="15" hidden="false" customHeight="true" outlineLevel="0" collapsed="false">
      <c r="A41" s="90"/>
      <c r="B41" s="99"/>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91"/>
      <c r="AB41" s="96"/>
      <c r="AC41" s="89"/>
    </row>
    <row r="42" customFormat="false" ht="15" hidden="false" customHeight="true" outlineLevel="0" collapsed="false">
      <c r="A42" s="90"/>
      <c r="B42" s="99"/>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91"/>
      <c r="AB42" s="96"/>
      <c r="AC42" s="89"/>
    </row>
    <row r="43" customFormat="false" ht="15" hidden="false" customHeight="true" outlineLevel="0" collapsed="false">
      <c r="A43" s="90"/>
      <c r="B43" s="99"/>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91"/>
      <c r="AB43" s="96"/>
      <c r="AC43" s="89"/>
    </row>
    <row r="44" customFormat="false" ht="15" hidden="false" customHeight="true" outlineLevel="0" collapsed="false">
      <c r="A44" s="90"/>
      <c r="B44" s="99"/>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91"/>
      <c r="AB44" s="96"/>
      <c r="AC44" s="89"/>
    </row>
    <row r="45" customFormat="false" ht="15" hidden="false" customHeight="true" outlineLevel="0" collapsed="false">
      <c r="A45" s="90"/>
      <c r="B45" s="99"/>
      <c r="C45" s="101"/>
      <c r="D45" s="101"/>
      <c r="E45" s="101"/>
      <c r="F45" s="101"/>
      <c r="G45" s="101"/>
      <c r="H45" s="101"/>
      <c r="I45" s="101"/>
      <c r="J45" s="101"/>
      <c r="K45" s="101"/>
      <c r="L45" s="101"/>
      <c r="M45" s="101"/>
      <c r="N45" s="101"/>
      <c r="O45" s="101"/>
      <c r="P45" s="101"/>
      <c r="Q45" s="101"/>
      <c r="R45" s="101"/>
      <c r="S45" s="101"/>
      <c r="T45" s="101"/>
      <c r="U45" s="101"/>
      <c r="V45" s="101"/>
      <c r="W45" s="101"/>
      <c r="X45" s="101"/>
      <c r="Y45" s="101"/>
      <c r="Z45" s="101"/>
      <c r="AA45" s="91"/>
      <c r="AB45" s="96"/>
      <c r="AC45" s="89"/>
    </row>
    <row r="46" customFormat="false" ht="15" hidden="false" customHeight="true" outlineLevel="0" collapsed="false">
      <c r="A46" s="90"/>
      <c r="B46" s="99"/>
      <c r="C46" s="101"/>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91"/>
      <c r="AB46" s="96"/>
      <c r="AC46" s="89"/>
    </row>
    <row r="47" customFormat="false" ht="15" hidden="false" customHeight="true" outlineLevel="0" collapsed="false">
      <c r="A47" s="90"/>
      <c r="B47" s="99"/>
      <c r="C47" s="101"/>
      <c r="D47" s="101"/>
      <c r="E47" s="101"/>
      <c r="F47" s="101"/>
      <c r="G47" s="101"/>
      <c r="H47" s="101"/>
      <c r="I47" s="101"/>
      <c r="J47" s="101"/>
      <c r="K47" s="101"/>
      <c r="L47" s="101"/>
      <c r="M47" s="101"/>
      <c r="N47" s="101"/>
      <c r="O47" s="101"/>
      <c r="P47" s="101"/>
      <c r="Q47" s="101"/>
      <c r="R47" s="101"/>
      <c r="S47" s="101"/>
      <c r="T47" s="101"/>
      <c r="U47" s="101"/>
      <c r="V47" s="101"/>
      <c r="W47" s="101"/>
      <c r="X47" s="101"/>
      <c r="Y47" s="101"/>
      <c r="Z47" s="101"/>
      <c r="AA47" s="91"/>
      <c r="AB47" s="96"/>
      <c r="AC47" s="89"/>
    </row>
    <row r="48" customFormat="false" ht="15" hidden="false" customHeight="true" outlineLevel="0" collapsed="false">
      <c r="A48" s="90"/>
      <c r="B48" s="99"/>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91"/>
      <c r="AB48" s="96"/>
      <c r="AC48" s="89"/>
    </row>
    <row r="49" customFormat="false" ht="15" hidden="false" customHeight="true" outlineLevel="0" collapsed="false">
      <c r="A49" s="90"/>
      <c r="B49" s="99"/>
      <c r="C49" s="101"/>
      <c r="D49" s="101"/>
      <c r="E49" s="101"/>
      <c r="F49" s="101"/>
      <c r="G49" s="101"/>
      <c r="H49" s="101"/>
      <c r="I49" s="101"/>
      <c r="J49" s="101"/>
      <c r="K49" s="101"/>
      <c r="L49" s="101"/>
      <c r="M49" s="101"/>
      <c r="N49" s="101"/>
      <c r="O49" s="101"/>
      <c r="P49" s="101"/>
      <c r="Q49" s="101"/>
      <c r="R49" s="101"/>
      <c r="S49" s="101"/>
      <c r="T49" s="101"/>
      <c r="U49" s="101"/>
      <c r="V49" s="101"/>
      <c r="W49" s="101"/>
      <c r="X49" s="101"/>
      <c r="Y49" s="101"/>
      <c r="Z49" s="101"/>
      <c r="AA49" s="91"/>
      <c r="AB49" s="96"/>
      <c r="AC49" s="89"/>
    </row>
    <row r="50" customFormat="false" ht="15" hidden="false" customHeight="true" outlineLevel="0" collapsed="false">
      <c r="A50" s="90"/>
      <c r="B50" s="99"/>
      <c r="C50" s="101"/>
      <c r="D50" s="101"/>
      <c r="E50" s="101"/>
      <c r="F50" s="101"/>
      <c r="G50" s="101"/>
      <c r="H50" s="101"/>
      <c r="I50" s="101"/>
      <c r="J50" s="101"/>
      <c r="K50" s="101"/>
      <c r="L50" s="101"/>
      <c r="M50" s="101"/>
      <c r="N50" s="101"/>
      <c r="O50" s="101"/>
      <c r="P50" s="101"/>
      <c r="Q50" s="101"/>
      <c r="R50" s="101"/>
      <c r="S50" s="101"/>
      <c r="T50" s="101"/>
      <c r="U50" s="101"/>
      <c r="V50" s="101"/>
      <c r="W50" s="101"/>
      <c r="X50" s="101"/>
      <c r="Y50" s="101"/>
      <c r="Z50" s="101"/>
      <c r="AA50" s="91"/>
      <c r="AB50" s="96"/>
      <c r="AC50" s="89"/>
    </row>
    <row r="51" customFormat="false" ht="15" hidden="false" customHeight="true" outlineLevel="0" collapsed="false">
      <c r="A51" s="90"/>
      <c r="B51" s="99"/>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91"/>
      <c r="AB51" s="96"/>
      <c r="AC51" s="89"/>
    </row>
    <row r="52" customFormat="false" ht="15" hidden="false" customHeight="true" outlineLevel="0" collapsed="false">
      <c r="A52" s="90"/>
      <c r="B52" s="99"/>
      <c r="C52" s="101"/>
      <c r="D52" s="101"/>
      <c r="E52" s="101"/>
      <c r="F52" s="101"/>
      <c r="G52" s="101"/>
      <c r="H52" s="101"/>
      <c r="I52" s="101"/>
      <c r="J52" s="101"/>
      <c r="K52" s="101"/>
      <c r="L52" s="101"/>
      <c r="M52" s="101"/>
      <c r="N52" s="101"/>
      <c r="O52" s="101"/>
      <c r="P52" s="101"/>
      <c r="Q52" s="101"/>
      <c r="R52" s="101"/>
      <c r="S52" s="101"/>
      <c r="T52" s="101"/>
      <c r="U52" s="101"/>
      <c r="V52" s="101"/>
      <c r="W52" s="101"/>
      <c r="X52" s="101"/>
      <c r="Y52" s="101"/>
      <c r="Z52" s="101"/>
      <c r="AA52" s="91"/>
      <c r="AB52" s="96"/>
      <c r="AC52" s="89"/>
    </row>
    <row r="53" customFormat="false" ht="15" hidden="false" customHeight="true" outlineLevel="0" collapsed="false">
      <c r="A53" s="90"/>
      <c r="B53" s="99"/>
      <c r="C53" s="101"/>
      <c r="D53" s="101"/>
      <c r="E53" s="101"/>
      <c r="F53" s="101"/>
      <c r="G53" s="101"/>
      <c r="H53" s="101"/>
      <c r="I53" s="101"/>
      <c r="J53" s="101"/>
      <c r="K53" s="101"/>
      <c r="L53" s="101"/>
      <c r="M53" s="101"/>
      <c r="N53" s="101"/>
      <c r="O53" s="101"/>
      <c r="P53" s="101"/>
      <c r="Q53" s="101"/>
      <c r="R53" s="101"/>
      <c r="S53" s="101"/>
      <c r="T53" s="101"/>
      <c r="U53" s="101"/>
      <c r="V53" s="101"/>
      <c r="W53" s="101"/>
      <c r="X53" s="101"/>
      <c r="Y53" s="101"/>
      <c r="Z53" s="101"/>
      <c r="AA53" s="91"/>
      <c r="AB53" s="96"/>
      <c r="AC53" s="89"/>
    </row>
    <row r="54" customFormat="false" ht="15" hidden="false" customHeight="true" outlineLevel="0" collapsed="false">
      <c r="A54" s="90"/>
      <c r="B54" s="99"/>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91"/>
      <c r="AB54" s="96"/>
      <c r="AC54" s="89"/>
    </row>
    <row r="55" customFormat="false" ht="15" hidden="false" customHeight="true" outlineLevel="0" collapsed="false">
      <c r="A55" s="90"/>
      <c r="B55" s="99"/>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91"/>
      <c r="AB55" s="96"/>
      <c r="AC55" s="89"/>
    </row>
    <row r="56" customFormat="false" ht="15" hidden="false" customHeight="true" outlineLevel="0" collapsed="false">
      <c r="A56" s="90"/>
      <c r="B56" s="99"/>
      <c r="C56" s="101"/>
      <c r="D56" s="101"/>
      <c r="E56" s="101"/>
      <c r="F56" s="101"/>
      <c r="G56" s="101"/>
      <c r="H56" s="101"/>
      <c r="I56" s="101"/>
      <c r="J56" s="101"/>
      <c r="K56" s="101"/>
      <c r="L56" s="101"/>
      <c r="M56" s="101"/>
      <c r="N56" s="101"/>
      <c r="O56" s="101"/>
      <c r="P56" s="101"/>
      <c r="Q56" s="101"/>
      <c r="R56" s="101"/>
      <c r="S56" s="101"/>
      <c r="T56" s="101"/>
      <c r="U56" s="101"/>
      <c r="V56" s="101"/>
      <c r="W56" s="101"/>
      <c r="X56" s="101"/>
      <c r="Y56" s="101"/>
      <c r="Z56" s="101"/>
      <c r="AA56" s="91"/>
      <c r="AB56" s="96"/>
      <c r="AC56" s="89"/>
    </row>
    <row r="57" customFormat="false" ht="15" hidden="false" customHeight="true" outlineLevel="0" collapsed="false">
      <c r="A57" s="90"/>
      <c r="B57" s="99"/>
      <c r="C57" s="101"/>
      <c r="D57" s="101"/>
      <c r="E57" s="101"/>
      <c r="F57" s="101"/>
      <c r="G57" s="101"/>
      <c r="H57" s="101"/>
      <c r="I57" s="101"/>
      <c r="J57" s="101"/>
      <c r="K57" s="101"/>
      <c r="L57" s="101"/>
      <c r="M57" s="101"/>
      <c r="N57" s="101"/>
      <c r="O57" s="101"/>
      <c r="P57" s="101"/>
      <c r="Q57" s="101"/>
      <c r="R57" s="101"/>
      <c r="S57" s="101"/>
      <c r="T57" s="101"/>
      <c r="U57" s="101"/>
      <c r="V57" s="101"/>
      <c r="W57" s="101"/>
      <c r="X57" s="101"/>
      <c r="Y57" s="101"/>
      <c r="Z57" s="101"/>
      <c r="AA57" s="91"/>
      <c r="AB57" s="96"/>
      <c r="AC57" s="89"/>
    </row>
    <row r="58" customFormat="false" ht="15" hidden="false" customHeight="true" outlineLevel="0" collapsed="false">
      <c r="A58" s="90"/>
      <c r="B58" s="99"/>
      <c r="C58" s="101"/>
      <c r="D58" s="101"/>
      <c r="E58" s="101"/>
      <c r="F58" s="101"/>
      <c r="G58" s="101"/>
      <c r="H58" s="101"/>
      <c r="I58" s="101"/>
      <c r="J58" s="101"/>
      <c r="K58" s="101"/>
      <c r="L58" s="101"/>
      <c r="M58" s="101"/>
      <c r="N58" s="101"/>
      <c r="O58" s="101"/>
      <c r="P58" s="101"/>
      <c r="Q58" s="101"/>
      <c r="R58" s="101"/>
      <c r="S58" s="101"/>
      <c r="T58" s="101"/>
      <c r="U58" s="101"/>
      <c r="V58" s="101"/>
      <c r="W58" s="101"/>
      <c r="X58" s="101"/>
      <c r="Y58" s="101"/>
      <c r="Z58" s="101"/>
      <c r="AA58" s="91"/>
      <c r="AB58" s="96"/>
      <c r="AC58" s="89"/>
    </row>
    <row r="59" customFormat="false" ht="15" hidden="false" customHeight="true" outlineLevel="0" collapsed="false">
      <c r="A59" s="90"/>
      <c r="B59" s="99"/>
      <c r="C59" s="101"/>
      <c r="D59" s="101"/>
      <c r="E59" s="101"/>
      <c r="F59" s="101"/>
      <c r="G59" s="101"/>
      <c r="H59" s="101"/>
      <c r="I59" s="101"/>
      <c r="J59" s="101"/>
      <c r="K59" s="101"/>
      <c r="L59" s="101"/>
      <c r="M59" s="101"/>
      <c r="N59" s="101"/>
      <c r="O59" s="101"/>
      <c r="P59" s="101"/>
      <c r="Q59" s="101"/>
      <c r="R59" s="101"/>
      <c r="S59" s="101"/>
      <c r="T59" s="101"/>
      <c r="U59" s="101"/>
      <c r="V59" s="101"/>
      <c r="W59" s="101"/>
      <c r="X59" s="101"/>
      <c r="Y59" s="101"/>
      <c r="Z59" s="101"/>
      <c r="AA59" s="91"/>
      <c r="AB59" s="96"/>
      <c r="AC59" s="89"/>
    </row>
    <row r="60" customFormat="false" ht="15" hidden="false" customHeight="true" outlineLevel="0" collapsed="false">
      <c r="A60" s="90"/>
      <c r="B60" s="99"/>
      <c r="C60" s="101"/>
      <c r="D60" s="101"/>
      <c r="E60" s="101"/>
      <c r="F60" s="101"/>
      <c r="G60" s="101"/>
      <c r="H60" s="101"/>
      <c r="I60" s="101"/>
      <c r="J60" s="101"/>
      <c r="K60" s="101"/>
      <c r="L60" s="101"/>
      <c r="M60" s="101"/>
      <c r="N60" s="101"/>
      <c r="O60" s="101"/>
      <c r="P60" s="101"/>
      <c r="Q60" s="101"/>
      <c r="R60" s="101"/>
      <c r="S60" s="101"/>
      <c r="T60" s="101"/>
      <c r="U60" s="101"/>
      <c r="V60" s="101"/>
      <c r="W60" s="101"/>
      <c r="X60" s="101"/>
      <c r="Y60" s="101"/>
      <c r="Z60" s="101"/>
      <c r="AA60" s="91"/>
      <c r="AB60" s="96"/>
      <c r="AC60" s="89"/>
    </row>
    <row r="61" customFormat="false" ht="15" hidden="false" customHeight="true" outlineLevel="0" collapsed="false">
      <c r="A61" s="90"/>
      <c r="B61" s="99"/>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91"/>
      <c r="AB61" s="96"/>
      <c r="AC61" s="89"/>
    </row>
    <row r="62" customFormat="false" ht="15" hidden="false" customHeight="true" outlineLevel="0" collapsed="false">
      <c r="A62" s="90"/>
      <c r="B62" s="99"/>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91"/>
      <c r="AB62" s="96"/>
      <c r="AC62" s="89"/>
    </row>
    <row r="63" customFormat="false" ht="15" hidden="false" customHeight="true" outlineLevel="0" collapsed="false">
      <c r="A63" s="90"/>
      <c r="B63" s="99"/>
      <c r="C63" s="101"/>
      <c r="D63" s="101"/>
      <c r="E63" s="101"/>
      <c r="F63" s="101"/>
      <c r="G63" s="101"/>
      <c r="H63" s="101"/>
      <c r="I63" s="101"/>
      <c r="J63" s="101"/>
      <c r="K63" s="101"/>
      <c r="L63" s="101"/>
      <c r="M63" s="101"/>
      <c r="N63" s="101"/>
      <c r="O63" s="101"/>
      <c r="P63" s="101"/>
      <c r="Q63" s="101"/>
      <c r="R63" s="101"/>
      <c r="S63" s="101"/>
      <c r="T63" s="101"/>
      <c r="U63" s="101"/>
      <c r="V63" s="101"/>
      <c r="W63" s="101"/>
      <c r="X63" s="101"/>
      <c r="Y63" s="101"/>
      <c r="Z63" s="101"/>
      <c r="AA63" s="91"/>
      <c r="AB63" s="96"/>
      <c r="AC63" s="89"/>
    </row>
    <row r="64" customFormat="false" ht="15" hidden="false" customHeight="true" outlineLevel="0" collapsed="false">
      <c r="A64" s="90"/>
      <c r="B64" s="99"/>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91"/>
      <c r="AB64" s="96"/>
      <c r="AC64" s="89"/>
    </row>
    <row r="65" customFormat="false" ht="15" hidden="false" customHeight="true" outlineLevel="0" collapsed="false">
      <c r="A65" s="90"/>
      <c r="B65" s="99"/>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c r="AA65" s="91"/>
      <c r="AB65" s="96"/>
      <c r="AC65" s="89"/>
    </row>
    <row r="66" customFormat="false" ht="15" hidden="false" customHeight="true" outlineLevel="0" collapsed="false">
      <c r="A66" s="90"/>
      <c r="B66" s="99"/>
      <c r="C66" s="101"/>
      <c r="D66" s="101"/>
      <c r="E66" s="101"/>
      <c r="F66" s="101"/>
      <c r="G66" s="101"/>
      <c r="H66" s="101"/>
      <c r="I66" s="101"/>
      <c r="J66" s="101"/>
      <c r="K66" s="101"/>
      <c r="L66" s="101"/>
      <c r="M66" s="101"/>
      <c r="N66" s="101"/>
      <c r="O66" s="101"/>
      <c r="P66" s="101"/>
      <c r="Q66" s="101"/>
      <c r="R66" s="101"/>
      <c r="S66" s="101"/>
      <c r="T66" s="101"/>
      <c r="U66" s="101"/>
      <c r="V66" s="101"/>
      <c r="W66" s="101"/>
      <c r="X66" s="101"/>
      <c r="Y66" s="101"/>
      <c r="Z66" s="101"/>
      <c r="AA66" s="91"/>
      <c r="AB66" s="96"/>
      <c r="AC66" s="89"/>
    </row>
    <row r="67" customFormat="false" ht="15" hidden="false" customHeight="true" outlineLevel="0" collapsed="false">
      <c r="A67" s="90"/>
      <c r="B67" s="99"/>
      <c r="C67" s="101"/>
      <c r="D67" s="101"/>
      <c r="E67" s="101"/>
      <c r="F67" s="101"/>
      <c r="G67" s="101"/>
      <c r="H67" s="101"/>
      <c r="I67" s="101"/>
      <c r="J67" s="101"/>
      <c r="K67" s="101"/>
      <c r="L67" s="101"/>
      <c r="M67" s="101"/>
      <c r="N67" s="101"/>
      <c r="O67" s="101"/>
      <c r="P67" s="101"/>
      <c r="Q67" s="101"/>
      <c r="R67" s="101"/>
      <c r="S67" s="101"/>
      <c r="T67" s="101"/>
      <c r="U67" s="101"/>
      <c r="V67" s="101"/>
      <c r="W67" s="101"/>
      <c r="X67" s="101"/>
      <c r="Y67" s="101"/>
      <c r="Z67" s="101"/>
      <c r="AA67" s="91"/>
      <c r="AB67" s="96"/>
      <c r="AC67" s="89"/>
    </row>
    <row r="68" customFormat="false" ht="15" hidden="false" customHeight="true" outlineLevel="0" collapsed="false">
      <c r="A68" s="90"/>
      <c r="B68" s="99"/>
      <c r="C68" s="101"/>
      <c r="D68" s="101"/>
      <c r="E68" s="101"/>
      <c r="F68" s="101"/>
      <c r="G68" s="101"/>
      <c r="H68" s="101"/>
      <c r="I68" s="101"/>
      <c r="J68" s="101"/>
      <c r="K68" s="101"/>
      <c r="L68" s="101"/>
      <c r="M68" s="101"/>
      <c r="N68" s="101"/>
      <c r="O68" s="101"/>
      <c r="P68" s="101"/>
      <c r="Q68" s="101"/>
      <c r="R68" s="101"/>
      <c r="S68" s="101"/>
      <c r="T68" s="101"/>
      <c r="U68" s="101"/>
      <c r="V68" s="101"/>
      <c r="W68" s="101"/>
      <c r="X68" s="101"/>
      <c r="Y68" s="101"/>
      <c r="Z68" s="101"/>
      <c r="AA68" s="91"/>
      <c r="AB68" s="96"/>
      <c r="AC68" s="89"/>
    </row>
    <row r="69" customFormat="false" ht="15" hidden="false" customHeight="true" outlineLevel="0" collapsed="false">
      <c r="A69" s="90"/>
      <c r="B69" s="99"/>
      <c r="C69" s="101"/>
      <c r="D69" s="101"/>
      <c r="E69" s="101"/>
      <c r="F69" s="101"/>
      <c r="G69" s="101"/>
      <c r="H69" s="101"/>
      <c r="I69" s="101"/>
      <c r="J69" s="101"/>
      <c r="K69" s="101"/>
      <c r="L69" s="101"/>
      <c r="M69" s="101"/>
      <c r="N69" s="101"/>
      <c r="O69" s="101"/>
      <c r="P69" s="101"/>
      <c r="Q69" s="101"/>
      <c r="R69" s="101"/>
      <c r="S69" s="101"/>
      <c r="T69" s="101"/>
      <c r="U69" s="101"/>
      <c r="V69" s="101"/>
      <c r="W69" s="101"/>
      <c r="X69" s="101"/>
      <c r="Y69" s="101"/>
      <c r="Z69" s="101"/>
      <c r="AA69" s="91"/>
      <c r="AB69" s="96"/>
      <c r="AC69" s="89"/>
    </row>
    <row r="70" customFormat="false" ht="15" hidden="false" customHeight="true" outlineLevel="0" collapsed="false">
      <c r="A70" s="90"/>
      <c r="B70" s="99"/>
      <c r="C70" s="101"/>
      <c r="D70" s="101"/>
      <c r="E70" s="101"/>
      <c r="F70" s="101"/>
      <c r="G70" s="101"/>
      <c r="H70" s="101"/>
      <c r="I70" s="101"/>
      <c r="J70" s="101"/>
      <c r="K70" s="101"/>
      <c r="L70" s="101"/>
      <c r="M70" s="101"/>
      <c r="N70" s="101"/>
      <c r="O70" s="101"/>
      <c r="P70" s="101"/>
      <c r="Q70" s="101"/>
      <c r="R70" s="101"/>
      <c r="S70" s="101"/>
      <c r="T70" s="101"/>
      <c r="U70" s="101"/>
      <c r="V70" s="101"/>
      <c r="W70" s="101"/>
      <c r="X70" s="101"/>
      <c r="Y70" s="101"/>
      <c r="Z70" s="101"/>
      <c r="AA70" s="91"/>
      <c r="AB70" s="96"/>
      <c r="AC70" s="89"/>
    </row>
    <row r="71" customFormat="false" ht="15" hidden="false" customHeight="true" outlineLevel="0" collapsed="false">
      <c r="A71" s="90"/>
      <c r="B71" s="99"/>
      <c r="C71" s="101"/>
      <c r="D71" s="101"/>
      <c r="E71" s="101"/>
      <c r="F71" s="101"/>
      <c r="G71" s="101"/>
      <c r="H71" s="101"/>
      <c r="I71" s="101"/>
      <c r="J71" s="101"/>
      <c r="K71" s="101"/>
      <c r="L71" s="101"/>
      <c r="M71" s="101"/>
      <c r="N71" s="101"/>
      <c r="O71" s="101"/>
      <c r="P71" s="101"/>
      <c r="Q71" s="101"/>
      <c r="R71" s="101"/>
      <c r="S71" s="101"/>
      <c r="T71" s="101"/>
      <c r="U71" s="101"/>
      <c r="V71" s="101"/>
      <c r="W71" s="101"/>
      <c r="X71" s="101"/>
      <c r="Y71" s="101"/>
      <c r="Z71" s="101"/>
      <c r="AA71" s="91"/>
      <c r="AB71" s="96"/>
      <c r="AC71" s="89"/>
    </row>
    <row r="72" customFormat="false" ht="13.5" hidden="false" customHeight="true" outlineLevel="0" collapsed="false">
      <c r="A72" s="90"/>
      <c r="B72" s="99"/>
      <c r="C72" s="101"/>
      <c r="D72" s="101"/>
      <c r="E72" s="101"/>
      <c r="F72" s="101"/>
      <c r="G72" s="101"/>
      <c r="H72" s="101"/>
      <c r="I72" s="101"/>
      <c r="J72" s="101"/>
      <c r="K72" s="101"/>
      <c r="L72" s="101"/>
      <c r="M72" s="101"/>
      <c r="N72" s="101"/>
      <c r="O72" s="101"/>
      <c r="P72" s="101"/>
      <c r="Q72" s="101"/>
      <c r="R72" s="101"/>
      <c r="S72" s="101"/>
      <c r="T72" s="101"/>
      <c r="U72" s="101"/>
      <c r="V72" s="101"/>
      <c r="W72" s="101"/>
      <c r="X72" s="101"/>
      <c r="Y72" s="101"/>
      <c r="Z72" s="101"/>
      <c r="AA72" s="91"/>
      <c r="AB72" s="96"/>
      <c r="AC72" s="89"/>
    </row>
    <row r="73" customFormat="false" ht="15" hidden="false" customHeight="false" outlineLevel="0" collapsed="false">
      <c r="A73" s="90"/>
      <c r="B73" s="103"/>
      <c r="D73" s="48"/>
      <c r="E73" s="48"/>
      <c r="G73" s="48"/>
      <c r="H73" s="48"/>
      <c r="I73" s="48"/>
      <c r="J73" s="48"/>
      <c r="K73" s="48"/>
      <c r="L73" s="48"/>
      <c r="M73" s="48"/>
      <c r="N73" s="48"/>
      <c r="O73" s="48"/>
      <c r="P73" s="48"/>
      <c r="Q73" s="48"/>
      <c r="R73" s="48"/>
      <c r="S73" s="48"/>
      <c r="T73" s="48"/>
      <c r="U73" s="48"/>
      <c r="V73" s="48"/>
      <c r="W73" s="48"/>
      <c r="X73" s="48"/>
      <c r="Y73" s="48"/>
      <c r="Z73" s="48"/>
      <c r="AA73" s="91"/>
      <c r="AB73" s="96"/>
      <c r="AC73" s="89"/>
    </row>
    <row r="74" customFormat="false" ht="17.25" hidden="false" customHeight="true" outlineLevel="0" collapsed="false">
      <c r="A74" s="104"/>
      <c r="B74" s="105"/>
      <c r="C74" s="106"/>
      <c r="D74" s="107"/>
      <c r="E74" s="107"/>
      <c r="F74" s="106"/>
      <c r="G74" s="107"/>
      <c r="H74" s="107"/>
      <c r="I74" s="107"/>
      <c r="J74" s="107"/>
      <c r="K74" s="107"/>
      <c r="L74" s="107"/>
      <c r="M74" s="107"/>
      <c r="N74" s="107"/>
      <c r="O74" s="107"/>
      <c r="P74" s="107"/>
      <c r="Q74" s="107"/>
      <c r="R74" s="107"/>
      <c r="S74" s="107"/>
      <c r="T74" s="107"/>
      <c r="U74" s="107"/>
      <c r="V74" s="107"/>
      <c r="W74" s="107"/>
      <c r="X74" s="107"/>
      <c r="Y74" s="107"/>
      <c r="Z74" s="107"/>
      <c r="AA74" s="105"/>
      <c r="AB74" s="108"/>
      <c r="AC74" s="89"/>
    </row>
    <row r="75" customFormat="false" ht="15" hidden="true" customHeight="false" outlineLevel="0" collapsed="false">
      <c r="A75" s="109" t="n">
        <f aca="false">TRUE()</f>
        <v>1</v>
      </c>
      <c r="B75" s="106"/>
      <c r="AA75" s="106"/>
      <c r="AB75" s="110"/>
    </row>
    <row r="76" customFormat="false" ht="15" hidden="true" customHeight="false" outlineLevel="0" collapsed="false">
      <c r="A76" s="111"/>
      <c r="B76" s="106"/>
      <c r="AA76" s="22"/>
      <c r="AB76" s="22"/>
    </row>
    <row r="77" customFormat="false" ht="15" hidden="true" customHeight="false" outlineLevel="0" collapsed="false">
      <c r="A77" s="22"/>
      <c r="AA77" s="22"/>
      <c r="AB77" s="22"/>
    </row>
    <row r="78" customFormat="false" ht="15" hidden="true" customHeight="false" outlineLevel="0" collapsed="false">
      <c r="A78" s="22"/>
      <c r="AA78" s="22"/>
      <c r="AB78" s="22"/>
    </row>
    <row r="79" customFormat="false" ht="15" hidden="true" customHeight="false" outlineLevel="0" collapsed="false">
      <c r="A79" s="22"/>
      <c r="AA79" s="22"/>
      <c r="AB79" s="22"/>
    </row>
    <row r="80" customFormat="false" ht="15" hidden="true" customHeight="false" outlineLevel="0" collapsed="false">
      <c r="A80" s="22"/>
      <c r="AA80" s="22"/>
      <c r="AB80" s="22"/>
    </row>
    <row r="81" customFormat="false" ht="15" hidden="true" customHeight="false" outlineLevel="0" collapsed="false">
      <c r="A81" s="22"/>
      <c r="AA81" s="22"/>
      <c r="AB81" s="22"/>
    </row>
    <row r="82" customFormat="false" ht="15" hidden="true" customHeight="false" outlineLevel="0" collapsed="false">
      <c r="A82" s="22"/>
      <c r="AA82" s="22"/>
      <c r="AB82" s="22"/>
    </row>
    <row r="83" customFormat="false" ht="15" hidden="true" customHeight="false" outlineLevel="0" collapsed="false">
      <c r="A83" s="22"/>
      <c r="AA83" s="22"/>
      <c r="AB83" s="22"/>
    </row>
    <row r="84" customFormat="false" ht="15" hidden="true" customHeight="false" outlineLevel="0" collapsed="false">
      <c r="A84" s="22"/>
      <c r="AA84" s="22"/>
      <c r="AB84" s="22"/>
    </row>
    <row r="85" customFormat="false" ht="15" hidden="true" customHeight="false" outlineLevel="0" collapsed="false">
      <c r="A85" s="22"/>
      <c r="AA85" s="22"/>
      <c r="AB85" s="22"/>
    </row>
    <row r="86" customFormat="false" ht="15" hidden="true" customHeight="false" outlineLevel="0" collapsed="false">
      <c r="A86" s="22"/>
      <c r="AA86" s="22"/>
      <c r="AB86" s="22"/>
    </row>
    <row r="184" customFormat="false" ht="15" hidden="false" customHeight="false" outlineLevel="0" collapsed="false"/>
  </sheetData>
  <mergeCells count="2">
    <mergeCell ref="A1:AB1"/>
    <mergeCell ref="C3:Z4"/>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2" manualBreakCount="2">
    <brk id="18" man="true" max="16383" min="0"/>
    <brk id="47" man="true" max="16383" min="0"/>
  </rowBreaks>
  <drawing r:id="rId1"/>
</worksheet>
</file>

<file path=xl/worksheets/sheet4.xml><?xml version="1.0" encoding="utf-8"?>
<worksheet xmlns="http://schemas.openxmlformats.org/spreadsheetml/2006/main" xmlns:r="http://schemas.openxmlformats.org/officeDocument/2006/relationships">
  <sheetPr filterMode="false">
    <tabColor rgb="FFCC9CCC"/>
    <pageSetUpPr fitToPage="true"/>
  </sheetPr>
  <dimension ref="A1:AC65"/>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O38" activeCellId="0" sqref="O38"/>
    </sheetView>
  </sheetViews>
  <sheetFormatPr defaultRowHeight="15" zeroHeight="true" outlineLevelRow="0" outlineLevelCol="0"/>
  <cols>
    <col collapsed="false" customWidth="true" hidden="false" outlineLevel="0" max="12" min="1" style="4" width="12.57"/>
    <col collapsed="false" customWidth="true" hidden="false" outlineLevel="0" max="29" min="13" style="112" width="12.57"/>
    <col collapsed="false" customWidth="true" hidden="false" outlineLevel="0" max="1025" min="30" style="4" width="12.57"/>
  </cols>
  <sheetData>
    <row r="1" customFormat="false" ht="29.25" hidden="false" customHeight="true" outlineLevel="0" collapsed="false">
      <c r="A1" s="113" t="s">
        <v>88</v>
      </c>
      <c r="B1" s="114"/>
      <c r="C1" s="114"/>
      <c r="D1" s="114"/>
      <c r="E1" s="114"/>
      <c r="F1" s="114"/>
      <c r="G1" s="114"/>
      <c r="H1" s="114"/>
      <c r="I1" s="114"/>
      <c r="J1" s="114"/>
      <c r="K1" s="114"/>
      <c r="L1" s="115" t="s">
        <v>102</v>
      </c>
    </row>
    <row r="2" customFormat="false" ht="13.15" hidden="false" customHeight="true" outlineLevel="0" collapsed="false">
      <c r="A2" s="52"/>
      <c r="B2" s="116"/>
      <c r="C2" s="117"/>
      <c r="D2" s="86"/>
      <c r="E2" s="118"/>
      <c r="F2" s="48"/>
      <c r="G2" s="48"/>
      <c r="H2" s="119"/>
      <c r="I2" s="86"/>
      <c r="J2" s="86"/>
      <c r="K2" s="86"/>
      <c r="L2" s="120"/>
    </row>
    <row r="3" customFormat="false" ht="13.15" hidden="false" customHeight="true" outlineLevel="0" collapsed="false">
      <c r="A3" s="52" t="s">
        <v>103</v>
      </c>
      <c r="B3" s="116"/>
      <c r="C3" s="48"/>
      <c r="D3" s="67" t="str">
        <f aca="false">'Reference sheet'!C12</f>
        <v>TEST</v>
      </c>
      <c r="E3" s="118"/>
      <c r="F3" s="48"/>
      <c r="G3" s="121" t="s">
        <v>49</v>
      </c>
      <c r="H3" s="122" t="str">
        <f aca="false">'Reference sheet'!C17</f>
        <v>July</v>
      </c>
      <c r="I3" s="123" t="n">
        <f aca="false">'Reference sheet'!D17</f>
        <v>2018</v>
      </c>
      <c r="J3" s="121" t="s">
        <v>46</v>
      </c>
      <c r="K3" s="121"/>
      <c r="L3" s="124" t="n">
        <f aca="false">'Reference sheet'!C15</f>
        <v>1</v>
      </c>
      <c r="M3" s="125"/>
    </row>
    <row r="4" customFormat="false" ht="13.15" hidden="false" customHeight="true" outlineLevel="0" collapsed="false">
      <c r="A4" s="82"/>
      <c r="B4" s="126"/>
      <c r="C4" s="107"/>
      <c r="D4" s="107"/>
      <c r="E4" s="107"/>
      <c r="F4" s="107"/>
      <c r="G4" s="127"/>
      <c r="H4" s="107"/>
      <c r="I4" s="107"/>
      <c r="J4" s="107"/>
      <c r="K4" s="107"/>
      <c r="L4" s="128"/>
    </row>
    <row r="5" customFormat="false" ht="15" hidden="false" customHeight="false" outlineLevel="0" collapsed="false">
      <c r="A5" s="48"/>
      <c r="B5" s="129"/>
      <c r="C5" s="48"/>
      <c r="D5" s="48"/>
      <c r="E5" s="48"/>
      <c r="F5" s="48"/>
      <c r="G5" s="130"/>
      <c r="H5" s="48"/>
      <c r="I5" s="48"/>
      <c r="J5" s="48"/>
      <c r="K5" s="48"/>
      <c r="L5" s="129"/>
    </row>
    <row r="6" customFormat="false" ht="15" hidden="false" customHeight="false" outlineLevel="0" collapsed="false">
      <c r="A6" s="131" t="s">
        <v>104</v>
      </c>
      <c r="B6" s="132"/>
      <c r="C6" s="132"/>
      <c r="D6" s="132"/>
      <c r="E6" s="132"/>
      <c r="F6" s="132"/>
      <c r="G6" s="132"/>
      <c r="H6" s="132"/>
      <c r="I6" s="132"/>
      <c r="J6" s="132"/>
      <c r="K6" s="132"/>
      <c r="L6" s="133"/>
    </row>
    <row r="7" s="87" customFormat="true" ht="15" hidden="false" customHeight="false" outlineLevel="0" collapsed="false">
      <c r="A7" s="134"/>
      <c r="B7" s="86"/>
      <c r="C7" s="86"/>
      <c r="D7" s="86"/>
      <c r="E7" s="86"/>
      <c r="F7" s="86"/>
      <c r="G7" s="86"/>
      <c r="H7" s="86"/>
      <c r="I7" s="86"/>
      <c r="J7" s="86"/>
      <c r="K7" s="86"/>
      <c r="L7" s="80"/>
      <c r="M7" s="112"/>
      <c r="N7" s="112"/>
      <c r="O7" s="112"/>
      <c r="P7" s="112"/>
      <c r="Q7" s="112"/>
      <c r="R7" s="112"/>
      <c r="S7" s="112"/>
      <c r="T7" s="112"/>
      <c r="U7" s="112"/>
      <c r="V7" s="112"/>
      <c r="W7" s="112"/>
      <c r="X7" s="112"/>
      <c r="Y7" s="112"/>
      <c r="Z7" s="112"/>
      <c r="AA7" s="112"/>
      <c r="AB7" s="112"/>
      <c r="AC7" s="112"/>
    </row>
    <row r="8" s="87" customFormat="true" ht="15" hidden="false" customHeight="false" outlineLevel="0" collapsed="false">
      <c r="A8" s="134"/>
      <c r="B8" s="86"/>
      <c r="C8" s="86"/>
      <c r="D8" s="86"/>
      <c r="E8" s="86"/>
      <c r="F8" s="86"/>
      <c r="G8" s="86"/>
      <c r="H8" s="86"/>
      <c r="I8" s="86"/>
      <c r="J8" s="86"/>
      <c r="K8" s="86"/>
      <c r="L8" s="80"/>
      <c r="M8" s="112"/>
      <c r="N8" s="112"/>
      <c r="O8" s="112"/>
      <c r="P8" s="112"/>
      <c r="Q8" s="112"/>
      <c r="R8" s="112"/>
      <c r="S8" s="112"/>
      <c r="T8" s="112"/>
      <c r="U8" s="112"/>
      <c r="V8" s="112"/>
      <c r="W8" s="112"/>
      <c r="X8" s="112"/>
      <c r="Y8" s="112"/>
      <c r="Z8" s="112"/>
      <c r="AA8" s="112"/>
      <c r="AB8" s="112"/>
      <c r="AC8" s="112"/>
    </row>
    <row r="9" s="87" customFormat="true" ht="15" hidden="false" customHeight="false" outlineLevel="0" collapsed="false">
      <c r="A9" s="134"/>
      <c r="B9" s="86"/>
      <c r="C9" s="86"/>
      <c r="D9" s="86"/>
      <c r="E9" s="86"/>
      <c r="F9" s="86"/>
      <c r="G9" s="86"/>
      <c r="H9" s="86"/>
      <c r="I9" s="86"/>
      <c r="J9" s="86"/>
      <c r="K9" s="86"/>
      <c r="L9" s="80"/>
      <c r="M9" s="112"/>
      <c r="N9" s="112"/>
      <c r="O9" s="112"/>
      <c r="P9" s="112"/>
      <c r="Q9" s="112"/>
      <c r="R9" s="112"/>
      <c r="S9" s="112"/>
      <c r="T9" s="112"/>
      <c r="U9" s="112"/>
      <c r="V9" s="112"/>
      <c r="W9" s="112"/>
      <c r="X9" s="112"/>
      <c r="Y9" s="112"/>
      <c r="Z9" s="112"/>
      <c r="AA9" s="112"/>
      <c r="AB9" s="112"/>
      <c r="AC9" s="112"/>
    </row>
    <row r="10" s="87" customFormat="true" ht="15" hidden="false" customHeight="false" outlineLevel="0" collapsed="false">
      <c r="A10" s="134"/>
      <c r="B10" s="86"/>
      <c r="C10" s="86"/>
      <c r="D10" s="86"/>
      <c r="E10" s="86"/>
      <c r="F10" s="86"/>
      <c r="G10" s="86"/>
      <c r="H10" s="86"/>
      <c r="I10" s="86"/>
      <c r="J10" s="86"/>
      <c r="K10" s="86"/>
      <c r="L10" s="80"/>
      <c r="M10" s="112"/>
      <c r="N10" s="112"/>
      <c r="O10" s="112"/>
      <c r="P10" s="112"/>
      <c r="Q10" s="112"/>
      <c r="R10" s="112"/>
      <c r="S10" s="112"/>
      <c r="T10" s="112"/>
      <c r="U10" s="112"/>
      <c r="V10" s="112"/>
      <c r="W10" s="112"/>
      <c r="X10" s="112"/>
      <c r="Y10" s="112"/>
      <c r="Z10" s="112"/>
      <c r="AA10" s="112"/>
      <c r="AB10" s="112"/>
      <c r="AC10" s="112"/>
    </row>
    <row r="11" s="87" customFormat="true" ht="15" hidden="false" customHeight="false" outlineLevel="0" collapsed="false">
      <c r="A11" s="134"/>
      <c r="B11" s="86"/>
      <c r="C11" s="86"/>
      <c r="D11" s="86"/>
      <c r="E11" s="86"/>
      <c r="F11" s="86"/>
      <c r="G11" s="86"/>
      <c r="H11" s="86"/>
      <c r="I11" s="86"/>
      <c r="J11" s="86"/>
      <c r="K11" s="86"/>
      <c r="L11" s="80"/>
      <c r="M11" s="112"/>
      <c r="N11" s="112"/>
      <c r="O11" s="112"/>
      <c r="P11" s="112"/>
      <c r="Q11" s="112"/>
      <c r="R11" s="112"/>
      <c r="S11" s="112"/>
      <c r="T11" s="112"/>
      <c r="U11" s="112"/>
      <c r="V11" s="112"/>
      <c r="W11" s="112"/>
      <c r="X11" s="112"/>
      <c r="Y11" s="112"/>
      <c r="Z11" s="112"/>
      <c r="AA11" s="112"/>
      <c r="AB11" s="112"/>
      <c r="AC11" s="112"/>
    </row>
    <row r="12" s="87" customFormat="true" ht="15" hidden="false" customHeight="false" outlineLevel="0" collapsed="false">
      <c r="A12" s="134"/>
      <c r="B12" s="86"/>
      <c r="C12" s="86"/>
      <c r="D12" s="86"/>
      <c r="E12" s="86"/>
      <c r="F12" s="86"/>
      <c r="G12" s="86"/>
      <c r="H12" s="86"/>
      <c r="I12" s="86"/>
      <c r="J12" s="86"/>
      <c r="K12" s="86"/>
      <c r="L12" s="80"/>
      <c r="M12" s="112"/>
      <c r="N12" s="112"/>
      <c r="O12" s="112"/>
      <c r="P12" s="112"/>
      <c r="Q12" s="112"/>
      <c r="R12" s="112"/>
      <c r="S12" s="112"/>
      <c r="T12" s="112"/>
      <c r="U12" s="112"/>
      <c r="V12" s="112"/>
      <c r="W12" s="112"/>
      <c r="X12" s="112"/>
      <c r="Y12" s="112"/>
      <c r="Z12" s="112"/>
      <c r="AA12" s="112"/>
      <c r="AB12" s="112"/>
      <c r="AC12" s="112"/>
    </row>
    <row r="13" s="87" customFormat="true" ht="15" hidden="false" customHeight="false" outlineLevel="0" collapsed="false">
      <c r="A13" s="134"/>
      <c r="B13" s="86"/>
      <c r="C13" s="86"/>
      <c r="D13" s="86"/>
      <c r="E13" s="86"/>
      <c r="F13" s="86"/>
      <c r="G13" s="86"/>
      <c r="H13" s="86"/>
      <c r="I13" s="86"/>
      <c r="J13" s="86"/>
      <c r="K13" s="86"/>
      <c r="L13" s="80"/>
      <c r="M13" s="112"/>
      <c r="N13" s="112"/>
      <c r="O13" s="112"/>
      <c r="P13" s="112"/>
      <c r="Q13" s="112"/>
      <c r="R13" s="112"/>
      <c r="S13" s="112"/>
      <c r="T13" s="112"/>
      <c r="U13" s="112"/>
      <c r="V13" s="112"/>
      <c r="W13" s="112"/>
      <c r="X13" s="112"/>
      <c r="Y13" s="112"/>
      <c r="Z13" s="112"/>
      <c r="AA13" s="112"/>
      <c r="AB13" s="112"/>
      <c r="AC13" s="112"/>
    </row>
    <row r="14" s="87" customFormat="true" ht="15" hidden="false" customHeight="false" outlineLevel="0" collapsed="false">
      <c r="A14" s="134"/>
      <c r="B14" s="86"/>
      <c r="C14" s="86"/>
      <c r="D14" s="86"/>
      <c r="E14" s="86"/>
      <c r="F14" s="86"/>
      <c r="G14" s="86"/>
      <c r="H14" s="86"/>
      <c r="I14" s="86"/>
      <c r="J14" s="86"/>
      <c r="K14" s="86"/>
      <c r="L14" s="80"/>
      <c r="M14" s="112"/>
      <c r="N14" s="112"/>
      <c r="O14" s="112"/>
      <c r="P14" s="112"/>
      <c r="Q14" s="112"/>
      <c r="R14" s="112"/>
      <c r="S14" s="112"/>
      <c r="T14" s="112"/>
      <c r="U14" s="112"/>
      <c r="V14" s="112"/>
      <c r="W14" s="112"/>
      <c r="X14" s="112"/>
      <c r="Y14" s="112"/>
      <c r="Z14" s="112"/>
      <c r="AA14" s="112"/>
      <c r="AB14" s="112"/>
      <c r="AC14" s="112"/>
    </row>
    <row r="15" s="87" customFormat="true" ht="15" hidden="false" customHeight="false" outlineLevel="0" collapsed="false">
      <c r="A15" s="134"/>
      <c r="B15" s="86"/>
      <c r="C15" s="86"/>
      <c r="D15" s="86"/>
      <c r="E15" s="86"/>
      <c r="F15" s="86"/>
      <c r="G15" s="86"/>
      <c r="H15" s="86"/>
      <c r="I15" s="86"/>
      <c r="J15" s="86"/>
      <c r="K15" s="86"/>
      <c r="L15" s="80"/>
      <c r="M15" s="112"/>
      <c r="N15" s="112"/>
      <c r="O15" s="112"/>
      <c r="P15" s="112"/>
      <c r="Q15" s="112"/>
      <c r="R15" s="112"/>
      <c r="S15" s="112"/>
      <c r="T15" s="112"/>
      <c r="U15" s="112"/>
      <c r="V15" s="112"/>
      <c r="W15" s="112"/>
      <c r="X15" s="112"/>
      <c r="Y15" s="112"/>
      <c r="Z15" s="112"/>
      <c r="AA15" s="112"/>
      <c r="AB15" s="112"/>
      <c r="AC15" s="112"/>
    </row>
    <row r="16" s="87" customFormat="true" ht="15" hidden="false" customHeight="false" outlineLevel="0" collapsed="false">
      <c r="A16" s="134"/>
      <c r="B16" s="86"/>
      <c r="C16" s="86"/>
      <c r="D16" s="86"/>
      <c r="E16" s="86"/>
      <c r="F16" s="86"/>
      <c r="G16" s="86"/>
      <c r="H16" s="86"/>
      <c r="I16" s="86"/>
      <c r="J16" s="86"/>
      <c r="K16" s="86"/>
      <c r="L16" s="80"/>
      <c r="M16" s="112"/>
      <c r="N16" s="112"/>
      <c r="O16" s="112"/>
      <c r="P16" s="112"/>
      <c r="Q16" s="112"/>
      <c r="R16" s="112"/>
      <c r="S16" s="112"/>
      <c r="T16" s="112"/>
      <c r="U16" s="112"/>
      <c r="V16" s="112"/>
      <c r="W16" s="112"/>
      <c r="X16" s="112"/>
      <c r="Y16" s="112"/>
      <c r="Z16" s="112"/>
      <c r="AA16" s="112"/>
      <c r="AB16" s="112"/>
      <c r="AC16" s="112"/>
    </row>
    <row r="17" s="87" customFormat="true" ht="15" hidden="false" customHeight="false" outlineLevel="0" collapsed="false">
      <c r="A17" s="134"/>
      <c r="B17" s="86"/>
      <c r="C17" s="86"/>
      <c r="D17" s="86"/>
      <c r="E17" s="86"/>
      <c r="F17" s="86"/>
      <c r="G17" s="86"/>
      <c r="H17" s="86"/>
      <c r="I17" s="86"/>
      <c r="J17" s="86"/>
      <c r="K17" s="86"/>
      <c r="L17" s="80"/>
      <c r="M17" s="112"/>
      <c r="N17" s="112"/>
      <c r="O17" s="112"/>
      <c r="P17" s="112"/>
      <c r="Q17" s="112"/>
      <c r="R17" s="112"/>
      <c r="S17" s="112"/>
      <c r="T17" s="112"/>
      <c r="U17" s="112"/>
      <c r="V17" s="112"/>
      <c r="W17" s="112"/>
      <c r="X17" s="112"/>
      <c r="Y17" s="112"/>
      <c r="Z17" s="112"/>
      <c r="AA17" s="112"/>
      <c r="AB17" s="112"/>
      <c r="AC17" s="112"/>
    </row>
    <row r="18" s="87" customFormat="true" ht="15" hidden="false" customHeight="false" outlineLevel="0" collapsed="false">
      <c r="A18" s="134"/>
      <c r="B18" s="86"/>
      <c r="C18" s="86"/>
      <c r="D18" s="86"/>
      <c r="E18" s="86"/>
      <c r="F18" s="86"/>
      <c r="G18" s="86"/>
      <c r="H18" s="86"/>
      <c r="I18" s="86"/>
      <c r="J18" s="86"/>
      <c r="K18" s="86"/>
      <c r="L18" s="80"/>
      <c r="M18" s="112"/>
      <c r="N18" s="112"/>
      <c r="O18" s="112"/>
      <c r="P18" s="112"/>
      <c r="Q18" s="112"/>
      <c r="R18" s="112"/>
      <c r="S18" s="112"/>
      <c r="T18" s="112"/>
      <c r="U18" s="112"/>
      <c r="V18" s="112"/>
      <c r="W18" s="112"/>
      <c r="X18" s="112"/>
      <c r="Y18" s="112"/>
      <c r="Z18" s="112"/>
      <c r="AA18" s="112"/>
      <c r="AB18" s="112"/>
      <c r="AC18" s="112"/>
    </row>
    <row r="19" s="87" customFormat="true" ht="15" hidden="false" customHeight="false" outlineLevel="0" collapsed="false">
      <c r="A19" s="134"/>
      <c r="B19" s="86"/>
      <c r="C19" s="86"/>
      <c r="D19" s="86"/>
      <c r="E19" s="86"/>
      <c r="F19" s="86"/>
      <c r="G19" s="86"/>
      <c r="H19" s="86"/>
      <c r="I19" s="86"/>
      <c r="J19" s="86"/>
      <c r="K19" s="86"/>
      <c r="L19" s="80"/>
      <c r="M19" s="112"/>
      <c r="N19" s="112"/>
      <c r="O19" s="112"/>
      <c r="P19" s="112"/>
      <c r="Q19" s="112"/>
      <c r="R19" s="112"/>
      <c r="S19" s="112"/>
      <c r="T19" s="112"/>
      <c r="U19" s="112"/>
      <c r="V19" s="112"/>
      <c r="W19" s="112"/>
      <c r="X19" s="112"/>
      <c r="Y19" s="112"/>
      <c r="Z19" s="112"/>
      <c r="AA19" s="112"/>
      <c r="AB19" s="112"/>
      <c r="AC19" s="112"/>
    </row>
    <row r="20" s="87" customFormat="true" ht="15" hidden="false" customHeight="false" outlineLevel="0" collapsed="false">
      <c r="A20" s="134"/>
      <c r="B20" s="86"/>
      <c r="C20" s="86"/>
      <c r="D20" s="86"/>
      <c r="E20" s="86"/>
      <c r="F20" s="86"/>
      <c r="G20" s="86"/>
      <c r="H20" s="86"/>
      <c r="I20" s="86"/>
      <c r="J20" s="86"/>
      <c r="K20" s="86"/>
      <c r="L20" s="80"/>
      <c r="M20" s="112"/>
      <c r="N20" s="112"/>
      <c r="O20" s="112"/>
      <c r="P20" s="112"/>
      <c r="Q20" s="112"/>
      <c r="R20" s="112"/>
      <c r="S20" s="112"/>
      <c r="T20" s="112"/>
      <c r="U20" s="112"/>
      <c r="V20" s="112"/>
      <c r="W20" s="112"/>
      <c r="X20" s="112"/>
      <c r="Y20" s="112"/>
      <c r="Z20" s="112"/>
      <c r="AA20" s="112"/>
      <c r="AB20" s="112"/>
      <c r="AC20" s="112"/>
    </row>
    <row r="21" s="87" customFormat="true" ht="15" hidden="false" customHeight="false" outlineLevel="0" collapsed="false">
      <c r="A21" s="134"/>
      <c r="B21" s="86"/>
      <c r="C21" s="86"/>
      <c r="D21" s="86"/>
      <c r="E21" s="86"/>
      <c r="F21" s="86"/>
      <c r="G21" s="86"/>
      <c r="H21" s="86"/>
      <c r="I21" s="86"/>
      <c r="J21" s="86"/>
      <c r="K21" s="86"/>
      <c r="L21" s="80"/>
      <c r="M21" s="112"/>
      <c r="N21" s="112"/>
      <c r="O21" s="112"/>
      <c r="P21" s="112"/>
      <c r="Q21" s="112"/>
      <c r="R21" s="112"/>
      <c r="S21" s="112"/>
      <c r="T21" s="112"/>
      <c r="U21" s="112"/>
      <c r="V21" s="112"/>
      <c r="W21" s="112"/>
      <c r="X21" s="112"/>
      <c r="Y21" s="112"/>
      <c r="Z21" s="112"/>
      <c r="AA21" s="112"/>
      <c r="AB21" s="112"/>
      <c r="AC21" s="112"/>
    </row>
    <row r="22" s="87" customFormat="true" ht="15" hidden="false" customHeight="false" outlineLevel="0" collapsed="false">
      <c r="A22" s="134"/>
      <c r="B22" s="86"/>
      <c r="C22" s="86"/>
      <c r="D22" s="86"/>
      <c r="E22" s="86"/>
      <c r="F22" s="86"/>
      <c r="G22" s="86"/>
      <c r="H22" s="86"/>
      <c r="I22" s="86"/>
      <c r="J22" s="86"/>
      <c r="K22" s="86"/>
      <c r="L22" s="80"/>
      <c r="M22" s="112"/>
      <c r="N22" s="112"/>
      <c r="O22" s="112"/>
      <c r="P22" s="112"/>
      <c r="Q22" s="112"/>
      <c r="R22" s="112"/>
      <c r="S22" s="112"/>
      <c r="T22" s="112"/>
      <c r="U22" s="112"/>
      <c r="V22" s="112"/>
      <c r="W22" s="112"/>
      <c r="X22" s="112"/>
      <c r="Y22" s="112"/>
      <c r="Z22" s="112"/>
      <c r="AA22" s="112"/>
      <c r="AB22" s="112"/>
      <c r="AC22" s="112"/>
    </row>
    <row r="23" s="87" customFormat="true" ht="15" hidden="false" customHeight="false" outlineLevel="0" collapsed="false">
      <c r="A23" s="134"/>
      <c r="B23" s="86"/>
      <c r="C23" s="86"/>
      <c r="D23" s="86"/>
      <c r="E23" s="86"/>
      <c r="F23" s="86"/>
      <c r="G23" s="86"/>
      <c r="H23" s="86"/>
      <c r="I23" s="86"/>
      <c r="J23" s="86"/>
      <c r="K23" s="86"/>
      <c r="L23" s="80"/>
      <c r="M23" s="112"/>
      <c r="N23" s="112"/>
      <c r="O23" s="112"/>
      <c r="P23" s="112"/>
      <c r="Q23" s="112"/>
      <c r="R23" s="112"/>
      <c r="S23" s="112"/>
      <c r="T23" s="112"/>
      <c r="U23" s="112"/>
      <c r="V23" s="112"/>
      <c r="W23" s="112"/>
      <c r="X23" s="112"/>
      <c r="Y23" s="112"/>
      <c r="Z23" s="112"/>
      <c r="AA23" s="112"/>
      <c r="AB23" s="112"/>
      <c r="AC23" s="112"/>
    </row>
    <row r="24" s="87" customFormat="true" ht="15" hidden="false" customHeight="false" outlineLevel="0" collapsed="false">
      <c r="A24" s="134"/>
      <c r="B24" s="86"/>
      <c r="C24" s="86"/>
      <c r="D24" s="86"/>
      <c r="E24" s="86"/>
      <c r="F24" s="86"/>
      <c r="G24" s="86"/>
      <c r="H24" s="86"/>
      <c r="I24" s="86"/>
      <c r="J24" s="86"/>
      <c r="K24" s="86"/>
      <c r="L24" s="80"/>
      <c r="M24" s="112"/>
      <c r="N24" s="112"/>
      <c r="O24" s="112"/>
      <c r="P24" s="112"/>
      <c r="Q24" s="112"/>
      <c r="R24" s="112"/>
      <c r="S24" s="112"/>
      <c r="T24" s="112"/>
      <c r="U24" s="112"/>
      <c r="V24" s="112"/>
      <c r="W24" s="112"/>
      <c r="X24" s="112"/>
      <c r="Y24" s="112"/>
      <c r="Z24" s="112"/>
      <c r="AA24" s="112"/>
      <c r="AB24" s="112"/>
      <c r="AC24" s="112"/>
    </row>
    <row r="25" s="87" customFormat="true" ht="15" hidden="false" customHeight="false" outlineLevel="0" collapsed="false">
      <c r="A25" s="134"/>
      <c r="B25" s="86"/>
      <c r="C25" s="86"/>
      <c r="D25" s="86"/>
      <c r="E25" s="86"/>
      <c r="F25" s="86"/>
      <c r="G25" s="86"/>
      <c r="H25" s="86"/>
      <c r="I25" s="86"/>
      <c r="J25" s="86"/>
      <c r="K25" s="86"/>
      <c r="L25" s="80"/>
      <c r="M25" s="112"/>
      <c r="N25" s="112"/>
      <c r="O25" s="112"/>
      <c r="P25" s="112"/>
      <c r="Q25" s="112"/>
      <c r="R25" s="112"/>
      <c r="S25" s="112"/>
      <c r="T25" s="112"/>
      <c r="U25" s="112"/>
      <c r="V25" s="112"/>
      <c r="W25" s="112"/>
      <c r="X25" s="112"/>
      <c r="Y25" s="112"/>
      <c r="Z25" s="112"/>
      <c r="AA25" s="112"/>
      <c r="AB25" s="112"/>
      <c r="AC25" s="112"/>
    </row>
    <row r="26" s="87" customFormat="true" ht="15" hidden="false" customHeight="false" outlineLevel="0" collapsed="false">
      <c r="A26" s="134"/>
      <c r="B26" s="86"/>
      <c r="C26" s="86"/>
      <c r="D26" s="86"/>
      <c r="E26" s="86"/>
      <c r="F26" s="86"/>
      <c r="G26" s="86"/>
      <c r="H26" s="86"/>
      <c r="I26" s="86"/>
      <c r="J26" s="86"/>
      <c r="K26" s="86"/>
      <c r="L26" s="80"/>
      <c r="M26" s="112"/>
      <c r="N26" s="112"/>
      <c r="O26" s="112"/>
      <c r="P26" s="112"/>
      <c r="Q26" s="112"/>
      <c r="R26" s="112"/>
      <c r="S26" s="112"/>
      <c r="T26" s="112"/>
      <c r="U26" s="112"/>
      <c r="V26" s="112"/>
      <c r="W26" s="112"/>
      <c r="X26" s="112"/>
      <c r="Y26" s="112"/>
      <c r="Z26" s="112"/>
      <c r="AA26" s="112"/>
      <c r="AB26" s="112"/>
      <c r="AC26" s="112"/>
    </row>
    <row r="27" s="87" customFormat="true" ht="15" hidden="false" customHeight="false" outlineLevel="0" collapsed="false">
      <c r="A27" s="134"/>
      <c r="B27" s="86"/>
      <c r="C27" s="86"/>
      <c r="D27" s="86"/>
      <c r="E27" s="86"/>
      <c r="F27" s="86"/>
      <c r="G27" s="86"/>
      <c r="H27" s="86"/>
      <c r="I27" s="86"/>
      <c r="J27" s="86"/>
      <c r="K27" s="86"/>
      <c r="L27" s="80"/>
      <c r="M27" s="112"/>
      <c r="N27" s="112"/>
      <c r="O27" s="112"/>
      <c r="P27" s="112"/>
      <c r="Q27" s="112"/>
      <c r="R27" s="112"/>
      <c r="S27" s="112"/>
      <c r="T27" s="112"/>
      <c r="U27" s="112"/>
      <c r="V27" s="112"/>
      <c r="W27" s="112"/>
      <c r="X27" s="112"/>
      <c r="Y27" s="112"/>
      <c r="Z27" s="112"/>
      <c r="AA27" s="112"/>
      <c r="AB27" s="112"/>
      <c r="AC27" s="112"/>
    </row>
    <row r="28" s="87" customFormat="true" ht="15" hidden="false" customHeight="false" outlineLevel="0" collapsed="false">
      <c r="A28" s="134"/>
      <c r="B28" s="86"/>
      <c r="C28" s="86"/>
      <c r="D28" s="86"/>
      <c r="E28" s="86"/>
      <c r="F28" s="86"/>
      <c r="G28" s="86"/>
      <c r="H28" s="86"/>
      <c r="I28" s="86"/>
      <c r="J28" s="86"/>
      <c r="K28" s="86"/>
      <c r="L28" s="80"/>
      <c r="M28" s="112"/>
      <c r="N28" s="112"/>
      <c r="O28" s="112"/>
      <c r="P28" s="112"/>
      <c r="Q28" s="112"/>
      <c r="R28" s="112"/>
      <c r="S28" s="112"/>
      <c r="T28" s="112"/>
      <c r="U28" s="112"/>
      <c r="V28" s="112"/>
      <c r="W28" s="112"/>
      <c r="X28" s="112"/>
      <c r="Y28" s="112"/>
      <c r="Z28" s="112"/>
      <c r="AA28" s="112"/>
      <c r="AB28" s="112"/>
      <c r="AC28" s="112"/>
    </row>
    <row r="29" s="87" customFormat="true" ht="15" hidden="false" customHeight="false" outlineLevel="0" collapsed="false">
      <c r="A29" s="134"/>
      <c r="B29" s="86"/>
      <c r="C29" s="86"/>
      <c r="D29" s="86"/>
      <c r="E29" s="86"/>
      <c r="F29" s="86"/>
      <c r="G29" s="86"/>
      <c r="H29" s="86"/>
      <c r="I29" s="86"/>
      <c r="J29" s="86"/>
      <c r="K29" s="86"/>
      <c r="L29" s="80"/>
      <c r="M29" s="112"/>
      <c r="N29" s="112"/>
      <c r="O29" s="112"/>
      <c r="P29" s="112"/>
      <c r="Q29" s="112"/>
      <c r="R29" s="112"/>
      <c r="S29" s="112"/>
      <c r="T29" s="112"/>
      <c r="U29" s="112"/>
      <c r="V29" s="112"/>
      <c r="W29" s="112"/>
      <c r="X29" s="112"/>
      <c r="Y29" s="112"/>
      <c r="Z29" s="112"/>
      <c r="AA29" s="112"/>
      <c r="AB29" s="112"/>
      <c r="AC29" s="112"/>
    </row>
    <row r="30" s="87" customFormat="true" ht="15" hidden="false" customHeight="false" outlineLevel="0" collapsed="false">
      <c r="A30" s="134"/>
      <c r="B30" s="86"/>
      <c r="C30" s="86"/>
      <c r="D30" s="86"/>
      <c r="E30" s="86"/>
      <c r="F30" s="86"/>
      <c r="G30" s="86"/>
      <c r="H30" s="86"/>
      <c r="I30" s="86"/>
      <c r="J30" s="86"/>
      <c r="K30" s="86"/>
      <c r="L30" s="80"/>
      <c r="M30" s="112"/>
      <c r="N30" s="112"/>
      <c r="O30" s="112"/>
      <c r="P30" s="112"/>
      <c r="Q30" s="112"/>
      <c r="R30" s="112"/>
      <c r="S30" s="112"/>
      <c r="T30" s="112"/>
      <c r="U30" s="112"/>
      <c r="V30" s="112"/>
      <c r="W30" s="112"/>
      <c r="X30" s="112"/>
      <c r="Y30" s="112"/>
      <c r="Z30" s="112"/>
      <c r="AA30" s="112"/>
      <c r="AB30" s="112"/>
      <c r="AC30" s="112"/>
    </row>
    <row r="31" s="87" customFormat="true" ht="15" hidden="false" customHeight="false" outlineLevel="0" collapsed="false">
      <c r="A31" s="134"/>
      <c r="B31" s="86"/>
      <c r="C31" s="86"/>
      <c r="D31" s="86"/>
      <c r="E31" s="86"/>
      <c r="F31" s="86"/>
      <c r="G31" s="86"/>
      <c r="H31" s="86"/>
      <c r="I31" s="86"/>
      <c r="J31" s="86"/>
      <c r="K31" s="86"/>
      <c r="L31" s="80"/>
      <c r="M31" s="112"/>
      <c r="N31" s="112"/>
      <c r="O31" s="112"/>
      <c r="P31" s="112"/>
      <c r="Q31" s="112"/>
      <c r="R31" s="112"/>
      <c r="S31" s="112"/>
      <c r="T31" s="112"/>
      <c r="U31" s="112"/>
      <c r="V31" s="112"/>
      <c r="W31" s="112"/>
      <c r="X31" s="112"/>
      <c r="Y31" s="112"/>
      <c r="Z31" s="112"/>
      <c r="AA31" s="112"/>
      <c r="AB31" s="112"/>
      <c r="AC31" s="112"/>
    </row>
    <row r="32" s="87" customFormat="true" ht="15" hidden="false" customHeight="false" outlineLevel="0" collapsed="false">
      <c r="A32" s="134"/>
      <c r="B32" s="86"/>
      <c r="C32" s="86"/>
      <c r="D32" s="86"/>
      <c r="E32" s="86"/>
      <c r="F32" s="86"/>
      <c r="G32" s="86"/>
      <c r="H32" s="86"/>
      <c r="I32" s="86"/>
      <c r="J32" s="86"/>
      <c r="K32" s="86"/>
      <c r="L32" s="80"/>
      <c r="M32" s="112"/>
      <c r="N32" s="112"/>
      <c r="O32" s="112"/>
      <c r="P32" s="112"/>
      <c r="Q32" s="112"/>
      <c r="R32" s="112"/>
      <c r="S32" s="112"/>
      <c r="T32" s="112"/>
      <c r="U32" s="112"/>
      <c r="V32" s="112"/>
      <c r="W32" s="112"/>
      <c r="X32" s="112"/>
      <c r="Y32" s="112"/>
      <c r="Z32" s="112"/>
      <c r="AA32" s="112"/>
      <c r="AB32" s="112"/>
      <c r="AC32" s="112"/>
    </row>
    <row r="33" s="87" customFormat="true" ht="15" hidden="false" customHeight="false" outlineLevel="0" collapsed="false">
      <c r="A33" s="134"/>
      <c r="B33" s="86"/>
      <c r="C33" s="86"/>
      <c r="D33" s="86"/>
      <c r="E33" s="86"/>
      <c r="F33" s="86"/>
      <c r="G33" s="86"/>
      <c r="H33" s="86"/>
      <c r="I33" s="86"/>
      <c r="J33" s="86"/>
      <c r="K33" s="86"/>
      <c r="L33" s="80"/>
      <c r="M33" s="112"/>
      <c r="N33" s="112"/>
      <c r="O33" s="112"/>
      <c r="P33" s="112"/>
      <c r="Q33" s="112"/>
      <c r="R33" s="112"/>
      <c r="S33" s="112"/>
      <c r="T33" s="112"/>
      <c r="U33" s="112"/>
      <c r="V33" s="112"/>
      <c r="W33" s="112"/>
      <c r="X33" s="112"/>
      <c r="Y33" s="112"/>
      <c r="Z33" s="112"/>
      <c r="AA33" s="112"/>
      <c r="AB33" s="112"/>
      <c r="AC33" s="112"/>
    </row>
    <row r="34" s="87" customFormat="true" ht="15" hidden="false" customHeight="false" outlineLevel="0" collapsed="false">
      <c r="A34" s="134"/>
      <c r="B34" s="86"/>
      <c r="C34" s="86"/>
      <c r="D34" s="86"/>
      <c r="E34" s="86"/>
      <c r="F34" s="86"/>
      <c r="G34" s="86"/>
      <c r="H34" s="86"/>
      <c r="I34" s="86"/>
      <c r="J34" s="86"/>
      <c r="K34" s="86"/>
      <c r="L34" s="80"/>
      <c r="M34" s="112"/>
      <c r="N34" s="112"/>
      <c r="O34" s="112"/>
      <c r="P34" s="112"/>
      <c r="Q34" s="112"/>
      <c r="R34" s="112"/>
      <c r="S34" s="112"/>
      <c r="T34" s="112"/>
      <c r="U34" s="112"/>
      <c r="V34" s="112"/>
      <c r="W34" s="112"/>
      <c r="X34" s="112"/>
      <c r="Y34" s="112"/>
      <c r="Z34" s="112"/>
      <c r="AA34" s="112"/>
      <c r="AB34" s="112"/>
      <c r="AC34" s="112"/>
    </row>
    <row r="35" s="87" customFormat="true" ht="15" hidden="false" customHeight="false" outlineLevel="0" collapsed="false">
      <c r="A35" s="134"/>
      <c r="B35" s="86"/>
      <c r="C35" s="86"/>
      <c r="D35" s="86"/>
      <c r="E35" s="86"/>
      <c r="F35" s="86"/>
      <c r="G35" s="86"/>
      <c r="H35" s="86"/>
      <c r="I35" s="86"/>
      <c r="J35" s="86"/>
      <c r="K35" s="86"/>
      <c r="L35" s="80"/>
      <c r="M35" s="112"/>
      <c r="N35" s="112"/>
      <c r="O35" s="112"/>
      <c r="P35" s="112"/>
      <c r="Q35" s="112"/>
      <c r="R35" s="112"/>
      <c r="S35" s="112"/>
      <c r="T35" s="112"/>
      <c r="U35" s="112"/>
      <c r="V35" s="112"/>
      <c r="W35" s="112"/>
      <c r="X35" s="112"/>
      <c r="Y35" s="112"/>
      <c r="Z35" s="112"/>
      <c r="AA35" s="112"/>
      <c r="AB35" s="112"/>
      <c r="AC35" s="112"/>
    </row>
    <row r="36" s="87" customFormat="true" ht="15" hidden="false" customHeight="false" outlineLevel="0" collapsed="false">
      <c r="A36" s="134"/>
      <c r="B36" s="86"/>
      <c r="C36" s="86"/>
      <c r="D36" s="86"/>
      <c r="E36" s="86"/>
      <c r="F36" s="86"/>
      <c r="G36" s="86"/>
      <c r="H36" s="86"/>
      <c r="I36" s="86"/>
      <c r="J36" s="86"/>
      <c r="K36" s="86"/>
      <c r="L36" s="80"/>
      <c r="M36" s="112"/>
      <c r="N36" s="112"/>
      <c r="O36" s="112"/>
      <c r="P36" s="112"/>
      <c r="Q36" s="112"/>
      <c r="R36" s="112"/>
      <c r="S36" s="112"/>
      <c r="T36" s="112"/>
      <c r="U36" s="112"/>
      <c r="V36" s="112"/>
      <c r="W36" s="112"/>
      <c r="X36" s="112"/>
      <c r="Y36" s="112"/>
      <c r="Z36" s="112"/>
      <c r="AA36" s="112"/>
      <c r="AB36" s="112"/>
      <c r="AC36" s="112"/>
    </row>
    <row r="37" s="87" customFormat="true" ht="15" hidden="false" customHeight="false" outlineLevel="0" collapsed="false">
      <c r="A37" s="134"/>
      <c r="B37" s="86"/>
      <c r="C37" s="86"/>
      <c r="D37" s="86"/>
      <c r="E37" s="86"/>
      <c r="F37" s="86"/>
      <c r="G37" s="86"/>
      <c r="H37" s="86"/>
      <c r="I37" s="86"/>
      <c r="J37" s="86"/>
      <c r="K37" s="86"/>
      <c r="L37" s="80"/>
      <c r="M37" s="112"/>
      <c r="N37" s="112"/>
      <c r="O37" s="112"/>
      <c r="P37" s="112"/>
      <c r="Q37" s="112"/>
      <c r="R37" s="112"/>
      <c r="S37" s="112"/>
      <c r="T37" s="112"/>
      <c r="U37" s="112"/>
      <c r="V37" s="112"/>
      <c r="W37" s="112"/>
      <c r="X37" s="112"/>
      <c r="Y37" s="112"/>
      <c r="Z37" s="112"/>
      <c r="AA37" s="112"/>
      <c r="AB37" s="112"/>
      <c r="AC37" s="112"/>
    </row>
    <row r="38" s="87" customFormat="true" ht="15" hidden="false" customHeight="false" outlineLevel="0" collapsed="false">
      <c r="A38" s="134"/>
      <c r="B38" s="86"/>
      <c r="C38" s="86"/>
      <c r="D38" s="86"/>
      <c r="E38" s="86"/>
      <c r="F38" s="86"/>
      <c r="G38" s="86"/>
      <c r="H38" s="86"/>
      <c r="I38" s="86"/>
      <c r="J38" s="86"/>
      <c r="K38" s="86"/>
      <c r="L38" s="80"/>
      <c r="M38" s="112"/>
      <c r="N38" s="112"/>
      <c r="O38" s="112"/>
      <c r="P38" s="112"/>
      <c r="Q38" s="112"/>
      <c r="R38" s="112"/>
      <c r="S38" s="112"/>
      <c r="T38" s="112"/>
      <c r="U38" s="112"/>
      <c r="V38" s="112"/>
      <c r="W38" s="112"/>
      <c r="X38" s="112"/>
      <c r="Y38" s="112"/>
      <c r="Z38" s="112"/>
      <c r="AA38" s="112"/>
      <c r="AB38" s="112"/>
      <c r="AC38" s="112"/>
    </row>
    <row r="39" s="87" customFormat="true" ht="15" hidden="false" customHeight="false" outlineLevel="0" collapsed="false">
      <c r="A39" s="134"/>
      <c r="B39" s="86"/>
      <c r="C39" s="86"/>
      <c r="D39" s="86"/>
      <c r="E39" s="86"/>
      <c r="F39" s="86"/>
      <c r="G39" s="86"/>
      <c r="H39" s="86"/>
      <c r="I39" s="86"/>
      <c r="J39" s="86"/>
      <c r="K39" s="86"/>
      <c r="L39" s="80"/>
      <c r="M39" s="112"/>
      <c r="N39" s="112"/>
      <c r="O39" s="112"/>
      <c r="P39" s="112"/>
      <c r="Q39" s="112"/>
      <c r="R39" s="112"/>
      <c r="S39" s="112"/>
      <c r="T39" s="112"/>
      <c r="U39" s="112"/>
      <c r="V39" s="112"/>
      <c r="W39" s="112"/>
      <c r="X39" s="112"/>
      <c r="Y39" s="112"/>
      <c r="Z39" s="112"/>
      <c r="AA39" s="112"/>
      <c r="AB39" s="112"/>
      <c r="AC39" s="112"/>
    </row>
    <row r="40" s="87" customFormat="true" ht="15" hidden="false" customHeight="false" outlineLevel="0" collapsed="false">
      <c r="A40" s="134"/>
      <c r="B40" s="86"/>
      <c r="C40" s="86"/>
      <c r="D40" s="86"/>
      <c r="E40" s="86"/>
      <c r="F40" s="86"/>
      <c r="G40" s="86"/>
      <c r="H40" s="86"/>
      <c r="I40" s="86"/>
      <c r="J40" s="86"/>
      <c r="K40" s="86"/>
      <c r="L40" s="80"/>
      <c r="M40" s="112"/>
      <c r="N40" s="112"/>
      <c r="O40" s="112"/>
      <c r="P40" s="112"/>
      <c r="Q40" s="112"/>
      <c r="R40" s="112"/>
      <c r="S40" s="112"/>
      <c r="T40" s="112"/>
      <c r="U40" s="112"/>
      <c r="V40" s="112"/>
      <c r="W40" s="112"/>
      <c r="X40" s="112"/>
      <c r="Y40" s="112"/>
      <c r="Z40" s="112"/>
      <c r="AA40" s="112"/>
      <c r="AB40" s="112"/>
      <c r="AC40" s="112"/>
    </row>
    <row r="41" s="87" customFormat="true" ht="15" hidden="false" customHeight="false" outlineLevel="0" collapsed="false">
      <c r="A41" s="134"/>
      <c r="B41" s="86"/>
      <c r="C41" s="86"/>
      <c r="D41" s="86"/>
      <c r="E41" s="86"/>
      <c r="F41" s="86"/>
      <c r="G41" s="86"/>
      <c r="H41" s="86"/>
      <c r="I41" s="86"/>
      <c r="J41" s="86"/>
      <c r="K41" s="86"/>
      <c r="L41" s="80"/>
      <c r="M41" s="112"/>
      <c r="N41" s="112"/>
      <c r="O41" s="112"/>
      <c r="P41" s="112"/>
      <c r="Q41" s="112"/>
      <c r="R41" s="112"/>
      <c r="S41" s="112"/>
      <c r="T41" s="112"/>
      <c r="U41" s="112"/>
      <c r="V41" s="112"/>
      <c r="W41" s="112"/>
      <c r="X41" s="112"/>
      <c r="Y41" s="112"/>
      <c r="Z41" s="112"/>
      <c r="AA41" s="112"/>
      <c r="AB41" s="112"/>
      <c r="AC41" s="112"/>
    </row>
    <row r="42" s="87" customFormat="true" ht="15" hidden="false" customHeight="false" outlineLevel="0" collapsed="false">
      <c r="A42" s="134"/>
      <c r="B42" s="86"/>
      <c r="C42" s="86"/>
      <c r="D42" s="86"/>
      <c r="E42" s="86"/>
      <c r="F42" s="86"/>
      <c r="G42" s="86"/>
      <c r="H42" s="86"/>
      <c r="I42" s="86"/>
      <c r="J42" s="86"/>
      <c r="K42" s="86"/>
      <c r="L42" s="80"/>
      <c r="M42" s="112"/>
      <c r="N42" s="112"/>
      <c r="O42" s="112"/>
      <c r="P42" s="112"/>
      <c r="Q42" s="112"/>
      <c r="R42" s="112"/>
      <c r="S42" s="112"/>
      <c r="T42" s="112"/>
      <c r="U42" s="112"/>
      <c r="V42" s="112"/>
      <c r="W42" s="112"/>
      <c r="X42" s="112"/>
      <c r="Y42" s="112"/>
      <c r="Z42" s="112"/>
      <c r="AA42" s="112"/>
      <c r="AB42" s="112"/>
      <c r="AC42" s="112"/>
    </row>
    <row r="43" s="87" customFormat="true" ht="15" hidden="false" customHeight="false" outlineLevel="0" collapsed="false">
      <c r="A43" s="134"/>
      <c r="B43" s="86"/>
      <c r="C43" s="86"/>
      <c r="D43" s="86"/>
      <c r="E43" s="86"/>
      <c r="F43" s="86"/>
      <c r="G43" s="86"/>
      <c r="H43" s="86"/>
      <c r="I43" s="86"/>
      <c r="J43" s="86"/>
      <c r="K43" s="86"/>
      <c r="L43" s="80"/>
      <c r="M43" s="112"/>
      <c r="N43" s="112"/>
      <c r="O43" s="112"/>
      <c r="P43" s="112"/>
      <c r="Q43" s="112"/>
      <c r="R43" s="112"/>
      <c r="S43" s="112"/>
      <c r="T43" s="112"/>
      <c r="U43" s="112"/>
      <c r="V43" s="112"/>
      <c r="W43" s="112"/>
      <c r="X43" s="112"/>
      <c r="Y43" s="112"/>
      <c r="Z43" s="112"/>
      <c r="AA43" s="112"/>
      <c r="AB43" s="112"/>
      <c r="AC43" s="112"/>
    </row>
    <row r="44" s="87" customFormat="true" ht="15" hidden="false" customHeight="false" outlineLevel="0" collapsed="false">
      <c r="A44" s="134"/>
      <c r="B44" s="86"/>
      <c r="C44" s="86"/>
      <c r="D44" s="86"/>
      <c r="E44" s="86"/>
      <c r="F44" s="86"/>
      <c r="G44" s="86"/>
      <c r="H44" s="86"/>
      <c r="I44" s="86"/>
      <c r="J44" s="86"/>
      <c r="K44" s="86"/>
      <c r="L44" s="80"/>
      <c r="M44" s="112"/>
      <c r="N44" s="112"/>
      <c r="O44" s="112"/>
      <c r="P44" s="112"/>
      <c r="Q44" s="112"/>
      <c r="R44" s="112"/>
      <c r="S44" s="112"/>
      <c r="T44" s="112"/>
      <c r="U44" s="112"/>
      <c r="V44" s="112"/>
      <c r="W44" s="112"/>
      <c r="X44" s="112"/>
      <c r="Y44" s="112"/>
      <c r="Z44" s="112"/>
      <c r="AA44" s="112"/>
      <c r="AB44" s="112"/>
      <c r="AC44" s="112"/>
    </row>
    <row r="45" s="87" customFormat="true" ht="15" hidden="false" customHeight="false" outlineLevel="0" collapsed="false">
      <c r="A45" s="134"/>
      <c r="B45" s="86"/>
      <c r="C45" s="86"/>
      <c r="D45" s="86"/>
      <c r="E45" s="86"/>
      <c r="F45" s="86"/>
      <c r="G45" s="86"/>
      <c r="H45" s="86"/>
      <c r="I45" s="86"/>
      <c r="J45" s="86"/>
      <c r="K45" s="86"/>
      <c r="L45" s="80"/>
      <c r="M45" s="112"/>
      <c r="N45" s="112"/>
      <c r="O45" s="112"/>
      <c r="P45" s="112"/>
      <c r="Q45" s="112"/>
      <c r="R45" s="112"/>
      <c r="S45" s="112"/>
      <c r="T45" s="112"/>
      <c r="U45" s="112"/>
      <c r="V45" s="112"/>
      <c r="W45" s="112"/>
      <c r="X45" s="112"/>
      <c r="Y45" s="112"/>
      <c r="Z45" s="112"/>
      <c r="AA45" s="112"/>
      <c r="AB45" s="112"/>
      <c r="AC45" s="112"/>
    </row>
    <row r="46" s="87" customFormat="true" ht="15" hidden="false" customHeight="false" outlineLevel="0" collapsed="false">
      <c r="A46" s="134"/>
      <c r="B46" s="86"/>
      <c r="C46" s="86"/>
      <c r="D46" s="86"/>
      <c r="E46" s="86"/>
      <c r="F46" s="86"/>
      <c r="G46" s="86"/>
      <c r="H46" s="86"/>
      <c r="I46" s="86"/>
      <c r="J46" s="86"/>
      <c r="K46" s="86"/>
      <c r="L46" s="80"/>
      <c r="M46" s="112"/>
      <c r="N46" s="112"/>
      <c r="O46" s="112"/>
      <c r="P46" s="112"/>
      <c r="Q46" s="112"/>
      <c r="R46" s="112"/>
      <c r="S46" s="112"/>
      <c r="T46" s="112"/>
      <c r="U46" s="112"/>
      <c r="V46" s="112"/>
      <c r="W46" s="112"/>
      <c r="X46" s="112"/>
      <c r="Y46" s="112"/>
      <c r="Z46" s="112"/>
      <c r="AA46" s="112"/>
      <c r="AB46" s="112"/>
      <c r="AC46" s="112"/>
    </row>
    <row r="47" s="87" customFormat="true" ht="15" hidden="false" customHeight="false" outlineLevel="0" collapsed="false">
      <c r="A47" s="134"/>
      <c r="B47" s="86"/>
      <c r="C47" s="86"/>
      <c r="D47" s="86"/>
      <c r="E47" s="86"/>
      <c r="F47" s="86"/>
      <c r="G47" s="86"/>
      <c r="H47" s="86"/>
      <c r="I47" s="86"/>
      <c r="J47" s="86"/>
      <c r="K47" s="86"/>
      <c r="L47" s="80"/>
      <c r="M47" s="112"/>
      <c r="N47" s="112"/>
      <c r="O47" s="112"/>
      <c r="P47" s="112"/>
      <c r="Q47" s="112"/>
      <c r="R47" s="112"/>
      <c r="S47" s="112"/>
      <c r="T47" s="112"/>
      <c r="U47" s="112"/>
      <c r="V47" s="112"/>
      <c r="W47" s="112"/>
      <c r="X47" s="112"/>
      <c r="Y47" s="112"/>
      <c r="Z47" s="112"/>
      <c r="AA47" s="112"/>
      <c r="AB47" s="112"/>
      <c r="AC47" s="112"/>
    </row>
    <row r="48" s="87" customFormat="true" ht="15" hidden="false" customHeight="false" outlineLevel="0" collapsed="false">
      <c r="A48" s="134"/>
      <c r="B48" s="86"/>
      <c r="C48" s="86"/>
      <c r="D48" s="86"/>
      <c r="E48" s="86"/>
      <c r="F48" s="86"/>
      <c r="G48" s="86"/>
      <c r="H48" s="86"/>
      <c r="I48" s="86"/>
      <c r="J48" s="86"/>
      <c r="K48" s="86"/>
      <c r="L48" s="80"/>
      <c r="M48" s="112"/>
      <c r="N48" s="112"/>
      <c r="O48" s="112"/>
      <c r="P48" s="112"/>
      <c r="Q48" s="112"/>
      <c r="R48" s="112"/>
      <c r="S48" s="112"/>
      <c r="T48" s="112"/>
      <c r="U48" s="112"/>
      <c r="V48" s="112"/>
      <c r="W48" s="112"/>
      <c r="X48" s="112"/>
      <c r="Y48" s="112"/>
      <c r="Z48" s="112"/>
      <c r="AA48" s="112"/>
      <c r="AB48" s="112"/>
      <c r="AC48" s="112"/>
    </row>
    <row r="49" s="87" customFormat="true" ht="15" hidden="false" customHeight="false" outlineLevel="0" collapsed="false">
      <c r="A49" s="134"/>
      <c r="B49" s="86"/>
      <c r="C49" s="86"/>
      <c r="D49" s="86"/>
      <c r="E49" s="86"/>
      <c r="F49" s="86"/>
      <c r="G49" s="86"/>
      <c r="H49" s="86"/>
      <c r="I49" s="86"/>
      <c r="J49" s="86"/>
      <c r="K49" s="86"/>
      <c r="L49" s="80"/>
      <c r="M49" s="112"/>
      <c r="N49" s="112"/>
      <c r="O49" s="112"/>
      <c r="P49" s="112"/>
      <c r="Q49" s="112"/>
      <c r="R49" s="112"/>
      <c r="S49" s="112"/>
      <c r="T49" s="112"/>
      <c r="U49" s="112"/>
      <c r="V49" s="112"/>
      <c r="W49" s="112"/>
      <c r="X49" s="112"/>
      <c r="Y49" s="112"/>
      <c r="Z49" s="112"/>
      <c r="AA49" s="112"/>
      <c r="AB49" s="112"/>
      <c r="AC49" s="112"/>
    </row>
    <row r="50" s="87" customFormat="true" ht="15" hidden="false" customHeight="false" outlineLevel="0" collapsed="false">
      <c r="A50" s="134"/>
      <c r="B50" s="86"/>
      <c r="C50" s="86"/>
      <c r="D50" s="86"/>
      <c r="E50" s="86"/>
      <c r="F50" s="86"/>
      <c r="G50" s="86"/>
      <c r="H50" s="86"/>
      <c r="I50" s="86"/>
      <c r="J50" s="86"/>
      <c r="K50" s="86"/>
      <c r="L50" s="80"/>
      <c r="M50" s="112"/>
      <c r="N50" s="112"/>
      <c r="O50" s="112"/>
      <c r="P50" s="112"/>
      <c r="Q50" s="112"/>
      <c r="R50" s="112"/>
      <c r="S50" s="112"/>
      <c r="T50" s="112"/>
      <c r="U50" s="112"/>
      <c r="V50" s="112"/>
      <c r="W50" s="112"/>
      <c r="X50" s="112"/>
      <c r="Y50" s="112"/>
      <c r="Z50" s="112"/>
      <c r="AA50" s="112"/>
      <c r="AB50" s="112"/>
      <c r="AC50" s="112"/>
    </row>
    <row r="51" s="87" customFormat="true" ht="15" hidden="false" customHeight="false" outlineLevel="0" collapsed="false">
      <c r="A51" s="134"/>
      <c r="B51" s="86"/>
      <c r="C51" s="86"/>
      <c r="D51" s="86"/>
      <c r="E51" s="86"/>
      <c r="F51" s="86"/>
      <c r="G51" s="86"/>
      <c r="H51" s="86"/>
      <c r="I51" s="86"/>
      <c r="J51" s="86"/>
      <c r="K51" s="86"/>
      <c r="L51" s="80"/>
      <c r="M51" s="112"/>
      <c r="N51" s="112"/>
      <c r="O51" s="112"/>
      <c r="P51" s="112"/>
      <c r="Q51" s="112"/>
      <c r="R51" s="112"/>
      <c r="S51" s="112"/>
      <c r="T51" s="112"/>
      <c r="U51" s="112"/>
      <c r="V51" s="112"/>
      <c r="W51" s="112"/>
      <c r="X51" s="112"/>
      <c r="Y51" s="112"/>
      <c r="Z51" s="112"/>
      <c r="AA51" s="112"/>
      <c r="AB51" s="112"/>
      <c r="AC51" s="112"/>
    </row>
    <row r="52" s="87" customFormat="true" ht="15" hidden="false" customHeight="false" outlineLevel="0" collapsed="false">
      <c r="A52" s="134"/>
      <c r="B52" s="86"/>
      <c r="C52" s="86"/>
      <c r="D52" s="86"/>
      <c r="E52" s="86"/>
      <c r="F52" s="86"/>
      <c r="G52" s="86"/>
      <c r="H52" s="86"/>
      <c r="I52" s="86"/>
      <c r="J52" s="86"/>
      <c r="K52" s="86"/>
      <c r="L52" s="80"/>
      <c r="M52" s="112"/>
      <c r="N52" s="112"/>
      <c r="O52" s="112"/>
      <c r="P52" s="112"/>
      <c r="Q52" s="112"/>
      <c r="R52" s="112"/>
      <c r="S52" s="112"/>
      <c r="T52" s="112"/>
      <c r="U52" s="112"/>
      <c r="V52" s="112"/>
      <c r="W52" s="112"/>
      <c r="X52" s="112"/>
      <c r="Y52" s="112"/>
      <c r="Z52" s="112"/>
      <c r="AA52" s="112"/>
      <c r="AB52" s="112"/>
      <c r="AC52" s="112"/>
    </row>
    <row r="53" s="87" customFormat="true" ht="15" hidden="false" customHeight="false" outlineLevel="0" collapsed="false">
      <c r="A53" s="134"/>
      <c r="B53" s="86"/>
      <c r="C53" s="86"/>
      <c r="D53" s="86"/>
      <c r="E53" s="86"/>
      <c r="F53" s="86"/>
      <c r="G53" s="86"/>
      <c r="H53" s="86"/>
      <c r="I53" s="86"/>
      <c r="J53" s="86"/>
      <c r="K53" s="86"/>
      <c r="L53" s="80"/>
      <c r="M53" s="112"/>
      <c r="N53" s="112"/>
      <c r="O53" s="112"/>
      <c r="P53" s="112"/>
      <c r="Q53" s="112"/>
      <c r="R53" s="112"/>
      <c r="S53" s="112"/>
      <c r="T53" s="112"/>
      <c r="U53" s="112"/>
      <c r="V53" s="112"/>
      <c r="W53" s="112"/>
      <c r="X53" s="112"/>
      <c r="Y53" s="112"/>
      <c r="Z53" s="112"/>
      <c r="AA53" s="112"/>
      <c r="AB53" s="112"/>
      <c r="AC53" s="112"/>
    </row>
    <row r="54" s="87" customFormat="true" ht="15" hidden="false" customHeight="false" outlineLevel="0" collapsed="false">
      <c r="A54" s="134"/>
      <c r="B54" s="86"/>
      <c r="C54" s="86"/>
      <c r="D54" s="86"/>
      <c r="E54" s="86"/>
      <c r="F54" s="86"/>
      <c r="G54" s="86"/>
      <c r="H54" s="86"/>
      <c r="I54" s="86"/>
      <c r="J54" s="86"/>
      <c r="K54" s="86"/>
      <c r="L54" s="80"/>
      <c r="M54" s="112"/>
      <c r="N54" s="112"/>
      <c r="O54" s="112"/>
      <c r="P54" s="112"/>
      <c r="Q54" s="112"/>
      <c r="R54" s="112"/>
      <c r="S54" s="112"/>
      <c r="T54" s="112"/>
      <c r="U54" s="112"/>
      <c r="V54" s="112"/>
      <c r="W54" s="112"/>
      <c r="X54" s="112"/>
      <c r="Y54" s="112"/>
      <c r="Z54" s="112"/>
      <c r="AA54" s="112"/>
      <c r="AB54" s="112"/>
      <c r="AC54" s="112"/>
    </row>
    <row r="55" s="87" customFormat="true" ht="15" hidden="false" customHeight="false" outlineLevel="0" collapsed="false">
      <c r="A55" s="134"/>
      <c r="B55" s="86"/>
      <c r="C55" s="86"/>
      <c r="D55" s="86"/>
      <c r="E55" s="86"/>
      <c r="F55" s="86"/>
      <c r="G55" s="86"/>
      <c r="H55" s="86"/>
      <c r="I55" s="86"/>
      <c r="J55" s="86"/>
      <c r="K55" s="86"/>
      <c r="L55" s="80"/>
      <c r="M55" s="112"/>
      <c r="N55" s="112"/>
      <c r="O55" s="112"/>
      <c r="P55" s="112"/>
      <c r="Q55" s="112"/>
      <c r="R55" s="112"/>
      <c r="S55" s="112"/>
      <c r="T55" s="112"/>
      <c r="U55" s="112"/>
      <c r="V55" s="112"/>
      <c r="W55" s="112"/>
      <c r="X55" s="112"/>
      <c r="Y55" s="112"/>
      <c r="Z55" s="112"/>
      <c r="AA55" s="112"/>
      <c r="AB55" s="112"/>
      <c r="AC55" s="112"/>
    </row>
    <row r="56" s="87" customFormat="true" ht="15" hidden="false" customHeight="false" outlineLevel="0" collapsed="false">
      <c r="A56" s="134"/>
      <c r="B56" s="86"/>
      <c r="C56" s="86"/>
      <c r="D56" s="86"/>
      <c r="E56" s="86"/>
      <c r="F56" s="86"/>
      <c r="G56" s="86"/>
      <c r="H56" s="86"/>
      <c r="I56" s="86"/>
      <c r="J56" s="86"/>
      <c r="K56" s="86"/>
      <c r="L56" s="80"/>
      <c r="M56" s="112"/>
      <c r="N56" s="112"/>
      <c r="O56" s="112"/>
      <c r="P56" s="112"/>
      <c r="Q56" s="112"/>
      <c r="R56" s="112"/>
      <c r="S56" s="112"/>
      <c r="T56" s="112"/>
      <c r="U56" s="112"/>
      <c r="V56" s="112"/>
      <c r="W56" s="112"/>
      <c r="X56" s="112"/>
      <c r="Y56" s="112"/>
      <c r="Z56" s="112"/>
      <c r="AA56" s="112"/>
      <c r="AB56" s="112"/>
      <c r="AC56" s="112"/>
    </row>
    <row r="57" s="87" customFormat="true" ht="15" hidden="false" customHeight="false" outlineLevel="0" collapsed="false">
      <c r="A57" s="134"/>
      <c r="B57" s="86"/>
      <c r="C57" s="86"/>
      <c r="D57" s="86"/>
      <c r="E57" s="86"/>
      <c r="F57" s="86"/>
      <c r="G57" s="86"/>
      <c r="H57" s="86"/>
      <c r="I57" s="86"/>
      <c r="J57" s="86"/>
      <c r="K57" s="86"/>
      <c r="L57" s="80"/>
      <c r="M57" s="112"/>
      <c r="N57" s="112"/>
      <c r="O57" s="112"/>
      <c r="P57" s="112"/>
      <c r="Q57" s="112"/>
      <c r="R57" s="112"/>
      <c r="S57" s="112"/>
      <c r="T57" s="112"/>
      <c r="U57" s="112"/>
      <c r="V57" s="112"/>
      <c r="W57" s="112"/>
      <c r="X57" s="112"/>
      <c r="Y57" s="112"/>
      <c r="Z57" s="112"/>
      <c r="AA57" s="112"/>
      <c r="AB57" s="112"/>
      <c r="AC57" s="112"/>
    </row>
    <row r="58" s="87" customFormat="true" ht="15" hidden="false" customHeight="false" outlineLevel="0" collapsed="false">
      <c r="A58" s="134"/>
      <c r="B58" s="86"/>
      <c r="C58" s="86"/>
      <c r="D58" s="86"/>
      <c r="E58" s="86"/>
      <c r="F58" s="86"/>
      <c r="G58" s="86"/>
      <c r="H58" s="86"/>
      <c r="I58" s="86"/>
      <c r="J58" s="86"/>
      <c r="K58" s="86"/>
      <c r="L58" s="80"/>
      <c r="M58" s="112"/>
      <c r="N58" s="112"/>
      <c r="O58" s="112"/>
      <c r="P58" s="112"/>
      <c r="Q58" s="112"/>
      <c r="R58" s="112"/>
      <c r="S58" s="112"/>
      <c r="T58" s="112"/>
      <c r="U58" s="112"/>
      <c r="V58" s="112"/>
      <c r="W58" s="112"/>
      <c r="X58" s="112"/>
      <c r="Y58" s="112"/>
      <c r="Z58" s="112"/>
      <c r="AA58" s="112"/>
      <c r="AB58" s="112"/>
      <c r="AC58" s="112"/>
    </row>
    <row r="59" s="87" customFormat="true" ht="15" hidden="false" customHeight="false" outlineLevel="0" collapsed="false">
      <c r="A59" s="134"/>
      <c r="B59" s="86"/>
      <c r="C59" s="86"/>
      <c r="D59" s="86"/>
      <c r="E59" s="86"/>
      <c r="F59" s="86"/>
      <c r="G59" s="86"/>
      <c r="H59" s="86"/>
      <c r="I59" s="86"/>
      <c r="J59" s="86"/>
      <c r="K59" s="86"/>
      <c r="L59" s="80"/>
      <c r="M59" s="112"/>
      <c r="N59" s="112"/>
      <c r="O59" s="112"/>
      <c r="P59" s="112"/>
      <c r="Q59" s="112"/>
      <c r="R59" s="112"/>
      <c r="S59" s="112"/>
      <c r="T59" s="112"/>
      <c r="U59" s="112"/>
      <c r="V59" s="112"/>
      <c r="W59" s="112"/>
      <c r="X59" s="112"/>
      <c r="Y59" s="112"/>
      <c r="Z59" s="112"/>
      <c r="AA59" s="112"/>
      <c r="AB59" s="112"/>
      <c r="AC59" s="112"/>
    </row>
    <row r="60" s="87" customFormat="true" ht="15" hidden="false" customHeight="false" outlineLevel="0" collapsed="false">
      <c r="A60" s="134"/>
      <c r="B60" s="86"/>
      <c r="C60" s="86"/>
      <c r="D60" s="86"/>
      <c r="E60" s="86"/>
      <c r="F60" s="86"/>
      <c r="G60" s="86"/>
      <c r="H60" s="86"/>
      <c r="I60" s="86"/>
      <c r="J60" s="86"/>
      <c r="K60" s="86"/>
      <c r="L60" s="80"/>
      <c r="M60" s="112"/>
      <c r="N60" s="112"/>
      <c r="O60" s="112"/>
      <c r="P60" s="112"/>
      <c r="Q60" s="112"/>
      <c r="R60" s="112"/>
      <c r="S60" s="112"/>
      <c r="T60" s="112"/>
      <c r="U60" s="112"/>
      <c r="V60" s="112"/>
      <c r="W60" s="112"/>
      <c r="X60" s="112"/>
      <c r="Y60" s="112"/>
      <c r="Z60" s="112"/>
      <c r="AA60" s="112"/>
      <c r="AB60" s="112"/>
      <c r="AC60" s="112"/>
    </row>
    <row r="61" s="87" customFormat="true" ht="15" hidden="false" customHeight="false" outlineLevel="0" collapsed="false">
      <c r="A61" s="134"/>
      <c r="B61" s="86"/>
      <c r="C61" s="86"/>
      <c r="D61" s="86"/>
      <c r="E61" s="86"/>
      <c r="F61" s="86"/>
      <c r="G61" s="86"/>
      <c r="H61" s="86"/>
      <c r="I61" s="86"/>
      <c r="J61" s="86"/>
      <c r="K61" s="86"/>
      <c r="L61" s="80"/>
      <c r="M61" s="112"/>
      <c r="N61" s="112"/>
      <c r="O61" s="112"/>
      <c r="P61" s="112"/>
      <c r="Q61" s="112"/>
      <c r="R61" s="112"/>
      <c r="S61" s="112"/>
      <c r="T61" s="112"/>
      <c r="U61" s="112"/>
      <c r="V61" s="112"/>
      <c r="W61" s="112"/>
      <c r="X61" s="112"/>
      <c r="Y61" s="112"/>
      <c r="Z61" s="112"/>
      <c r="AA61" s="112"/>
      <c r="AB61" s="112"/>
      <c r="AC61" s="112"/>
    </row>
    <row r="62" s="87" customFormat="true" ht="15" hidden="false" customHeight="false" outlineLevel="0" collapsed="false">
      <c r="A62" s="134"/>
      <c r="B62" s="86"/>
      <c r="C62" s="86"/>
      <c r="D62" s="86"/>
      <c r="E62" s="86"/>
      <c r="F62" s="86"/>
      <c r="G62" s="86"/>
      <c r="H62" s="86"/>
      <c r="I62" s="86"/>
      <c r="J62" s="86"/>
      <c r="K62" s="86"/>
      <c r="L62" s="80"/>
      <c r="M62" s="112"/>
      <c r="N62" s="112"/>
      <c r="O62" s="112"/>
      <c r="P62" s="112"/>
      <c r="Q62" s="112"/>
      <c r="R62" s="112"/>
      <c r="S62" s="112"/>
      <c r="T62" s="112"/>
      <c r="U62" s="112"/>
      <c r="V62" s="112"/>
      <c r="W62" s="112"/>
      <c r="X62" s="112"/>
      <c r="Y62" s="112"/>
      <c r="Z62" s="112"/>
      <c r="AA62" s="112"/>
      <c r="AB62" s="112"/>
      <c r="AC62" s="112"/>
    </row>
    <row r="63" s="87" customFormat="true" ht="15" hidden="false" customHeight="false" outlineLevel="0" collapsed="false">
      <c r="A63" s="134"/>
      <c r="B63" s="86"/>
      <c r="C63" s="86"/>
      <c r="D63" s="86"/>
      <c r="E63" s="86"/>
      <c r="F63" s="86"/>
      <c r="G63" s="86"/>
      <c r="H63" s="86"/>
      <c r="I63" s="86"/>
      <c r="J63" s="86"/>
      <c r="K63" s="86"/>
      <c r="L63" s="80"/>
      <c r="M63" s="112"/>
      <c r="N63" s="112"/>
      <c r="O63" s="112"/>
      <c r="P63" s="112"/>
      <c r="Q63" s="112"/>
      <c r="R63" s="112"/>
      <c r="S63" s="112"/>
      <c r="T63" s="112"/>
      <c r="U63" s="112"/>
      <c r="V63" s="112"/>
      <c r="W63" s="112"/>
      <c r="X63" s="112"/>
      <c r="Y63" s="112"/>
      <c r="Z63" s="112"/>
      <c r="AA63" s="112"/>
      <c r="AB63" s="112"/>
      <c r="AC63" s="112"/>
    </row>
    <row r="64" s="87" customFormat="true" ht="15" hidden="false" customHeight="false" outlineLevel="0" collapsed="false">
      <c r="A64" s="135"/>
      <c r="B64" s="83"/>
      <c r="C64" s="83"/>
      <c r="D64" s="83"/>
      <c r="E64" s="83"/>
      <c r="F64" s="83"/>
      <c r="G64" s="83"/>
      <c r="H64" s="83"/>
      <c r="I64" s="83"/>
      <c r="J64" s="83"/>
      <c r="K64" s="83"/>
      <c r="L64" s="136"/>
      <c r="M64" s="112"/>
      <c r="N64" s="112"/>
      <c r="O64" s="112"/>
      <c r="P64" s="112"/>
      <c r="Q64" s="112"/>
      <c r="R64" s="112"/>
      <c r="S64" s="112"/>
      <c r="T64" s="112"/>
      <c r="U64" s="112"/>
      <c r="V64" s="112"/>
      <c r="W64" s="112"/>
      <c r="X64" s="112"/>
      <c r="Y64" s="112"/>
      <c r="Z64" s="112"/>
      <c r="AA64" s="112"/>
      <c r="AB64" s="112"/>
      <c r="AC64" s="112"/>
    </row>
    <row r="65"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xml><?xml version="1.0" encoding="utf-8"?>
<worksheet xmlns="http://schemas.openxmlformats.org/spreadsheetml/2006/main" xmlns:r="http://schemas.openxmlformats.org/officeDocument/2006/relationships">
  <sheetPr filterMode="false">
    <tabColor rgb="FFCC9CCC"/>
    <pageSetUpPr fitToPage="true"/>
  </sheetPr>
  <dimension ref="A1:K40"/>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A1" activeCellId="0" sqref="A1"/>
    </sheetView>
  </sheetViews>
  <sheetFormatPr defaultRowHeight="15" zeroHeight="true" outlineLevelRow="0" outlineLevelCol="0"/>
  <cols>
    <col collapsed="false" customWidth="true" hidden="false" outlineLevel="0" max="1" min="1" style="4" width="39.7"/>
    <col collapsed="false" customWidth="true" hidden="false" outlineLevel="0" max="6" min="2" style="4" width="9.14"/>
    <col collapsed="false" customWidth="true" hidden="false" outlineLevel="0" max="7" min="7" style="4" width="10.71"/>
    <col collapsed="false" customWidth="true" hidden="false" outlineLevel="0" max="8" min="8" style="4" width="9.71"/>
    <col collapsed="false" customWidth="true" hidden="false" outlineLevel="0" max="11" min="9" style="4" width="9.14"/>
    <col collapsed="false" customWidth="true" hidden="false" outlineLevel="0" max="12" min="12" style="22" width="2.42"/>
    <col collapsed="false" customWidth="false" hidden="true" outlineLevel="0" max="28" min="13" style="112" width="11.52"/>
    <col collapsed="false" customWidth="false" hidden="true" outlineLevel="0" max="1025" min="29" style="4" width="11.52"/>
  </cols>
  <sheetData>
    <row r="1" customFormat="false" ht="29.25" hidden="false" customHeight="true" outlineLevel="0" collapsed="false">
      <c r="A1" s="137" t="str">
        <f aca="false">'1.0 Executive summary'!A1</f>
        <v>Executive Summary</v>
      </c>
      <c r="B1" s="138"/>
      <c r="C1" s="138"/>
      <c r="D1" s="138"/>
      <c r="E1" s="138"/>
      <c r="F1" s="138"/>
      <c r="G1" s="138"/>
      <c r="H1" s="138"/>
      <c r="I1" s="138"/>
      <c r="J1" s="138"/>
      <c r="K1" s="139" t="s">
        <v>105</v>
      </c>
    </row>
    <row r="2" customFormat="false" ht="13.15" hidden="false" customHeight="true" outlineLevel="0" collapsed="false">
      <c r="A2" s="52"/>
      <c r="B2" s="116"/>
      <c r="C2" s="117"/>
      <c r="D2" s="86"/>
      <c r="E2" s="118"/>
      <c r="F2" s="48"/>
      <c r="G2" s="48"/>
      <c r="H2" s="119"/>
      <c r="I2" s="86"/>
      <c r="J2" s="86"/>
      <c r="K2" s="120"/>
    </row>
    <row r="3" customFormat="false" ht="13.15" hidden="false" customHeight="true" outlineLevel="0" collapsed="false">
      <c r="A3" s="52" t="s">
        <v>103</v>
      </c>
      <c r="B3" s="116"/>
      <c r="C3" s="67" t="str">
        <f aca="false">'Reference sheet'!C12</f>
        <v>TEST</v>
      </c>
      <c r="D3" s="86"/>
      <c r="E3" s="118"/>
      <c r="F3" s="48"/>
      <c r="G3" s="121" t="s">
        <v>49</v>
      </c>
      <c r="H3" s="12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c r="A5" s="48"/>
      <c r="B5" s="129"/>
      <c r="C5" s="48"/>
      <c r="D5" s="48"/>
      <c r="E5" s="48"/>
      <c r="F5" s="48"/>
      <c r="G5" s="130"/>
      <c r="H5" s="48"/>
      <c r="I5" s="48"/>
      <c r="J5" s="48"/>
      <c r="K5" s="129"/>
    </row>
    <row r="6" customFormat="false" ht="15" hidden="false" customHeight="false" outlineLevel="0" collapsed="false">
      <c r="A6" s="131" t="s">
        <v>106</v>
      </c>
      <c r="B6" s="132"/>
      <c r="C6" s="132"/>
      <c r="D6" s="132"/>
      <c r="E6" s="132"/>
      <c r="F6" s="132"/>
      <c r="G6" s="132"/>
      <c r="H6" s="132"/>
      <c r="I6" s="132"/>
      <c r="J6" s="132"/>
      <c r="K6" s="133"/>
    </row>
    <row r="7" customFormat="false" ht="15" hidden="false" customHeight="false" outlineLevel="0" collapsed="false">
      <c r="A7" s="140"/>
      <c r="B7" s="141"/>
      <c r="C7" s="141"/>
      <c r="D7" s="141"/>
      <c r="E7" s="141"/>
      <c r="F7" s="141"/>
      <c r="G7" s="141"/>
      <c r="H7" s="141"/>
      <c r="I7" s="141"/>
      <c r="J7" s="141"/>
      <c r="K7" s="142"/>
    </row>
    <row r="8" customFormat="false" ht="15" hidden="false" customHeight="false" outlineLevel="0" collapsed="false">
      <c r="A8" s="143"/>
      <c r="B8" s="144"/>
      <c r="C8" s="144"/>
      <c r="D8" s="144"/>
      <c r="E8" s="144"/>
      <c r="F8" s="144"/>
      <c r="G8" s="144"/>
      <c r="H8" s="144"/>
      <c r="I8" s="144"/>
      <c r="J8" s="144"/>
      <c r="K8" s="145"/>
    </row>
    <row r="9" customFormat="false" ht="15" hidden="false" customHeight="false" outlineLevel="0" collapsed="false">
      <c r="A9" s="143"/>
      <c r="B9" s="144"/>
      <c r="C9" s="144"/>
      <c r="D9" s="144"/>
      <c r="E9" s="144"/>
      <c r="F9" s="144"/>
      <c r="G9" s="144"/>
      <c r="H9" s="144"/>
      <c r="I9" s="144"/>
      <c r="J9" s="144"/>
      <c r="K9" s="145"/>
    </row>
    <row r="10" customFormat="false" ht="15" hidden="false" customHeight="false" outlineLevel="0" collapsed="false">
      <c r="A10" s="143"/>
      <c r="B10" s="144"/>
      <c r="C10" s="144"/>
      <c r="D10" s="144"/>
      <c r="E10" s="144"/>
      <c r="F10" s="144"/>
      <c r="G10" s="144"/>
      <c r="H10" s="144"/>
      <c r="I10" s="144"/>
      <c r="J10" s="144"/>
      <c r="K10" s="145"/>
    </row>
    <row r="11" customFormat="false" ht="15" hidden="false" customHeight="false" outlineLevel="0" collapsed="false">
      <c r="A11" s="146"/>
      <c r="B11" s="147"/>
      <c r="C11" s="147"/>
      <c r="D11" s="147"/>
      <c r="E11" s="147"/>
      <c r="F11" s="147"/>
      <c r="G11" s="147"/>
      <c r="H11" s="147"/>
      <c r="I11" s="147"/>
      <c r="J11" s="147"/>
      <c r="K11" s="148"/>
    </row>
    <row r="12" customFormat="false" ht="15" hidden="false" customHeight="false" outlineLevel="0" collapsed="false"/>
    <row r="13" customFormat="false" ht="15" hidden="false" customHeight="false" outlineLevel="0" collapsed="false">
      <c r="A13" s="131" t="s">
        <v>107</v>
      </c>
      <c r="B13" s="132"/>
      <c r="C13" s="132"/>
      <c r="D13" s="132"/>
      <c r="E13" s="132"/>
      <c r="F13" s="132"/>
      <c r="G13" s="132"/>
      <c r="H13" s="132"/>
      <c r="I13" s="132"/>
      <c r="J13" s="132"/>
      <c r="K13" s="133"/>
    </row>
    <row r="14" customFormat="false" ht="15" hidden="false" customHeight="false" outlineLevel="0" collapsed="false">
      <c r="A14" s="149"/>
      <c r="B14" s="141"/>
      <c r="C14" s="141"/>
      <c r="D14" s="141"/>
      <c r="E14" s="141"/>
      <c r="F14" s="141"/>
      <c r="G14" s="141"/>
      <c r="H14" s="141"/>
      <c r="I14" s="141"/>
      <c r="J14" s="141"/>
      <c r="K14" s="142"/>
    </row>
    <row r="15" customFormat="false" ht="15" hidden="false" customHeight="false" outlineLevel="0" collapsed="false">
      <c r="A15" s="143"/>
      <c r="B15" s="144"/>
      <c r="C15" s="144"/>
      <c r="D15" s="144"/>
      <c r="E15" s="144"/>
      <c r="F15" s="144"/>
      <c r="G15" s="144"/>
      <c r="H15" s="144"/>
      <c r="I15" s="144"/>
      <c r="J15" s="144"/>
      <c r="K15" s="145"/>
    </row>
    <row r="16" customFormat="false" ht="15" hidden="false" customHeight="false" outlineLevel="0" collapsed="false">
      <c r="A16" s="143"/>
      <c r="B16" s="144"/>
      <c r="C16" s="144"/>
      <c r="D16" s="144"/>
      <c r="E16" s="144"/>
      <c r="F16" s="144"/>
      <c r="G16" s="144"/>
      <c r="H16" s="144"/>
      <c r="I16" s="144"/>
      <c r="J16" s="144"/>
      <c r="K16" s="145"/>
    </row>
    <row r="17" customFormat="false" ht="15" hidden="false" customHeight="false" outlineLevel="0" collapsed="false">
      <c r="A17" s="143"/>
      <c r="B17" s="144"/>
      <c r="C17" s="144"/>
      <c r="D17" s="144"/>
      <c r="E17" s="144"/>
      <c r="F17" s="144"/>
      <c r="G17" s="144"/>
      <c r="H17" s="144"/>
      <c r="I17" s="144"/>
      <c r="J17" s="144"/>
      <c r="K17" s="145"/>
    </row>
    <row r="18" customFormat="false" ht="15" hidden="false" customHeight="false" outlineLevel="0" collapsed="false">
      <c r="A18" s="143"/>
      <c r="B18" s="144"/>
      <c r="C18" s="144"/>
      <c r="D18" s="144"/>
      <c r="E18" s="144"/>
      <c r="F18" s="144"/>
      <c r="G18" s="144"/>
      <c r="H18" s="144"/>
      <c r="I18" s="144"/>
      <c r="J18" s="144"/>
      <c r="K18" s="145"/>
    </row>
    <row r="19" customFormat="false" ht="15" hidden="false" customHeight="false" outlineLevel="0" collapsed="false">
      <c r="A19" s="143"/>
      <c r="B19" s="144"/>
      <c r="C19" s="144"/>
      <c r="D19" s="144"/>
      <c r="E19" s="144"/>
      <c r="F19" s="144"/>
      <c r="G19" s="144"/>
      <c r="H19" s="144"/>
      <c r="I19" s="144"/>
      <c r="J19" s="144"/>
      <c r="K19" s="145"/>
    </row>
    <row r="20" customFormat="false" ht="12" hidden="false" customHeight="true" outlineLevel="0" collapsed="false">
      <c r="A20" s="143"/>
      <c r="B20" s="144"/>
      <c r="C20" s="144"/>
      <c r="D20" s="144"/>
      <c r="E20" s="144"/>
      <c r="F20" s="144"/>
      <c r="G20" s="144"/>
      <c r="H20" s="144"/>
      <c r="I20" s="144"/>
      <c r="J20" s="144"/>
      <c r="K20" s="145"/>
    </row>
    <row r="21" customFormat="false" ht="10.5" hidden="false" customHeight="true" outlineLevel="0" collapsed="false">
      <c r="A21" s="143"/>
      <c r="B21" s="144"/>
      <c r="C21" s="144"/>
      <c r="D21" s="144"/>
      <c r="E21" s="144"/>
      <c r="F21" s="144"/>
      <c r="G21" s="144"/>
      <c r="H21" s="144"/>
      <c r="I21" s="144"/>
      <c r="J21" s="144"/>
      <c r="K21" s="145"/>
    </row>
    <row r="22" customFormat="false" ht="15" hidden="false" customHeight="false" outlineLevel="0" collapsed="false">
      <c r="A22" s="143"/>
      <c r="B22" s="144"/>
      <c r="C22" s="144"/>
      <c r="D22" s="144"/>
      <c r="E22" s="144"/>
      <c r="F22" s="144"/>
      <c r="G22" s="144"/>
      <c r="H22" s="144"/>
      <c r="I22" s="144"/>
      <c r="J22" s="144"/>
      <c r="K22" s="145"/>
    </row>
    <row r="23" customFormat="false" ht="10.5" hidden="false" customHeight="true" outlineLevel="0" collapsed="false">
      <c r="A23" s="143"/>
      <c r="B23" s="144"/>
      <c r="C23" s="144"/>
      <c r="D23" s="144"/>
      <c r="E23" s="144"/>
      <c r="F23" s="144"/>
      <c r="G23" s="144"/>
      <c r="H23" s="144"/>
      <c r="I23" s="144"/>
      <c r="J23" s="144"/>
      <c r="K23" s="145"/>
    </row>
    <row r="24" customFormat="false" ht="15" hidden="false" customHeight="false" outlineLevel="0" collapsed="false">
      <c r="A24" s="146"/>
      <c r="B24" s="147"/>
      <c r="C24" s="147"/>
      <c r="D24" s="147"/>
      <c r="E24" s="147"/>
      <c r="F24" s="147"/>
      <c r="G24" s="147"/>
      <c r="H24" s="147"/>
      <c r="I24" s="147"/>
      <c r="J24" s="147"/>
      <c r="K24" s="148"/>
    </row>
    <row r="25" customFormat="false" ht="15" hidden="false" customHeight="false" outlineLevel="0" collapsed="false"/>
    <row r="26" customFormat="false" ht="15" hidden="false" customHeight="false" outlineLevel="0" collapsed="false">
      <c r="A26" s="131" t="s">
        <v>108</v>
      </c>
      <c r="B26" s="132"/>
      <c r="C26" s="132"/>
      <c r="D26" s="132"/>
      <c r="E26" s="132"/>
      <c r="F26" s="132"/>
      <c r="G26" s="132"/>
      <c r="H26" s="132"/>
      <c r="I26" s="132"/>
      <c r="J26" s="132"/>
      <c r="K26" s="133"/>
    </row>
    <row r="27" customFormat="false" ht="18" hidden="false" customHeight="false" outlineLevel="0" collapsed="false">
      <c r="A27" s="150"/>
      <c r="B27" s="141"/>
      <c r="C27" s="141"/>
      <c r="D27" s="141"/>
      <c r="E27" s="141"/>
      <c r="F27" s="141"/>
      <c r="G27" s="141"/>
      <c r="H27" s="141"/>
      <c r="I27" s="141"/>
      <c r="J27" s="141"/>
      <c r="K27" s="142"/>
    </row>
    <row r="28" customFormat="false" ht="18" hidden="false" customHeight="false" outlineLevel="0" collapsed="false">
      <c r="A28" s="151"/>
      <c r="B28" s="144"/>
      <c r="C28" s="144"/>
      <c r="D28" s="144"/>
      <c r="E28" s="144"/>
      <c r="F28" s="144"/>
      <c r="G28" s="144"/>
      <c r="H28" s="144"/>
      <c r="I28" s="144"/>
      <c r="J28" s="144"/>
      <c r="K28" s="145"/>
    </row>
    <row r="29" customFormat="false" ht="18" hidden="false" customHeight="false" outlineLevel="0" collapsed="false">
      <c r="A29" s="151"/>
      <c r="B29" s="144"/>
      <c r="C29" s="144"/>
      <c r="D29" s="144"/>
      <c r="E29" s="144"/>
      <c r="F29" s="144"/>
      <c r="G29" s="144"/>
      <c r="H29" s="144"/>
      <c r="I29" s="144"/>
      <c r="J29" s="144"/>
      <c r="K29" s="145"/>
    </row>
    <row r="30" customFormat="false" ht="18" hidden="false" customHeight="false" outlineLevel="0" collapsed="false">
      <c r="A30" s="151"/>
      <c r="B30" s="144"/>
      <c r="C30" s="144"/>
      <c r="D30" s="144"/>
      <c r="E30" s="144"/>
      <c r="F30" s="144"/>
      <c r="G30" s="144"/>
      <c r="H30" s="144"/>
      <c r="I30" s="144"/>
      <c r="J30" s="144"/>
      <c r="K30" s="145"/>
    </row>
    <row r="31" customFormat="false" ht="18" hidden="false" customHeight="false" outlineLevel="0" collapsed="false">
      <c r="A31" s="151"/>
      <c r="B31" s="144"/>
      <c r="C31" s="144"/>
      <c r="D31" s="144"/>
      <c r="E31" s="144"/>
      <c r="F31" s="144"/>
      <c r="G31" s="144"/>
      <c r="H31" s="144"/>
      <c r="I31" s="144"/>
      <c r="J31" s="144"/>
      <c r="K31" s="145"/>
    </row>
    <row r="32" customFormat="false" ht="18" hidden="false" customHeight="false" outlineLevel="0" collapsed="false">
      <c r="A32" s="151"/>
      <c r="B32" s="144"/>
      <c r="C32" s="144"/>
      <c r="D32" s="144"/>
      <c r="E32" s="144"/>
      <c r="F32" s="144"/>
      <c r="G32" s="144"/>
      <c r="H32" s="144"/>
      <c r="I32" s="144"/>
      <c r="J32" s="144"/>
      <c r="K32" s="145"/>
    </row>
    <row r="33" customFormat="false" ht="18" hidden="false" customHeight="false" outlineLevel="0" collapsed="false">
      <c r="A33" s="151"/>
      <c r="B33" s="144"/>
      <c r="C33" s="144"/>
      <c r="D33" s="144"/>
      <c r="E33" s="144"/>
      <c r="F33" s="144"/>
      <c r="G33" s="144"/>
      <c r="H33" s="144"/>
      <c r="I33" s="144"/>
      <c r="J33" s="144"/>
      <c r="K33" s="145"/>
    </row>
    <row r="34" customFormat="false" ht="18" hidden="false" customHeight="false" outlineLevel="0" collapsed="false">
      <c r="A34" s="151"/>
      <c r="B34" s="144"/>
      <c r="C34" s="144"/>
      <c r="D34" s="144"/>
      <c r="E34" s="144"/>
      <c r="F34" s="144"/>
      <c r="G34" s="144"/>
      <c r="H34" s="144"/>
      <c r="I34" s="144"/>
      <c r="J34" s="144"/>
      <c r="K34" s="145"/>
    </row>
    <row r="35" customFormat="false" ht="18" hidden="false" customHeight="false" outlineLevel="0" collapsed="false">
      <c r="A35" s="151"/>
      <c r="B35" s="144"/>
      <c r="C35" s="144"/>
      <c r="D35" s="144"/>
      <c r="E35" s="144"/>
      <c r="F35" s="144"/>
      <c r="G35" s="144"/>
      <c r="H35" s="144"/>
      <c r="I35" s="144"/>
      <c r="J35" s="144"/>
      <c r="K35" s="145"/>
    </row>
    <row r="36" customFormat="false" ht="18" hidden="false" customHeight="false" outlineLevel="0" collapsed="false">
      <c r="A36" s="151"/>
      <c r="B36" s="144"/>
      <c r="C36" s="144"/>
      <c r="D36" s="144"/>
      <c r="E36" s="144"/>
      <c r="F36" s="144"/>
      <c r="G36" s="144"/>
      <c r="H36" s="144"/>
      <c r="I36" s="144"/>
      <c r="J36" s="144"/>
      <c r="K36" s="145"/>
    </row>
    <row r="37" customFormat="false" ht="18" hidden="false" customHeight="false" outlineLevel="0" collapsed="false">
      <c r="A37" s="151"/>
      <c r="B37" s="144"/>
      <c r="C37" s="144"/>
      <c r="D37" s="144"/>
      <c r="E37" s="144"/>
      <c r="F37" s="144"/>
      <c r="G37" s="144"/>
      <c r="H37" s="144"/>
      <c r="I37" s="144"/>
      <c r="J37" s="144"/>
      <c r="K37" s="145"/>
    </row>
    <row r="38" customFormat="false" ht="18" hidden="false" customHeight="false" outlineLevel="0" collapsed="false">
      <c r="A38" s="152"/>
      <c r="B38" s="147"/>
      <c r="C38" s="147"/>
      <c r="D38" s="147"/>
      <c r="E38" s="147"/>
      <c r="F38" s="147"/>
      <c r="G38" s="147"/>
      <c r="H38" s="147"/>
      <c r="I38" s="147"/>
      <c r="J38" s="147"/>
      <c r="K38" s="148"/>
    </row>
    <row r="40"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6.xml><?xml version="1.0" encoding="utf-8"?>
<worksheet xmlns="http://schemas.openxmlformats.org/spreadsheetml/2006/main" xmlns:r="http://schemas.openxmlformats.org/officeDocument/2006/relationships">
  <sheetPr filterMode="false">
    <tabColor rgb="FFFFFF99"/>
    <pageSetUpPr fitToPage="true"/>
  </sheetPr>
  <dimension ref="A1:N2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5" activeCellId="0" sqref="D15"/>
    </sheetView>
  </sheetViews>
  <sheetFormatPr defaultRowHeight="15" zeroHeight="true" outlineLevelRow="0" outlineLevelCol="0"/>
  <cols>
    <col collapsed="false" customWidth="true" hidden="false" outlineLevel="0" max="3" min="1" style="4" width="12.29"/>
    <col collapsed="false" customWidth="true" hidden="false" outlineLevel="0" max="10" min="4" style="4" width="14.28"/>
    <col collapsed="false" customWidth="true" hidden="false" outlineLevel="0" max="11" min="11" style="4" width="9.14"/>
    <col collapsed="false" customWidth="true" hidden="false" outlineLevel="0" max="12" min="12" style="22" width="2.14"/>
    <col collapsed="false" customWidth="true" hidden="true" outlineLevel="0" max="28" min="13" style="112" width="9.14"/>
    <col collapsed="false" customWidth="true" hidden="true" outlineLevel="0" max="1025" min="29" style="4" width="9.14"/>
  </cols>
  <sheetData>
    <row r="1" customFormat="false" ht="28.5" hidden="false" customHeight="true" outlineLevel="0" collapsed="false">
      <c r="A1" s="137" t="s">
        <v>109</v>
      </c>
      <c r="B1" s="138"/>
      <c r="C1" s="138"/>
      <c r="D1" s="138"/>
      <c r="E1" s="138"/>
      <c r="F1" s="138"/>
      <c r="G1" s="138"/>
      <c r="H1" s="138"/>
      <c r="I1" s="138"/>
      <c r="J1" s="138"/>
      <c r="K1" s="139" t="s">
        <v>110</v>
      </c>
    </row>
    <row r="2" customFormat="false" ht="19.5" hidden="false" customHeight="true" outlineLevel="0" collapsed="false">
      <c r="A2" s="52"/>
      <c r="B2" s="116"/>
      <c r="C2" s="117"/>
      <c r="D2" s="86"/>
      <c r="E2" s="118"/>
      <c r="F2" s="48"/>
      <c r="G2" s="48"/>
      <c r="H2" s="119"/>
      <c r="I2" s="86"/>
      <c r="J2" s="86"/>
      <c r="K2" s="120"/>
      <c r="N2" s="112" t="s">
        <v>111</v>
      </c>
    </row>
    <row r="3" customFormat="false" ht="13.15" hidden="false" customHeight="true" outlineLevel="0" collapsed="false">
      <c r="A3" s="52" t="s">
        <v>103</v>
      </c>
      <c r="B3" s="116"/>
      <c r="C3" s="48"/>
      <c r="D3" s="67" t="str">
        <f aca="false">'Reference sheet'!C12</f>
        <v>TEST</v>
      </c>
      <c r="E3" s="118"/>
      <c r="F3" s="48"/>
      <c r="G3" s="121" t="s">
        <v>49</v>
      </c>
      <c r="H3" s="123" t="str">
        <f aca="false">'Reference sheet'!C17</f>
        <v>July</v>
      </c>
      <c r="I3" s="123" t="n">
        <f aca="false">'Reference sheet'!D17</f>
        <v>2018</v>
      </c>
      <c r="J3" s="121" t="s">
        <v>46</v>
      </c>
      <c r="K3" s="124" t="n">
        <f aca="false">'Reference sheet'!C15</f>
        <v>1</v>
      </c>
      <c r="N3" s="112" t="s">
        <v>112</v>
      </c>
    </row>
    <row r="4" customFormat="false" ht="13.15" hidden="false" customHeight="true" outlineLevel="0" collapsed="false">
      <c r="A4" s="82"/>
      <c r="B4" s="126"/>
      <c r="C4" s="107"/>
      <c r="D4" s="107"/>
      <c r="E4" s="107"/>
      <c r="F4" s="107"/>
      <c r="G4" s="127"/>
      <c r="H4" s="107"/>
      <c r="I4" s="107"/>
      <c r="J4" s="107"/>
      <c r="K4" s="128"/>
    </row>
    <row r="5" customFormat="false" ht="15" hidden="false" customHeight="false" outlineLevel="0" collapsed="false">
      <c r="A5" s="48"/>
      <c r="B5" s="129"/>
      <c r="C5" s="48"/>
      <c r="D5" s="48"/>
      <c r="E5" s="48"/>
      <c r="F5" s="48"/>
      <c r="G5" s="130"/>
      <c r="H5" s="48"/>
      <c r="I5" s="48"/>
      <c r="J5" s="48"/>
      <c r="K5" s="129"/>
    </row>
    <row r="6" customFormat="false" ht="18.75" hidden="false" customHeight="true" outlineLevel="0" collapsed="false">
      <c r="A6" s="153" t="s">
        <v>113</v>
      </c>
      <c r="B6" s="85"/>
      <c r="C6" s="154"/>
      <c r="D6" s="155"/>
      <c r="E6" s="155"/>
      <c r="F6" s="155"/>
      <c r="G6" s="155"/>
      <c r="H6" s="155"/>
      <c r="I6" s="155"/>
      <c r="J6" s="155"/>
      <c r="K6" s="156"/>
    </row>
    <row r="7" customFormat="false" ht="18.75" hidden="false" customHeight="true" outlineLevel="0" collapsed="false">
      <c r="A7" s="157" t="s">
        <v>114</v>
      </c>
      <c r="B7" s="86"/>
      <c r="C7" s="80"/>
      <c r="D7" s="155"/>
      <c r="E7" s="155"/>
      <c r="F7" s="155"/>
      <c r="G7" s="155"/>
      <c r="H7" s="155"/>
      <c r="I7" s="155"/>
      <c r="J7" s="155"/>
      <c r="K7" s="156"/>
    </row>
    <row r="8" customFormat="false" ht="18.75" hidden="false" customHeight="true" outlineLevel="0" collapsed="false">
      <c r="A8" s="157" t="s">
        <v>115</v>
      </c>
      <c r="B8" s="86"/>
      <c r="C8" s="80"/>
      <c r="D8" s="155"/>
      <c r="E8" s="155"/>
      <c r="F8" s="155"/>
      <c r="G8" s="155"/>
      <c r="H8" s="155"/>
      <c r="I8" s="155"/>
      <c r="J8" s="155"/>
      <c r="K8" s="156"/>
    </row>
    <row r="9" customFormat="false" ht="18.75" hidden="false" customHeight="true" outlineLevel="0" collapsed="false">
      <c r="A9" s="157" t="s">
        <v>116</v>
      </c>
      <c r="B9" s="86"/>
      <c r="C9" s="80"/>
      <c r="D9" s="155"/>
      <c r="E9" s="155"/>
      <c r="F9" s="155"/>
      <c r="G9" s="155"/>
      <c r="H9" s="155"/>
      <c r="I9" s="155"/>
      <c r="J9" s="155"/>
      <c r="K9" s="156"/>
    </row>
    <row r="10" customFormat="false" ht="18.75" hidden="false" customHeight="true" outlineLevel="0" collapsed="false">
      <c r="A10" s="157" t="s">
        <v>117</v>
      </c>
      <c r="B10" s="86"/>
      <c r="C10" s="80"/>
      <c r="D10" s="155"/>
      <c r="E10" s="155"/>
      <c r="F10" s="155"/>
      <c r="G10" s="155"/>
      <c r="H10" s="155"/>
      <c r="I10" s="155"/>
      <c r="J10" s="155"/>
      <c r="K10" s="156"/>
    </row>
    <row r="11" customFormat="false" ht="18.75" hidden="false" customHeight="true" outlineLevel="0" collapsed="false">
      <c r="A11" s="157" t="s">
        <v>3</v>
      </c>
      <c r="B11" s="86"/>
      <c r="C11" s="80"/>
      <c r="D11" s="155"/>
      <c r="E11" s="155"/>
      <c r="F11" s="155"/>
      <c r="G11" s="155"/>
      <c r="H11" s="155"/>
      <c r="I11" s="155"/>
      <c r="J11" s="155"/>
      <c r="K11" s="156"/>
    </row>
    <row r="12" customFormat="false" ht="18.75" hidden="false" customHeight="true" outlineLevel="0" collapsed="false">
      <c r="A12" s="157" t="s">
        <v>118</v>
      </c>
      <c r="B12" s="86"/>
      <c r="C12" s="80"/>
      <c r="D12" s="155"/>
      <c r="E12" s="155"/>
      <c r="F12" s="155"/>
      <c r="G12" s="155"/>
      <c r="H12" s="155"/>
      <c r="I12" s="155"/>
      <c r="J12" s="155"/>
      <c r="K12" s="156"/>
    </row>
    <row r="13" customFormat="false" ht="18.75" hidden="false" customHeight="true" outlineLevel="0" collapsed="false">
      <c r="A13" s="157" t="s">
        <v>119</v>
      </c>
      <c r="B13" s="86"/>
      <c r="C13" s="80"/>
      <c r="D13" s="155"/>
      <c r="E13" s="155"/>
      <c r="F13" s="155"/>
      <c r="G13" s="155"/>
      <c r="H13" s="155"/>
      <c r="I13" s="155"/>
      <c r="J13" s="155"/>
      <c r="K13" s="156"/>
    </row>
    <row r="14" customFormat="false" ht="18.75" hidden="false" customHeight="true" outlineLevel="0" collapsed="false">
      <c r="A14" s="157" t="s">
        <v>120</v>
      </c>
      <c r="B14" s="86"/>
      <c r="C14" s="80"/>
      <c r="D14" s="155"/>
      <c r="E14" s="155"/>
      <c r="F14" s="155"/>
      <c r="G14" s="155"/>
      <c r="H14" s="155"/>
      <c r="I14" s="155"/>
      <c r="J14" s="155"/>
      <c r="K14" s="156"/>
    </row>
    <row r="15" customFormat="false" ht="18.75" hidden="false" customHeight="true" outlineLevel="0" collapsed="false">
      <c r="A15" s="157" t="s">
        <v>121</v>
      </c>
      <c r="B15" s="86"/>
      <c r="C15" s="80"/>
      <c r="D15" s="158"/>
      <c r="E15" s="158"/>
      <c r="F15" s="158"/>
      <c r="G15" s="158"/>
      <c r="H15" s="155"/>
      <c r="I15" s="155"/>
      <c r="J15" s="155"/>
      <c r="K15" s="156"/>
    </row>
    <row r="16" customFormat="false" ht="18.75" hidden="false" customHeight="true" outlineLevel="0" collapsed="false">
      <c r="A16" s="157" t="s">
        <v>122</v>
      </c>
      <c r="B16" s="86"/>
      <c r="C16" s="80"/>
      <c r="D16" s="155"/>
      <c r="E16" s="155"/>
      <c r="F16" s="155"/>
      <c r="G16" s="156"/>
      <c r="H16" s="159" t="s">
        <v>123</v>
      </c>
      <c r="I16" s="159"/>
      <c r="J16" s="160"/>
      <c r="K16" s="160"/>
    </row>
    <row r="17" customFormat="false" ht="18.75" hidden="false" customHeight="true" outlineLevel="0" collapsed="false">
      <c r="A17" s="157" t="s">
        <v>124</v>
      </c>
      <c r="B17" s="86"/>
      <c r="C17" s="80"/>
      <c r="D17" s="161"/>
      <c r="E17" s="161"/>
      <c r="F17" s="161"/>
      <c r="G17" s="161"/>
      <c r="H17" s="155"/>
      <c r="I17" s="155"/>
      <c r="J17" s="155"/>
      <c r="K17" s="156"/>
    </row>
    <row r="18" customFormat="false" ht="18.75" hidden="false" customHeight="true" outlineLevel="0" collapsed="false">
      <c r="A18" s="157" t="s">
        <v>125</v>
      </c>
      <c r="B18" s="86"/>
      <c r="C18" s="80"/>
      <c r="D18" s="155"/>
      <c r="E18" s="155"/>
      <c r="F18" s="155"/>
      <c r="G18" s="162"/>
      <c r="H18" s="155"/>
      <c r="I18" s="155"/>
      <c r="J18" s="155"/>
      <c r="K18" s="156"/>
    </row>
    <row r="19" customFormat="false" ht="18.75" hidden="false" customHeight="true" outlineLevel="0" collapsed="false">
      <c r="A19" s="157" t="s">
        <v>126</v>
      </c>
      <c r="B19" s="86"/>
      <c r="C19" s="80"/>
      <c r="D19" s="155"/>
      <c r="E19" s="155"/>
      <c r="F19" s="155"/>
      <c r="G19" s="163" t="s">
        <v>40</v>
      </c>
      <c r="H19" s="155"/>
      <c r="I19" s="155"/>
      <c r="J19" s="155"/>
      <c r="K19" s="156"/>
    </row>
    <row r="20" customFormat="false" ht="18.75" hidden="false" customHeight="true" outlineLevel="0" collapsed="false">
      <c r="A20" s="157" t="s">
        <v>127</v>
      </c>
      <c r="B20" s="86"/>
      <c r="C20" s="80"/>
      <c r="D20" s="155"/>
      <c r="E20" s="155"/>
      <c r="F20" s="156"/>
      <c r="G20" s="164" t="s">
        <v>128</v>
      </c>
      <c r="H20" s="165"/>
      <c r="I20" s="166"/>
      <c r="J20" s="155"/>
      <c r="K20" s="156"/>
    </row>
    <row r="21" customFormat="false" ht="18.75" hidden="false" customHeight="true" outlineLevel="0" collapsed="false">
      <c r="A21" s="157" t="s">
        <v>129</v>
      </c>
      <c r="B21" s="86"/>
      <c r="C21" s="80"/>
      <c r="D21" s="155"/>
      <c r="E21" s="155"/>
      <c r="F21" s="156"/>
      <c r="G21" s="164" t="s">
        <v>128</v>
      </c>
      <c r="H21" s="165"/>
      <c r="I21" s="166"/>
      <c r="J21" s="155"/>
      <c r="K21" s="156"/>
    </row>
    <row r="22" customFormat="false" ht="18.75" hidden="false" customHeight="true" outlineLevel="0" collapsed="false">
      <c r="A22" s="157" t="s">
        <v>130</v>
      </c>
      <c r="B22" s="86"/>
      <c r="C22" s="80"/>
      <c r="D22" s="158"/>
      <c r="E22" s="158"/>
      <c r="F22" s="158"/>
      <c r="G22" s="158"/>
      <c r="H22" s="158"/>
      <c r="I22" s="158"/>
      <c r="J22" s="158"/>
      <c r="K22" s="167"/>
    </row>
    <row r="23" customFormat="false" ht="18.75" hidden="false" customHeight="true" outlineLevel="0" collapsed="false">
      <c r="A23" s="157" t="s">
        <v>131</v>
      </c>
      <c r="B23" s="86"/>
      <c r="C23" s="80"/>
      <c r="D23" s="155"/>
      <c r="E23" s="155"/>
      <c r="F23" s="155"/>
      <c r="G23" s="155"/>
      <c r="H23" s="155"/>
      <c r="I23" s="155"/>
      <c r="J23" s="155"/>
      <c r="K23" s="156"/>
    </row>
    <row r="24" customFormat="false" ht="18.75" hidden="false" customHeight="true" outlineLevel="0" collapsed="false">
      <c r="A24" s="168" t="s">
        <v>132</v>
      </c>
      <c r="B24" s="83"/>
      <c r="C24" s="136"/>
      <c r="D24" s="155"/>
      <c r="E24" s="155"/>
      <c r="F24" s="155"/>
      <c r="G24" s="155"/>
      <c r="H24" s="155"/>
      <c r="I24" s="155"/>
      <c r="J24" s="155"/>
      <c r="K24" s="156"/>
    </row>
    <row r="25" customFormat="false" ht="8.25" hidden="false" customHeight="true" outlineLevel="0" collapsed="false"/>
    <row r="26" customFormat="false" ht="18.75" hidden="true" customHeight="true" outlineLevel="0" collapsed="false"/>
    <row r="27" customFormat="false" ht="18.75" hidden="true" customHeight="true" outlineLevel="0" collapsed="false"/>
    <row r="28" customFormat="false" ht="18.75" hidden="true" customHeight="true" outlineLevel="0" collapsed="false"/>
    <row r="29" customFormat="false" ht="18.75" hidden="true" customHeight="true" outlineLevel="0" collapsed="false"/>
    <row r="30" customFormat="false" ht="18.75" hidden="true" customHeight="true" outlineLevel="0" collapsed="false"/>
    <row r="31" customFormat="false" ht="18.75" hidden="true" customHeight="true" outlineLevel="0" collapsed="false"/>
    <row r="32" customFormat="false" ht="18.75" hidden="true" customHeight="true" outlineLevel="0" collapsed="false"/>
    <row r="33" customFormat="false" ht="18.75" hidden="true" customHeight="true" outlineLevel="0" collapsed="false"/>
    <row r="34" customFormat="false" ht="18.75" hidden="true" customHeight="true" outlineLevel="0" collapsed="false"/>
    <row r="35" customFormat="false" ht="18.75" hidden="true" customHeight="true" outlineLevel="0" collapsed="false"/>
    <row r="36" customFormat="false" ht="18.75" hidden="true" customHeight="true" outlineLevel="0" collapsed="false"/>
    <row r="37" customFormat="false" ht="18.75" hidden="true" customHeight="true" outlineLevel="0" collapsed="false"/>
    <row r="38" customFormat="false" ht="18.75" hidden="true" customHeight="true" outlineLevel="0" collapsed="false"/>
    <row r="39" customFormat="false" ht="18.75" hidden="true" customHeight="true" outlineLevel="0" collapsed="false"/>
    <row r="40" customFormat="false" ht="18.75" hidden="true" customHeight="true" outlineLevel="0" collapsed="false"/>
    <row r="41" customFormat="false" ht="18.75" hidden="true" customHeight="true" outlineLevel="0" collapsed="false"/>
    <row r="42" customFormat="false" ht="18.75" hidden="true" customHeight="true" outlineLevel="0" collapsed="false"/>
    <row r="43" customFormat="false" ht="18.75" hidden="true" customHeight="true" outlineLevel="0" collapsed="false"/>
    <row r="44" customFormat="false" ht="18.75" hidden="true" customHeight="true" outlineLevel="0" collapsed="false"/>
    <row r="45" customFormat="false" ht="18.75" hidden="true" customHeight="true" outlineLevel="0" collapsed="false"/>
    <row r="46" customFormat="false" ht="18.75" hidden="true" customHeight="true" outlineLevel="0" collapsed="false"/>
    <row r="47" customFormat="false" ht="18.75" hidden="true" customHeight="true" outlineLevel="0" collapsed="false"/>
    <row r="48" customFormat="false" ht="18.75" hidden="true" customHeight="true" outlineLevel="0" collapsed="false"/>
    <row r="49" customFormat="false" ht="18.75" hidden="true" customHeight="true" outlineLevel="0" collapsed="false"/>
    <row r="50" customFormat="false" ht="18.75" hidden="true" customHeight="true" outlineLevel="0" collapsed="false"/>
    <row r="51" customFormat="false" ht="18.75" hidden="true" customHeight="true" outlineLevel="0" collapsed="false"/>
    <row r="52" customFormat="false" ht="18.75" hidden="true" customHeight="true" outlineLevel="0" collapsed="false"/>
    <row r="53" customFormat="false" ht="18.75" hidden="true" customHeight="true" outlineLevel="0" collapsed="false"/>
    <row r="54" customFormat="false" ht="18.75" hidden="true" customHeight="true" outlineLevel="0" collapsed="false"/>
    <row r="55" customFormat="false" ht="18.75" hidden="true" customHeight="true" outlineLevel="0" collapsed="false"/>
    <row r="56" customFormat="false" ht="18.75" hidden="true" customHeight="true" outlineLevel="0" collapsed="false"/>
    <row r="57" customFormat="false" ht="18.75" hidden="true" customHeight="true" outlineLevel="0" collapsed="false"/>
    <row r="58" customFormat="false" ht="18.75" hidden="true" customHeight="true" outlineLevel="0" collapsed="false"/>
    <row r="59" customFormat="false" ht="18.75" hidden="true" customHeight="true" outlineLevel="0" collapsed="false"/>
    <row r="60" customFormat="false" ht="18.75" hidden="true" customHeight="true" outlineLevel="0" collapsed="false"/>
    <row r="61" customFormat="false" ht="18.75" hidden="true" customHeight="true" outlineLevel="0" collapsed="false"/>
    <row r="62" customFormat="false" ht="18.75" hidden="true" customHeight="true" outlineLevel="0" collapsed="false"/>
    <row r="63" customFormat="false" ht="18.75" hidden="true" customHeight="true" outlineLevel="0" collapsed="false"/>
    <row r="64" customFormat="false" ht="18.75" hidden="true" customHeight="true" outlineLevel="0" collapsed="false"/>
    <row r="65" customFormat="false" ht="18.75" hidden="true" customHeight="true" outlineLevel="0" collapsed="false"/>
    <row r="66" customFormat="false" ht="18.75" hidden="true" customHeight="true" outlineLevel="0" collapsed="false"/>
  </sheetData>
  <mergeCells count="1">
    <mergeCell ref="J16:K16"/>
  </mergeCells>
  <dataValidations count="1">
    <dataValidation allowBlank="true" operator="between" showDropDown="false" showErrorMessage="true" showInputMessage="true" sqref="J16:K16" type="list">
      <formula1>$N$1:$N$3</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7.xml><?xml version="1.0" encoding="utf-8"?>
<worksheet xmlns="http://schemas.openxmlformats.org/spreadsheetml/2006/main" xmlns:r="http://schemas.openxmlformats.org/officeDocument/2006/relationships">
  <sheetPr filterMode="false">
    <tabColor rgb="FFFFFF99"/>
    <pageSetUpPr fitToPage="true"/>
  </sheetPr>
  <dimension ref="A1:Y69"/>
  <sheetViews>
    <sheetView showFormulas="false" showGridLines="false" showRowColHeaders="true" showZeros="true" rightToLeft="false" tabSelected="false" showOutlineSymbols="true" defaultGridColor="true" view="normal" topLeftCell="A7" colorId="64" zoomScale="80" zoomScaleNormal="80" zoomScalePageLayoutView="100" workbookViewId="0">
      <selection pane="topLeft" activeCell="A7" activeCellId="0" sqref="A7"/>
    </sheetView>
  </sheetViews>
  <sheetFormatPr defaultRowHeight="15" zeroHeight="true" outlineLevelRow="0" outlineLevelCol="0"/>
  <cols>
    <col collapsed="false" customWidth="true" hidden="false" outlineLevel="0" max="1" min="1" style="169" width="19.29"/>
    <col collapsed="false" customWidth="true" hidden="false" outlineLevel="0" max="10" min="2" style="41" width="19.29"/>
    <col collapsed="false" customWidth="true" hidden="false" outlineLevel="0" max="11" min="11" style="170" width="15.42"/>
    <col collapsed="false" customWidth="true" hidden="false" outlineLevel="0" max="12" min="12" style="89" width="3.14"/>
    <col collapsed="false" customWidth="true" hidden="true" outlineLevel="0" max="25" min="13" style="171" width="10.99"/>
    <col collapsed="false" customWidth="true" hidden="true" outlineLevel="0" max="1025" min="26" style="172" width="10.99"/>
  </cols>
  <sheetData>
    <row r="1" s="178" customFormat="true" ht="31.5" hidden="false" customHeight="true" outlineLevel="0" collapsed="false">
      <c r="A1" s="173" t="str">
        <f aca="false">'2.0 Company Profile'!A1</f>
        <v>Company Summary</v>
      </c>
      <c r="B1" s="174"/>
      <c r="C1" s="174"/>
      <c r="D1" s="174"/>
      <c r="E1" s="174"/>
      <c r="F1" s="174"/>
      <c r="G1" s="174"/>
      <c r="H1" s="174"/>
      <c r="I1" s="174"/>
      <c r="J1" s="174"/>
      <c r="K1" s="175" t="s">
        <v>133</v>
      </c>
      <c r="L1" s="176"/>
      <c r="M1" s="177"/>
      <c r="N1" s="177"/>
      <c r="O1" s="177"/>
      <c r="P1" s="177"/>
      <c r="Q1" s="177"/>
      <c r="R1" s="177"/>
      <c r="S1" s="177"/>
      <c r="T1" s="177"/>
      <c r="U1" s="177"/>
      <c r="V1" s="177"/>
      <c r="W1" s="177"/>
      <c r="X1" s="177"/>
      <c r="Y1" s="177"/>
    </row>
    <row r="2" s="178" customFormat="true" ht="21" hidden="false" customHeight="false" outlineLevel="0" collapsed="false">
      <c r="A2" s="1"/>
      <c r="B2" s="179"/>
      <c r="C2" s="180"/>
      <c r="D2" s="181"/>
      <c r="E2" s="182"/>
      <c r="F2" s="2"/>
      <c r="G2" s="2"/>
      <c r="H2" s="40"/>
      <c r="I2" s="181"/>
      <c r="J2" s="181"/>
      <c r="K2" s="183"/>
      <c r="L2" s="176"/>
      <c r="M2" s="177"/>
      <c r="N2" s="177"/>
      <c r="O2" s="177"/>
      <c r="P2" s="177"/>
      <c r="Q2" s="177"/>
      <c r="R2" s="177"/>
      <c r="S2" s="177"/>
      <c r="T2" s="177"/>
      <c r="U2" s="177"/>
      <c r="V2" s="177"/>
      <c r="W2" s="177"/>
      <c r="X2" s="177"/>
      <c r="Y2" s="177"/>
    </row>
    <row r="3" customFormat="false" ht="15" hidden="false" customHeight="false" outlineLevel="0" collapsed="false">
      <c r="A3" s="1" t="s">
        <v>103</v>
      </c>
      <c r="B3" s="179"/>
      <c r="C3" s="184" t="str">
        <f aca="false">'Reference sheet'!C12</f>
        <v>TEST</v>
      </c>
      <c r="D3" s="181"/>
      <c r="E3" s="182"/>
      <c r="F3" s="2"/>
      <c r="G3" s="185" t="s">
        <v>49</v>
      </c>
      <c r="H3" s="186" t="str">
        <f aca="false">'Reference sheet'!C17</f>
        <v>July</v>
      </c>
      <c r="I3" s="187" t="n">
        <f aca="false">'Reference sheet'!D17</f>
        <v>2018</v>
      </c>
      <c r="J3" s="185" t="s">
        <v>46</v>
      </c>
      <c r="K3" s="188" t="n">
        <f aca="false">'Reference sheet'!C15</f>
        <v>1</v>
      </c>
    </row>
    <row r="4" customFormat="false" ht="15" hidden="false" customHeight="false" outlineLevel="0" collapsed="false">
      <c r="A4" s="49"/>
      <c r="B4" s="189"/>
      <c r="C4" s="50"/>
      <c r="D4" s="50"/>
      <c r="E4" s="50"/>
      <c r="F4" s="50"/>
      <c r="G4" s="190"/>
      <c r="H4" s="50"/>
      <c r="I4" s="50"/>
      <c r="J4" s="50"/>
      <c r="K4" s="191"/>
    </row>
    <row r="5" customFormat="false" ht="15" hidden="false" customHeight="false" outlineLevel="0" collapsed="false">
      <c r="A5" s="1"/>
      <c r="B5" s="2"/>
      <c r="C5" s="2"/>
      <c r="D5" s="2"/>
      <c r="E5" s="2"/>
      <c r="F5" s="2"/>
      <c r="G5" s="2"/>
      <c r="H5" s="2"/>
      <c r="I5" s="2"/>
      <c r="J5" s="2"/>
      <c r="K5" s="3"/>
    </row>
    <row r="6" s="195" customFormat="true" ht="13.15" hidden="false" customHeight="true" outlineLevel="0" collapsed="false">
      <c r="A6" s="192" t="s">
        <v>134</v>
      </c>
      <c r="B6" s="193"/>
      <c r="C6" s="193"/>
      <c r="D6" s="193"/>
      <c r="E6" s="193"/>
      <c r="F6" s="193"/>
      <c r="G6" s="193"/>
      <c r="H6" s="193"/>
      <c r="I6" s="193"/>
      <c r="J6" s="193"/>
      <c r="K6" s="194"/>
      <c r="L6" s="91"/>
    </row>
    <row r="7" customFormat="false" ht="15" hidden="false" customHeight="false" outlineLevel="0" collapsed="false">
      <c r="A7" s="196"/>
      <c r="B7" s="197"/>
      <c r="C7" s="197"/>
      <c r="D7" s="197"/>
      <c r="E7" s="197"/>
      <c r="F7" s="197"/>
      <c r="G7" s="197"/>
      <c r="H7" s="197"/>
      <c r="I7" s="197"/>
      <c r="J7" s="197"/>
      <c r="K7" s="198"/>
    </row>
    <row r="8" customFormat="false" ht="15" hidden="false" customHeight="false" outlineLevel="0" collapsed="false">
      <c r="A8" s="199"/>
      <c r="B8" s="200"/>
      <c r="C8" s="200"/>
      <c r="D8" s="200"/>
      <c r="E8" s="200"/>
      <c r="F8" s="200"/>
      <c r="G8" s="200"/>
      <c r="H8" s="200"/>
      <c r="I8" s="200"/>
      <c r="J8" s="200"/>
      <c r="K8" s="201"/>
    </row>
    <row r="9" customFormat="false" ht="15" hidden="false" customHeight="false" outlineLevel="0" collapsed="false">
      <c r="A9" s="199"/>
      <c r="B9" s="200"/>
      <c r="C9" s="200"/>
      <c r="D9" s="200"/>
      <c r="E9" s="200"/>
      <c r="F9" s="200"/>
      <c r="G9" s="200"/>
      <c r="H9" s="200"/>
      <c r="I9" s="200"/>
      <c r="J9" s="200"/>
      <c r="K9" s="201"/>
    </row>
    <row r="10" customFormat="false" ht="15" hidden="false" customHeight="false" outlineLevel="0" collapsed="false">
      <c r="A10" s="199"/>
      <c r="B10" s="200"/>
      <c r="C10" s="200"/>
      <c r="D10" s="200"/>
      <c r="E10" s="200"/>
      <c r="F10" s="200"/>
      <c r="G10" s="200"/>
      <c r="H10" s="200"/>
      <c r="I10" s="200"/>
      <c r="J10" s="200"/>
      <c r="K10" s="201"/>
    </row>
    <row r="11" customFormat="false" ht="15" hidden="false" customHeight="false" outlineLevel="0" collapsed="false">
      <c r="A11" s="199"/>
      <c r="B11" s="200"/>
      <c r="C11" s="200"/>
      <c r="D11" s="200"/>
      <c r="E11" s="200"/>
      <c r="F11" s="200"/>
      <c r="G11" s="200"/>
      <c r="H11" s="200"/>
      <c r="I11" s="200"/>
      <c r="J11" s="200"/>
      <c r="K11" s="201"/>
    </row>
    <row r="12" customFormat="false" ht="15" hidden="false" customHeight="false" outlineLevel="0" collapsed="false">
      <c r="A12" s="199"/>
      <c r="B12" s="200"/>
      <c r="C12" s="200"/>
      <c r="D12" s="200"/>
      <c r="E12" s="200"/>
      <c r="F12" s="200"/>
      <c r="G12" s="200"/>
      <c r="H12" s="200"/>
      <c r="I12" s="200"/>
      <c r="J12" s="200"/>
      <c r="K12" s="201"/>
    </row>
    <row r="13" customFormat="false" ht="15" hidden="false" customHeight="false" outlineLevel="0" collapsed="false">
      <c r="A13" s="202"/>
      <c r="B13" s="203"/>
      <c r="C13" s="203"/>
      <c r="D13" s="203"/>
      <c r="E13" s="203"/>
      <c r="F13" s="203"/>
      <c r="G13" s="203"/>
      <c r="H13" s="203"/>
      <c r="I13" s="203"/>
      <c r="J13" s="203"/>
      <c r="K13" s="204"/>
    </row>
    <row r="14" customFormat="false" ht="15" hidden="false" customHeight="false" outlineLevel="0" collapsed="false">
      <c r="A14" s="205"/>
      <c r="B14" s="206"/>
      <c r="C14" s="206"/>
      <c r="D14" s="206"/>
      <c r="E14" s="206"/>
      <c r="F14" s="206"/>
      <c r="G14" s="206"/>
      <c r="H14" s="206"/>
      <c r="I14" s="206"/>
      <c r="J14" s="206"/>
      <c r="K14" s="207"/>
    </row>
    <row r="15" s="208" customFormat="true" ht="15" hidden="false" customHeight="true" outlineLevel="0" collapsed="false">
      <c r="A15" s="192" t="s">
        <v>135</v>
      </c>
      <c r="B15" s="193"/>
      <c r="C15" s="193"/>
      <c r="D15" s="193"/>
      <c r="E15" s="193"/>
      <c r="F15" s="193"/>
      <c r="G15" s="193"/>
      <c r="H15" s="193"/>
      <c r="I15" s="193"/>
      <c r="J15" s="193"/>
      <c r="K15" s="194"/>
      <c r="L15" s="91"/>
    </row>
    <row r="16" customFormat="false" ht="15" hidden="false" customHeight="false" outlineLevel="0" collapsed="false">
      <c r="A16" s="196"/>
      <c r="B16" s="197"/>
      <c r="C16" s="197"/>
      <c r="D16" s="197"/>
      <c r="E16" s="197"/>
      <c r="F16" s="197"/>
      <c r="G16" s="197"/>
      <c r="H16" s="197"/>
      <c r="I16" s="197"/>
      <c r="J16" s="197"/>
      <c r="K16" s="198"/>
    </row>
    <row r="17" customFormat="false" ht="15" hidden="false" customHeight="false" outlineLevel="0" collapsed="false">
      <c r="A17" s="199"/>
      <c r="B17" s="200"/>
      <c r="C17" s="200"/>
      <c r="D17" s="200"/>
      <c r="E17" s="200"/>
      <c r="F17" s="200"/>
      <c r="G17" s="200"/>
      <c r="H17" s="200"/>
      <c r="I17" s="200"/>
      <c r="J17" s="200"/>
      <c r="K17" s="201"/>
    </row>
    <row r="18" customFormat="false" ht="15" hidden="false" customHeight="false" outlineLevel="0" collapsed="false">
      <c r="A18" s="199"/>
      <c r="B18" s="200"/>
      <c r="C18" s="200"/>
      <c r="D18" s="200"/>
      <c r="E18" s="200"/>
      <c r="F18" s="200"/>
      <c r="G18" s="200"/>
      <c r="H18" s="200"/>
      <c r="I18" s="200"/>
      <c r="J18" s="200"/>
      <c r="K18" s="201"/>
    </row>
    <row r="19" customFormat="false" ht="15" hidden="false" customHeight="false" outlineLevel="0" collapsed="false">
      <c r="A19" s="199"/>
      <c r="B19" s="200"/>
      <c r="C19" s="200"/>
      <c r="D19" s="200"/>
      <c r="E19" s="200"/>
      <c r="F19" s="200"/>
      <c r="G19" s="200"/>
      <c r="H19" s="200"/>
      <c r="I19" s="200"/>
      <c r="J19" s="200"/>
      <c r="K19" s="201"/>
    </row>
    <row r="20" customFormat="false" ht="15" hidden="false" customHeight="false" outlineLevel="0" collapsed="false">
      <c r="A20" s="199"/>
      <c r="B20" s="200"/>
      <c r="C20" s="200"/>
      <c r="D20" s="200"/>
      <c r="E20" s="200"/>
      <c r="F20" s="200"/>
      <c r="G20" s="200"/>
      <c r="H20" s="200"/>
      <c r="I20" s="200"/>
      <c r="J20" s="200"/>
      <c r="K20" s="201"/>
    </row>
    <row r="21" customFormat="false" ht="15" hidden="false" customHeight="false" outlineLevel="0" collapsed="false">
      <c r="A21" s="199"/>
      <c r="B21" s="200"/>
      <c r="C21" s="200"/>
      <c r="D21" s="200"/>
      <c r="E21" s="200"/>
      <c r="F21" s="200"/>
      <c r="G21" s="200"/>
      <c r="H21" s="200"/>
      <c r="I21" s="200"/>
      <c r="J21" s="200"/>
      <c r="K21" s="201"/>
    </row>
    <row r="22" customFormat="false" ht="15" hidden="false" customHeight="false" outlineLevel="0" collapsed="false">
      <c r="A22" s="199"/>
      <c r="B22" s="200"/>
      <c r="C22" s="200"/>
      <c r="D22" s="200"/>
      <c r="E22" s="200"/>
      <c r="F22" s="200"/>
      <c r="G22" s="200"/>
      <c r="H22" s="200"/>
      <c r="I22" s="200"/>
      <c r="J22" s="200"/>
      <c r="K22" s="201"/>
    </row>
    <row r="23" customFormat="false" ht="15" hidden="false" customHeight="false" outlineLevel="0" collapsed="false">
      <c r="A23" s="199"/>
      <c r="B23" s="200"/>
      <c r="C23" s="200"/>
      <c r="D23" s="200"/>
      <c r="E23" s="200"/>
      <c r="F23" s="200"/>
      <c r="G23" s="200"/>
      <c r="H23" s="200"/>
      <c r="I23" s="200"/>
      <c r="J23" s="200"/>
      <c r="K23" s="201"/>
    </row>
    <row r="24" customFormat="false" ht="15" hidden="false" customHeight="false" outlineLevel="0" collapsed="false">
      <c r="A24" s="199"/>
      <c r="B24" s="200"/>
      <c r="C24" s="200"/>
      <c r="D24" s="200"/>
      <c r="E24" s="200"/>
      <c r="F24" s="200"/>
      <c r="G24" s="200"/>
      <c r="H24" s="200"/>
      <c r="I24" s="200"/>
      <c r="J24" s="200"/>
      <c r="K24" s="201"/>
    </row>
    <row r="25" customFormat="false" ht="15" hidden="false" customHeight="false" outlineLevel="0" collapsed="false">
      <c r="A25" s="199"/>
      <c r="B25" s="200"/>
      <c r="C25" s="200"/>
      <c r="D25" s="200"/>
      <c r="E25" s="200"/>
      <c r="F25" s="200"/>
      <c r="G25" s="200"/>
      <c r="H25" s="200"/>
      <c r="I25" s="200"/>
      <c r="J25" s="200"/>
      <c r="K25" s="201"/>
    </row>
    <row r="26" customFormat="false" ht="15" hidden="false" customHeight="false" outlineLevel="0" collapsed="false">
      <c r="A26" s="199"/>
      <c r="B26" s="200"/>
      <c r="C26" s="200"/>
      <c r="D26" s="200"/>
      <c r="E26" s="200"/>
      <c r="F26" s="200"/>
      <c r="G26" s="200"/>
      <c r="H26" s="200"/>
      <c r="I26" s="200"/>
      <c r="J26" s="200"/>
      <c r="K26" s="201"/>
    </row>
    <row r="27" customFormat="false" ht="15" hidden="false" customHeight="false" outlineLevel="0" collapsed="false">
      <c r="A27" s="199"/>
      <c r="B27" s="200"/>
      <c r="C27" s="200"/>
      <c r="D27" s="200"/>
      <c r="E27" s="200"/>
      <c r="F27" s="200"/>
      <c r="G27" s="200"/>
      <c r="H27" s="200"/>
      <c r="I27" s="200"/>
      <c r="J27" s="200"/>
      <c r="K27" s="201"/>
    </row>
    <row r="28" customFormat="false" ht="15" hidden="false" customHeight="false" outlineLevel="0" collapsed="false">
      <c r="A28" s="199"/>
      <c r="B28" s="200"/>
      <c r="C28" s="200"/>
      <c r="D28" s="200"/>
      <c r="E28" s="200"/>
      <c r="F28" s="200"/>
      <c r="G28" s="200"/>
      <c r="H28" s="200"/>
      <c r="I28" s="200"/>
      <c r="J28" s="200"/>
      <c r="K28" s="201"/>
    </row>
    <row r="29" customFormat="false" ht="15" hidden="false" customHeight="false" outlineLevel="0" collapsed="false">
      <c r="A29" s="202"/>
      <c r="B29" s="203"/>
      <c r="C29" s="203"/>
      <c r="D29" s="203"/>
      <c r="E29" s="203"/>
      <c r="F29" s="203"/>
      <c r="G29" s="203"/>
      <c r="H29" s="203"/>
      <c r="I29" s="203"/>
      <c r="J29" s="203"/>
      <c r="K29" s="204"/>
    </row>
    <row r="30" customFormat="false" ht="15" hidden="false" customHeight="false" outlineLevel="0" collapsed="false">
      <c r="A30" s="205"/>
      <c r="B30" s="206"/>
      <c r="C30" s="206"/>
      <c r="D30" s="206"/>
      <c r="E30" s="206"/>
      <c r="F30" s="206"/>
      <c r="G30" s="206"/>
      <c r="H30" s="206"/>
      <c r="I30" s="206"/>
      <c r="J30" s="206"/>
      <c r="K30" s="209"/>
    </row>
    <row r="31" s="210" customFormat="true" ht="15" hidden="false" customHeight="false" outlineLevel="0" collapsed="false">
      <c r="A31" s="192" t="s">
        <v>136</v>
      </c>
      <c r="B31" s="193"/>
      <c r="C31" s="193"/>
      <c r="D31" s="193"/>
      <c r="E31" s="193"/>
      <c r="F31" s="193"/>
      <c r="G31" s="193"/>
      <c r="H31" s="193"/>
      <c r="I31" s="193"/>
      <c r="J31" s="193"/>
      <c r="K31" s="194"/>
      <c r="L31" s="89"/>
    </row>
    <row r="32" customFormat="false" ht="15" hidden="false" customHeight="false" outlineLevel="0" collapsed="false">
      <c r="A32" s="196"/>
      <c r="B32" s="197"/>
      <c r="C32" s="197"/>
      <c r="D32" s="197"/>
      <c r="E32" s="197"/>
      <c r="F32" s="197"/>
      <c r="G32" s="197"/>
      <c r="H32" s="197"/>
      <c r="I32" s="197"/>
      <c r="J32" s="197"/>
      <c r="K32" s="198"/>
    </row>
    <row r="33" customFormat="false" ht="15" hidden="false" customHeight="false" outlineLevel="0" collapsed="false">
      <c r="A33" s="199"/>
      <c r="B33" s="200"/>
      <c r="C33" s="200"/>
      <c r="D33" s="200"/>
      <c r="E33" s="200"/>
      <c r="F33" s="200"/>
      <c r="G33" s="200"/>
      <c r="H33" s="200"/>
      <c r="I33" s="200"/>
      <c r="J33" s="200"/>
      <c r="K33" s="201"/>
    </row>
    <row r="34" customFormat="false" ht="15" hidden="false" customHeight="false" outlineLevel="0" collapsed="false">
      <c r="A34" s="199"/>
      <c r="B34" s="200"/>
      <c r="C34" s="200"/>
      <c r="D34" s="200"/>
      <c r="E34" s="200"/>
      <c r="F34" s="200"/>
      <c r="G34" s="200"/>
      <c r="H34" s="200"/>
      <c r="I34" s="200"/>
      <c r="J34" s="200"/>
      <c r="K34" s="201"/>
    </row>
    <row r="35" customFormat="false" ht="15" hidden="false" customHeight="false" outlineLevel="0" collapsed="false">
      <c r="A35" s="199"/>
      <c r="B35" s="200"/>
      <c r="C35" s="200"/>
      <c r="D35" s="200"/>
      <c r="E35" s="200"/>
      <c r="F35" s="200"/>
      <c r="G35" s="200"/>
      <c r="H35" s="200"/>
      <c r="I35" s="200"/>
      <c r="J35" s="200"/>
      <c r="K35" s="201"/>
    </row>
    <row r="36" customFormat="false" ht="15" hidden="false" customHeight="false" outlineLevel="0" collapsed="false">
      <c r="A36" s="199"/>
      <c r="B36" s="200"/>
      <c r="C36" s="200"/>
      <c r="D36" s="200"/>
      <c r="E36" s="200"/>
      <c r="F36" s="200"/>
      <c r="G36" s="200"/>
      <c r="H36" s="200"/>
      <c r="I36" s="200"/>
      <c r="J36" s="200"/>
      <c r="K36" s="201"/>
    </row>
    <row r="37" customFormat="false" ht="15" hidden="false" customHeight="false" outlineLevel="0" collapsed="false">
      <c r="A37" s="199"/>
      <c r="B37" s="200"/>
      <c r="C37" s="200"/>
      <c r="D37" s="200"/>
      <c r="E37" s="200"/>
      <c r="F37" s="200"/>
      <c r="G37" s="200"/>
      <c r="H37" s="200"/>
      <c r="I37" s="200"/>
      <c r="J37" s="200"/>
      <c r="K37" s="201"/>
    </row>
    <row r="38" customFormat="false" ht="15" hidden="false" customHeight="false" outlineLevel="0" collapsed="false">
      <c r="A38" s="199"/>
      <c r="B38" s="200"/>
      <c r="C38" s="200"/>
      <c r="D38" s="200"/>
      <c r="E38" s="200"/>
      <c r="F38" s="200"/>
      <c r="G38" s="200"/>
      <c r="H38" s="200"/>
      <c r="I38" s="200"/>
      <c r="J38" s="200"/>
      <c r="K38" s="201"/>
    </row>
    <row r="39" customFormat="false" ht="15" hidden="false" customHeight="false" outlineLevel="0" collapsed="false">
      <c r="A39" s="199"/>
      <c r="B39" s="200"/>
      <c r="C39" s="200"/>
      <c r="D39" s="200"/>
      <c r="E39" s="200"/>
      <c r="F39" s="200"/>
      <c r="G39" s="200"/>
      <c r="H39" s="200"/>
      <c r="I39" s="200"/>
      <c r="J39" s="200"/>
      <c r="K39" s="201"/>
    </row>
    <row r="40" customFormat="false" ht="15" hidden="false" customHeight="false" outlineLevel="0" collapsed="false">
      <c r="A40" s="199"/>
      <c r="B40" s="200"/>
      <c r="C40" s="200"/>
      <c r="D40" s="200"/>
      <c r="E40" s="200"/>
      <c r="F40" s="200"/>
      <c r="G40" s="200"/>
      <c r="H40" s="200"/>
      <c r="I40" s="200"/>
      <c r="J40" s="200"/>
      <c r="K40" s="201"/>
    </row>
    <row r="41" customFormat="false" ht="15" hidden="false" customHeight="false" outlineLevel="0" collapsed="false">
      <c r="A41" s="199"/>
      <c r="B41" s="200"/>
      <c r="C41" s="200"/>
      <c r="D41" s="200"/>
      <c r="E41" s="200"/>
      <c r="F41" s="200"/>
      <c r="G41" s="200"/>
      <c r="H41" s="200"/>
      <c r="I41" s="200"/>
      <c r="J41" s="200"/>
      <c r="K41" s="201"/>
    </row>
    <row r="42" customFormat="false" ht="15" hidden="false" customHeight="false" outlineLevel="0" collapsed="false">
      <c r="A42" s="199"/>
      <c r="B42" s="200"/>
      <c r="C42" s="200"/>
      <c r="D42" s="200"/>
      <c r="E42" s="200"/>
      <c r="F42" s="200"/>
      <c r="G42" s="200"/>
      <c r="H42" s="200"/>
      <c r="I42" s="200"/>
      <c r="J42" s="200"/>
      <c r="K42" s="201"/>
    </row>
    <row r="43" customFormat="false" ht="15" hidden="false" customHeight="false" outlineLevel="0" collapsed="false">
      <c r="A43" s="199"/>
      <c r="B43" s="200"/>
      <c r="C43" s="200"/>
      <c r="D43" s="200"/>
      <c r="E43" s="200"/>
      <c r="F43" s="200"/>
      <c r="G43" s="200"/>
      <c r="H43" s="200"/>
      <c r="I43" s="200"/>
      <c r="J43" s="200"/>
      <c r="K43" s="201"/>
    </row>
    <row r="44" customFormat="false" ht="15" hidden="false" customHeight="false" outlineLevel="0" collapsed="false">
      <c r="A44" s="199"/>
      <c r="B44" s="200"/>
      <c r="C44" s="200"/>
      <c r="D44" s="200"/>
      <c r="E44" s="200"/>
      <c r="F44" s="200"/>
      <c r="G44" s="200"/>
      <c r="H44" s="200"/>
      <c r="I44" s="200"/>
      <c r="J44" s="200"/>
      <c r="K44" s="201"/>
    </row>
    <row r="45" customFormat="false" ht="15" hidden="false" customHeight="false" outlineLevel="0" collapsed="false">
      <c r="A45" s="199"/>
      <c r="B45" s="200"/>
      <c r="C45" s="200"/>
      <c r="D45" s="200"/>
      <c r="E45" s="200"/>
      <c r="F45" s="200"/>
      <c r="G45" s="200"/>
      <c r="H45" s="200"/>
      <c r="I45" s="200"/>
      <c r="J45" s="200"/>
      <c r="K45" s="201"/>
    </row>
    <row r="46" customFormat="false" ht="15" hidden="false" customHeight="false" outlineLevel="0" collapsed="false">
      <c r="A46" s="199"/>
      <c r="B46" s="200"/>
      <c r="C46" s="200"/>
      <c r="D46" s="200"/>
      <c r="E46" s="200"/>
      <c r="F46" s="200"/>
      <c r="G46" s="200"/>
      <c r="H46" s="200"/>
      <c r="I46" s="200"/>
      <c r="J46" s="200"/>
      <c r="K46" s="201"/>
    </row>
    <row r="47" customFormat="false" ht="15" hidden="false" customHeight="false" outlineLevel="0" collapsed="false">
      <c r="A47" s="202"/>
      <c r="B47" s="203"/>
      <c r="C47" s="203"/>
      <c r="D47" s="203"/>
      <c r="E47" s="203"/>
      <c r="F47" s="203"/>
      <c r="G47" s="203"/>
      <c r="H47" s="203"/>
      <c r="I47" s="203"/>
      <c r="J47" s="203"/>
      <c r="K47" s="204"/>
    </row>
    <row r="48" customFormat="false" ht="15" hidden="false" customHeight="false" outlineLevel="0" collapsed="false">
      <c r="A48" s="205"/>
      <c r="B48" s="206"/>
      <c r="C48" s="206"/>
      <c r="D48" s="206"/>
      <c r="E48" s="206"/>
      <c r="F48" s="206"/>
      <c r="G48" s="206"/>
      <c r="H48" s="206"/>
      <c r="I48" s="206"/>
      <c r="J48" s="206"/>
      <c r="K48" s="207"/>
    </row>
    <row r="49" customFormat="false" ht="15" hidden="false" customHeight="false" outlineLevel="0" collapsed="false">
      <c r="A49" s="192" t="s">
        <v>137</v>
      </c>
      <c r="B49" s="211"/>
      <c r="C49" s="211"/>
      <c r="D49" s="211"/>
      <c r="E49" s="211"/>
      <c r="F49" s="211"/>
      <c r="G49" s="211"/>
      <c r="H49" s="211"/>
      <c r="I49" s="211"/>
      <c r="J49" s="211"/>
      <c r="K49" s="212"/>
    </row>
    <row r="50" s="210" customFormat="true" ht="15" hidden="false" customHeight="false" outlineLevel="0" collapsed="false">
      <c r="A50" s="213"/>
      <c r="B50" s="214"/>
      <c r="C50" s="214"/>
      <c r="D50" s="214"/>
      <c r="E50" s="214"/>
      <c r="F50" s="214"/>
      <c r="G50" s="214"/>
      <c r="H50" s="214"/>
      <c r="I50" s="214"/>
      <c r="J50" s="214"/>
      <c r="K50" s="215"/>
      <c r="L50" s="89"/>
    </row>
    <row r="51" s="210" customFormat="true" ht="15" hidden="false" customHeight="false" outlineLevel="0" collapsed="false">
      <c r="A51" s="216"/>
      <c r="B51" s="217"/>
      <c r="C51" s="217"/>
      <c r="D51" s="217"/>
      <c r="E51" s="217"/>
      <c r="F51" s="217"/>
      <c r="G51" s="217"/>
      <c r="H51" s="217"/>
      <c r="I51" s="217"/>
      <c r="J51" s="217"/>
      <c r="K51" s="218"/>
      <c r="L51" s="89"/>
    </row>
    <row r="52" s="210" customFormat="true" ht="15" hidden="false" customHeight="false" outlineLevel="0" collapsed="false">
      <c r="A52" s="216"/>
      <c r="B52" s="217"/>
      <c r="C52" s="217"/>
      <c r="D52" s="217"/>
      <c r="E52" s="217"/>
      <c r="F52" s="217"/>
      <c r="G52" s="217"/>
      <c r="H52" s="217"/>
      <c r="I52" s="217"/>
      <c r="J52" s="217"/>
      <c r="K52" s="218"/>
      <c r="L52" s="89"/>
    </row>
    <row r="53" s="210" customFormat="true" ht="15" hidden="false" customHeight="false" outlineLevel="0" collapsed="false">
      <c r="A53" s="216"/>
      <c r="B53" s="217"/>
      <c r="C53" s="217"/>
      <c r="D53" s="217"/>
      <c r="E53" s="217"/>
      <c r="F53" s="217"/>
      <c r="G53" s="217"/>
      <c r="H53" s="217"/>
      <c r="I53" s="217"/>
      <c r="J53" s="217"/>
      <c r="K53" s="218"/>
      <c r="L53" s="89"/>
    </row>
    <row r="54" customFormat="false" ht="15" hidden="false" customHeight="false" outlineLevel="0" collapsed="false">
      <c r="A54" s="219"/>
      <c r="B54" s="220"/>
      <c r="C54" s="220"/>
      <c r="D54" s="220"/>
      <c r="E54" s="220"/>
      <c r="F54" s="220"/>
      <c r="G54" s="220"/>
      <c r="H54" s="220"/>
      <c r="I54" s="220"/>
      <c r="J54" s="220"/>
      <c r="K54" s="221"/>
    </row>
    <row r="55" customFormat="false" ht="15" hidden="false" customHeight="false" outlineLevel="0" collapsed="false"/>
    <row r="56" customFormat="false" ht="15" hidden="false" customHeight="false" outlineLevel="0" collapsed="false">
      <c r="A56" s="222" t="s">
        <v>138</v>
      </c>
      <c r="B56" s="223"/>
      <c r="C56" s="223"/>
      <c r="D56" s="223"/>
      <c r="E56" s="223"/>
      <c r="F56" s="223"/>
      <c r="G56" s="223"/>
      <c r="H56" s="223"/>
      <c r="I56" s="223"/>
      <c r="J56" s="211"/>
      <c r="K56" s="212"/>
    </row>
    <row r="57" customFormat="false" ht="15" hidden="false" customHeight="false" outlineLevel="0" collapsed="false">
      <c r="A57" s="213"/>
      <c r="B57" s="214"/>
      <c r="C57" s="214"/>
      <c r="D57" s="214"/>
      <c r="E57" s="214"/>
      <c r="F57" s="214"/>
      <c r="G57" s="214"/>
      <c r="H57" s="214"/>
      <c r="I57" s="214"/>
      <c r="J57" s="214"/>
      <c r="K57" s="215"/>
    </row>
    <row r="58" s="210" customFormat="true" ht="15" hidden="false" customHeight="false" outlineLevel="0" collapsed="false">
      <c r="A58" s="216"/>
      <c r="B58" s="217"/>
      <c r="C58" s="217"/>
      <c r="D58" s="217"/>
      <c r="E58" s="217"/>
      <c r="F58" s="217"/>
      <c r="G58" s="217"/>
      <c r="H58" s="217"/>
      <c r="I58" s="217"/>
      <c r="J58" s="217"/>
      <c r="K58" s="218"/>
      <c r="L58" s="89"/>
    </row>
    <row r="59" customFormat="false" ht="15" hidden="false" customHeight="false" outlineLevel="0" collapsed="false">
      <c r="A59" s="216"/>
      <c r="B59" s="217"/>
      <c r="C59" s="217"/>
      <c r="D59" s="217"/>
      <c r="E59" s="217"/>
      <c r="F59" s="217"/>
      <c r="G59" s="217"/>
      <c r="H59" s="217"/>
      <c r="I59" s="217"/>
      <c r="J59" s="217"/>
      <c r="K59" s="218"/>
    </row>
    <row r="60" customFormat="false" ht="15" hidden="false" customHeight="false" outlineLevel="0" collapsed="false">
      <c r="A60" s="216"/>
      <c r="B60" s="217"/>
      <c r="C60" s="217"/>
      <c r="D60" s="217"/>
      <c r="E60" s="217"/>
      <c r="F60" s="217"/>
      <c r="G60" s="217"/>
      <c r="H60" s="217"/>
      <c r="I60" s="217"/>
      <c r="J60" s="217"/>
      <c r="K60" s="218"/>
    </row>
    <row r="61" customFormat="false" ht="15" hidden="false" customHeight="false" outlineLevel="0" collapsed="false">
      <c r="A61" s="219"/>
      <c r="B61" s="220"/>
      <c r="C61" s="220"/>
      <c r="D61" s="220"/>
      <c r="E61" s="220"/>
      <c r="F61" s="220"/>
      <c r="G61" s="220"/>
      <c r="H61" s="220"/>
      <c r="I61" s="220"/>
      <c r="J61" s="220"/>
      <c r="K61" s="221"/>
    </row>
    <row r="69"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8.xml><?xml version="1.0" encoding="utf-8"?>
<worksheet xmlns="http://schemas.openxmlformats.org/spreadsheetml/2006/main" xmlns:r="http://schemas.openxmlformats.org/officeDocument/2006/relationships">
  <sheetPr filterMode="false">
    <tabColor rgb="FFFFFF99"/>
    <pageSetUpPr fitToPage="true"/>
  </sheetPr>
  <dimension ref="A1:Y58"/>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J12" activeCellId="0" sqref="J12"/>
    </sheetView>
  </sheetViews>
  <sheetFormatPr defaultRowHeight="15" zeroHeight="true" outlineLevelRow="0" outlineLevelCol="0"/>
  <cols>
    <col collapsed="false" customWidth="true" hidden="false" outlineLevel="0" max="11" min="1" style="172" width="15.15"/>
    <col collapsed="false" customWidth="true" hidden="false" outlineLevel="0" max="12" min="12" style="89" width="1.58"/>
    <col collapsed="false" customWidth="true" hidden="true" outlineLevel="0" max="25" min="13" style="171" width="9.14"/>
    <col collapsed="false" customWidth="true" hidden="true" outlineLevel="0" max="1025" min="26" style="172" width="9.14"/>
  </cols>
  <sheetData>
    <row r="1" s="178" customFormat="true" ht="28.5" hidden="false" customHeight="false" outlineLevel="0" collapsed="false">
      <c r="A1" s="5" t="str">
        <f aca="false">'2.0 Company Profile'!A1</f>
        <v>Company Summary</v>
      </c>
      <c r="B1" s="6"/>
      <c r="C1" s="6"/>
      <c r="D1" s="6"/>
      <c r="E1" s="6"/>
      <c r="F1" s="6"/>
      <c r="G1" s="6"/>
      <c r="H1" s="6"/>
      <c r="I1" s="6"/>
      <c r="J1" s="6"/>
      <c r="K1" s="8" t="s">
        <v>139</v>
      </c>
      <c r="L1" s="176"/>
      <c r="M1" s="177"/>
      <c r="N1" s="177"/>
      <c r="O1" s="177"/>
      <c r="P1" s="177"/>
      <c r="Q1" s="177"/>
      <c r="R1" s="177"/>
      <c r="S1" s="177"/>
      <c r="T1" s="177"/>
      <c r="U1" s="177"/>
      <c r="V1" s="177"/>
      <c r="W1" s="177"/>
      <c r="X1" s="177"/>
      <c r="Y1" s="177"/>
    </row>
    <row r="2" s="178" customFormat="true" ht="13.15" hidden="false" customHeight="true" outlineLevel="0" collapsed="false">
      <c r="A2" s="1"/>
      <c r="B2" s="179"/>
      <c r="C2" s="180"/>
      <c r="D2" s="181"/>
      <c r="E2" s="182"/>
      <c r="F2" s="2"/>
      <c r="G2" s="2"/>
      <c r="H2" s="40"/>
      <c r="I2" s="181"/>
      <c r="J2" s="181"/>
      <c r="K2" s="183"/>
      <c r="L2" s="176"/>
      <c r="M2" s="177"/>
      <c r="N2" s="177"/>
      <c r="O2" s="177"/>
      <c r="P2" s="177"/>
      <c r="Q2" s="177"/>
      <c r="R2" s="177"/>
      <c r="S2" s="177"/>
      <c r="T2" s="177"/>
      <c r="U2" s="177"/>
      <c r="V2" s="177"/>
      <c r="W2" s="177"/>
      <c r="X2" s="177"/>
      <c r="Y2" s="177"/>
    </row>
    <row r="3" customFormat="false" ht="15" hidden="false" customHeight="false" outlineLevel="0" collapsed="false">
      <c r="A3" s="1" t="s">
        <v>103</v>
      </c>
      <c r="B3" s="179"/>
      <c r="C3" s="184" t="str">
        <f aca="false">'Reference sheet'!C12</f>
        <v>TEST</v>
      </c>
      <c r="D3" s="181"/>
      <c r="E3" s="182"/>
      <c r="F3" s="2"/>
      <c r="G3" s="185" t="s">
        <v>49</v>
      </c>
      <c r="H3" s="224" t="str">
        <f aca="false">'Reference sheet'!C17</f>
        <v>July</v>
      </c>
      <c r="I3" s="187" t="n">
        <f aca="false">'Reference sheet'!D17</f>
        <v>2018</v>
      </c>
      <c r="J3" s="185" t="s">
        <v>46</v>
      </c>
      <c r="K3" s="188" t="n">
        <f aca="false">'Reference sheet'!C15</f>
        <v>1</v>
      </c>
    </row>
    <row r="4" customFormat="false" ht="15" hidden="false" customHeight="false" outlineLevel="0" collapsed="false">
      <c r="A4" s="49"/>
      <c r="B4" s="189"/>
      <c r="C4" s="50"/>
      <c r="D4" s="50"/>
      <c r="E4" s="50"/>
      <c r="F4" s="50"/>
      <c r="G4" s="190"/>
      <c r="H4" s="50"/>
      <c r="I4" s="50"/>
      <c r="J4" s="50"/>
      <c r="K4" s="191"/>
    </row>
    <row r="5" s="2" customFormat="true" ht="13.15" hidden="false" customHeight="true" outlineLevel="0" collapsed="false">
      <c r="B5" s="225"/>
      <c r="G5" s="226"/>
      <c r="K5" s="225"/>
      <c r="L5" s="91"/>
      <c r="M5" s="227"/>
      <c r="N5" s="227"/>
      <c r="O5" s="227"/>
      <c r="P5" s="227"/>
      <c r="Q5" s="227"/>
      <c r="R5" s="227"/>
      <c r="S5" s="227"/>
      <c r="T5" s="227"/>
      <c r="U5" s="227"/>
      <c r="V5" s="227"/>
      <c r="W5" s="227"/>
      <c r="X5" s="227"/>
      <c r="Y5" s="227"/>
    </row>
    <row r="6" customFormat="false" ht="13.15" hidden="false" customHeight="true" outlineLevel="0" collapsed="false">
      <c r="A6" s="192" t="s">
        <v>140</v>
      </c>
      <c r="B6" s="193"/>
      <c r="C6" s="193"/>
      <c r="D6" s="193"/>
      <c r="E6" s="193"/>
      <c r="F6" s="193"/>
      <c r="G6" s="193"/>
      <c r="H6" s="193"/>
      <c r="I6" s="193"/>
      <c r="J6" s="193"/>
      <c r="K6" s="194"/>
      <c r="L6" s="91"/>
    </row>
    <row r="7" customFormat="false" ht="18" hidden="false" customHeight="false" outlineLevel="0" collapsed="false">
      <c r="A7" s="228"/>
      <c r="B7" s="13"/>
      <c r="C7" s="13"/>
      <c r="D7" s="13"/>
      <c r="E7" s="13"/>
      <c r="F7" s="13"/>
      <c r="G7" s="13"/>
      <c r="H7" s="13"/>
      <c r="I7" s="13"/>
      <c r="J7" s="13"/>
      <c r="K7" s="229"/>
      <c r="L7" s="91"/>
    </row>
    <row r="8" customFormat="false" ht="15" hidden="false" customHeight="false" outlineLevel="0" collapsed="false">
      <c r="A8" s="1" t="s">
        <v>141</v>
      </c>
      <c r="B8" s="2"/>
      <c r="C8" s="2"/>
      <c r="D8" s="230"/>
      <c r="E8" s="231" t="s">
        <v>142</v>
      </c>
      <c r="F8" s="181"/>
      <c r="G8" s="2" t="s">
        <v>143</v>
      </c>
      <c r="H8" s="2"/>
      <c r="I8" s="2"/>
      <c r="J8" s="230"/>
      <c r="K8" s="232" t="s">
        <v>142</v>
      </c>
      <c r="L8" s="91"/>
    </row>
    <row r="9" customFormat="false" ht="15" hidden="false" customHeight="false" outlineLevel="0" collapsed="false">
      <c r="A9" s="1" t="s">
        <v>144</v>
      </c>
      <c r="B9" s="2"/>
      <c r="C9" s="2"/>
      <c r="D9" s="230"/>
      <c r="E9" s="231" t="s">
        <v>142</v>
      </c>
      <c r="F9" s="181"/>
      <c r="G9" s="2" t="s">
        <v>145</v>
      </c>
      <c r="H9" s="2"/>
      <c r="I9" s="2"/>
      <c r="J9" s="230"/>
      <c r="K9" s="232" t="s">
        <v>142</v>
      </c>
      <c r="L9" s="91"/>
    </row>
    <row r="10" customFormat="false" ht="15" hidden="false" customHeight="false" outlineLevel="0" collapsed="false">
      <c r="A10" s="1" t="s">
        <v>146</v>
      </c>
      <c r="B10" s="2"/>
      <c r="C10" s="2"/>
      <c r="D10" s="230"/>
      <c r="E10" s="231" t="s">
        <v>142</v>
      </c>
      <c r="F10" s="181"/>
      <c r="G10" s="172" t="s">
        <v>147</v>
      </c>
      <c r="H10" s="2"/>
      <c r="I10" s="2"/>
      <c r="J10" s="230"/>
      <c r="K10" s="232" t="s">
        <v>142</v>
      </c>
      <c r="L10" s="91"/>
    </row>
    <row r="11" customFormat="false" ht="15" hidden="false" customHeight="false" outlineLevel="0" collapsed="false">
      <c r="A11" s="1" t="s">
        <v>148</v>
      </c>
      <c r="B11" s="2"/>
      <c r="C11" s="2"/>
      <c r="D11" s="230"/>
      <c r="E11" s="231" t="s">
        <v>142</v>
      </c>
      <c r="F11" s="181"/>
      <c r="G11" s="2" t="s">
        <v>149</v>
      </c>
      <c r="H11" s="2"/>
      <c r="I11" s="2"/>
      <c r="J11" s="230"/>
      <c r="K11" s="233"/>
      <c r="L11" s="91"/>
    </row>
    <row r="12" customFormat="false" ht="15" hidden="false" customHeight="false" outlineLevel="0" collapsed="false">
      <c r="A12" s="1" t="s">
        <v>150</v>
      </c>
      <c r="D12" s="230"/>
      <c r="E12" s="231" t="s">
        <v>151</v>
      </c>
      <c r="F12" s="181"/>
      <c r="G12" s="2" t="s">
        <v>152</v>
      </c>
      <c r="H12" s="2"/>
      <c r="I12" s="2"/>
      <c r="J12" s="230"/>
      <c r="K12" s="232" t="s">
        <v>151</v>
      </c>
      <c r="L12" s="91"/>
    </row>
    <row r="13" customFormat="false" ht="15" hidden="false" customHeight="false" outlineLevel="0" collapsed="false">
      <c r="A13" s="49"/>
      <c r="B13" s="50"/>
      <c r="C13" s="50"/>
      <c r="D13" s="50"/>
      <c r="E13" s="50"/>
      <c r="F13" s="50"/>
      <c r="G13" s="50"/>
      <c r="H13" s="50"/>
      <c r="I13" s="50"/>
      <c r="J13" s="50"/>
      <c r="K13" s="51"/>
    </row>
    <row r="14" customFormat="false" ht="15" hidden="false" customHeight="false" outlineLevel="0" collapsed="false">
      <c r="A14" s="2"/>
      <c r="B14" s="2"/>
      <c r="C14" s="2"/>
      <c r="D14" s="2"/>
      <c r="E14" s="2"/>
      <c r="F14" s="2"/>
      <c r="G14" s="2"/>
      <c r="H14" s="2"/>
      <c r="I14" s="2"/>
      <c r="J14" s="2"/>
      <c r="K14" s="2"/>
    </row>
    <row r="15" customFormat="false" ht="15" hidden="false" customHeight="false" outlineLevel="0" collapsed="false">
      <c r="A15" s="192" t="s">
        <v>153</v>
      </c>
      <c r="B15" s="193"/>
      <c r="C15" s="193"/>
      <c r="D15" s="193"/>
      <c r="E15" s="193"/>
      <c r="F15" s="193"/>
      <c r="G15" s="193"/>
      <c r="H15" s="193"/>
      <c r="I15" s="193"/>
      <c r="J15" s="193"/>
      <c r="K15" s="194"/>
    </row>
    <row r="16" customFormat="false" ht="15" hidden="false" customHeight="false" outlineLevel="0" collapsed="false">
      <c r="A16" s="213"/>
      <c r="B16" s="214"/>
      <c r="C16" s="214"/>
      <c r="D16" s="214"/>
      <c r="E16" s="214"/>
      <c r="F16" s="214"/>
      <c r="G16" s="214"/>
      <c r="H16" s="214"/>
      <c r="I16" s="214"/>
      <c r="J16" s="214"/>
      <c r="K16" s="215"/>
    </row>
    <row r="17" customFormat="false" ht="15" hidden="false" customHeight="false" outlineLevel="0" collapsed="false">
      <c r="A17" s="216"/>
      <c r="B17" s="217"/>
      <c r="C17" s="217"/>
      <c r="D17" s="217"/>
      <c r="E17" s="217"/>
      <c r="F17" s="217"/>
      <c r="G17" s="217"/>
      <c r="H17" s="217"/>
      <c r="I17" s="217"/>
      <c r="J17" s="217"/>
      <c r="K17" s="218"/>
    </row>
    <row r="18" customFormat="false" ht="15" hidden="false" customHeight="false" outlineLevel="0" collapsed="false">
      <c r="A18" s="216"/>
      <c r="B18" s="217"/>
      <c r="C18" s="217"/>
      <c r="D18" s="217"/>
      <c r="E18" s="217"/>
      <c r="F18" s="217"/>
      <c r="G18" s="217"/>
      <c r="H18" s="217"/>
      <c r="I18" s="217"/>
      <c r="J18" s="217"/>
      <c r="K18" s="218"/>
    </row>
    <row r="19" customFormat="false" ht="15" hidden="false" customHeight="false" outlineLevel="0" collapsed="false">
      <c r="A19" s="216"/>
      <c r="B19" s="217"/>
      <c r="C19" s="217"/>
      <c r="D19" s="217"/>
      <c r="E19" s="217"/>
      <c r="F19" s="217"/>
      <c r="G19" s="217"/>
      <c r="H19" s="217"/>
      <c r="I19" s="217"/>
      <c r="J19" s="217"/>
      <c r="K19" s="218"/>
    </row>
    <row r="20" customFormat="false" ht="15" hidden="false" customHeight="false" outlineLevel="0" collapsed="false">
      <c r="A20" s="216"/>
      <c r="B20" s="217"/>
      <c r="C20" s="217"/>
      <c r="D20" s="217"/>
      <c r="E20" s="217"/>
      <c r="F20" s="217"/>
      <c r="G20" s="217"/>
      <c r="H20" s="217"/>
      <c r="I20" s="217"/>
      <c r="J20" s="217"/>
      <c r="K20" s="218"/>
    </row>
    <row r="21" customFormat="false" ht="15" hidden="false" customHeight="false" outlineLevel="0" collapsed="false">
      <c r="A21" s="216"/>
      <c r="B21" s="217"/>
      <c r="C21" s="217"/>
      <c r="D21" s="217"/>
      <c r="E21" s="217"/>
      <c r="F21" s="217"/>
      <c r="G21" s="217"/>
      <c r="H21" s="217"/>
      <c r="I21" s="217"/>
      <c r="J21" s="217"/>
      <c r="K21" s="218"/>
    </row>
    <row r="22" customFormat="false" ht="15" hidden="false" customHeight="false" outlineLevel="0" collapsed="false">
      <c r="A22" s="216"/>
      <c r="B22" s="217"/>
      <c r="C22" s="217"/>
      <c r="D22" s="217"/>
      <c r="E22" s="217"/>
      <c r="F22" s="217"/>
      <c r="G22" s="217"/>
      <c r="H22" s="217"/>
      <c r="I22" s="217"/>
      <c r="J22" s="217"/>
      <c r="K22" s="218"/>
    </row>
    <row r="23" customFormat="false" ht="15" hidden="false" customHeight="false" outlineLevel="0" collapsed="false">
      <c r="A23" s="216"/>
      <c r="B23" s="217"/>
      <c r="C23" s="217"/>
      <c r="D23" s="217"/>
      <c r="E23" s="217"/>
      <c r="F23" s="217"/>
      <c r="G23" s="217"/>
      <c r="H23" s="217"/>
      <c r="I23" s="217"/>
      <c r="J23" s="217"/>
      <c r="K23" s="218"/>
    </row>
    <row r="24" customFormat="false" ht="15" hidden="false" customHeight="false" outlineLevel="0" collapsed="false">
      <c r="A24" s="216"/>
      <c r="B24" s="217"/>
      <c r="C24" s="217"/>
      <c r="D24" s="217"/>
      <c r="E24" s="217"/>
      <c r="F24" s="217"/>
      <c r="G24" s="217"/>
      <c r="H24" s="217"/>
      <c r="I24" s="217"/>
      <c r="J24" s="217"/>
      <c r="K24" s="218"/>
    </row>
    <row r="25" customFormat="false" ht="15" hidden="false" customHeight="false" outlineLevel="0" collapsed="false">
      <c r="A25" s="216"/>
      <c r="B25" s="217"/>
      <c r="C25" s="217"/>
      <c r="D25" s="217"/>
      <c r="E25" s="217"/>
      <c r="F25" s="217"/>
      <c r="G25" s="217"/>
      <c r="H25" s="217"/>
      <c r="I25" s="217"/>
      <c r="J25" s="217"/>
      <c r="K25" s="218"/>
    </row>
    <row r="26" customFormat="false" ht="15" hidden="false" customHeight="false" outlineLevel="0" collapsed="false">
      <c r="A26" s="216"/>
      <c r="B26" s="217"/>
      <c r="C26" s="217"/>
      <c r="D26" s="217"/>
      <c r="E26" s="217"/>
      <c r="F26" s="217"/>
      <c r="G26" s="217"/>
      <c r="H26" s="217"/>
      <c r="I26" s="217"/>
      <c r="J26" s="217"/>
      <c r="K26" s="218"/>
    </row>
    <row r="27" customFormat="false" ht="15" hidden="false" customHeight="false" outlineLevel="0" collapsed="false">
      <c r="A27" s="216"/>
      <c r="B27" s="217"/>
      <c r="C27" s="217"/>
      <c r="D27" s="217"/>
      <c r="E27" s="217"/>
      <c r="F27" s="217"/>
      <c r="G27" s="217"/>
      <c r="H27" s="217"/>
      <c r="I27" s="217"/>
      <c r="J27" s="217"/>
      <c r="K27" s="218"/>
    </row>
    <row r="28" customFormat="false" ht="15" hidden="false" customHeight="false" outlineLevel="0" collapsed="false">
      <c r="A28" s="216"/>
      <c r="B28" s="217"/>
      <c r="C28" s="217"/>
      <c r="D28" s="217"/>
      <c r="E28" s="217"/>
      <c r="F28" s="217"/>
      <c r="G28" s="217"/>
      <c r="H28" s="217"/>
      <c r="I28" s="217"/>
      <c r="J28" s="217"/>
      <c r="K28" s="218"/>
    </row>
    <row r="29" customFormat="false" ht="15" hidden="false" customHeight="false" outlineLevel="0" collapsed="false">
      <c r="A29" s="216"/>
      <c r="B29" s="217"/>
      <c r="C29" s="217"/>
      <c r="D29" s="217"/>
      <c r="E29" s="217"/>
      <c r="F29" s="217"/>
      <c r="G29" s="217"/>
      <c r="H29" s="217"/>
      <c r="I29" s="217"/>
      <c r="J29" s="217"/>
      <c r="K29" s="218"/>
    </row>
    <row r="30" customFormat="false" ht="15" hidden="false" customHeight="false" outlineLevel="0" collapsed="false">
      <c r="A30" s="216"/>
      <c r="B30" s="217"/>
      <c r="C30" s="217"/>
      <c r="D30" s="217"/>
      <c r="E30" s="217"/>
      <c r="F30" s="217"/>
      <c r="G30" s="217"/>
      <c r="H30" s="217"/>
      <c r="I30" s="217"/>
      <c r="J30" s="217"/>
      <c r="K30" s="218"/>
    </row>
    <row r="31" customFormat="false" ht="15" hidden="false" customHeight="false" outlineLevel="0" collapsed="false">
      <c r="A31" s="216"/>
      <c r="B31" s="217"/>
      <c r="C31" s="217"/>
      <c r="D31" s="217"/>
      <c r="E31" s="217"/>
      <c r="F31" s="217"/>
      <c r="G31" s="217"/>
      <c r="H31" s="217"/>
      <c r="I31" s="217"/>
      <c r="J31" s="217"/>
      <c r="K31" s="218"/>
    </row>
    <row r="32" customFormat="false" ht="15" hidden="false" customHeight="false" outlineLevel="0" collapsed="false">
      <c r="A32" s="216"/>
      <c r="B32" s="217"/>
      <c r="C32" s="217"/>
      <c r="D32" s="217"/>
      <c r="E32" s="217"/>
      <c r="F32" s="217"/>
      <c r="G32" s="217"/>
      <c r="H32" s="217"/>
      <c r="I32" s="217"/>
      <c r="J32" s="217"/>
      <c r="K32" s="218"/>
    </row>
    <row r="33" customFormat="false" ht="15" hidden="false" customHeight="false" outlineLevel="0" collapsed="false">
      <c r="A33" s="216"/>
      <c r="B33" s="217"/>
      <c r="C33" s="217"/>
      <c r="D33" s="217"/>
      <c r="E33" s="217"/>
      <c r="F33" s="217"/>
      <c r="G33" s="217"/>
      <c r="H33" s="217"/>
      <c r="I33" s="217"/>
      <c r="J33" s="217"/>
      <c r="K33" s="218"/>
    </row>
    <row r="34" customFormat="false" ht="15" hidden="false" customHeight="false" outlineLevel="0" collapsed="false">
      <c r="A34" s="216"/>
      <c r="B34" s="217"/>
      <c r="C34" s="217"/>
      <c r="D34" s="217"/>
      <c r="E34" s="217"/>
      <c r="F34" s="217"/>
      <c r="G34" s="217"/>
      <c r="H34" s="217"/>
      <c r="I34" s="217"/>
      <c r="J34" s="217"/>
      <c r="K34" s="218"/>
    </row>
    <row r="35" customFormat="false" ht="15" hidden="false" customHeight="false" outlineLevel="0" collapsed="false">
      <c r="A35" s="216"/>
      <c r="B35" s="217"/>
      <c r="C35" s="217"/>
      <c r="D35" s="217"/>
      <c r="E35" s="217"/>
      <c r="F35" s="217"/>
      <c r="G35" s="217"/>
      <c r="H35" s="217"/>
      <c r="I35" s="217"/>
      <c r="J35" s="217"/>
      <c r="K35" s="218"/>
    </row>
    <row r="36" customFormat="false" ht="15" hidden="false" customHeight="false" outlineLevel="0" collapsed="false">
      <c r="A36" s="216"/>
      <c r="B36" s="217"/>
      <c r="C36" s="217"/>
      <c r="D36" s="217"/>
      <c r="E36" s="217"/>
      <c r="F36" s="217"/>
      <c r="G36" s="217"/>
      <c r="H36" s="217"/>
      <c r="I36" s="217"/>
      <c r="J36" s="217"/>
      <c r="K36" s="218"/>
    </row>
    <row r="37" customFormat="false" ht="15" hidden="false" customHeight="false" outlineLevel="0" collapsed="false">
      <c r="A37" s="216"/>
      <c r="B37" s="217"/>
      <c r="C37" s="217"/>
      <c r="D37" s="217"/>
      <c r="E37" s="217"/>
      <c r="F37" s="217"/>
      <c r="G37" s="217"/>
      <c r="H37" s="217"/>
      <c r="I37" s="217"/>
      <c r="J37" s="217"/>
      <c r="K37" s="218"/>
    </row>
    <row r="38" customFormat="false" ht="15" hidden="false" customHeight="false" outlineLevel="0" collapsed="false">
      <c r="A38" s="216"/>
      <c r="B38" s="217"/>
      <c r="C38" s="217"/>
      <c r="D38" s="217"/>
      <c r="E38" s="217"/>
      <c r="F38" s="217"/>
      <c r="G38" s="217"/>
      <c r="H38" s="217"/>
      <c r="I38" s="217"/>
      <c r="J38" s="217"/>
      <c r="K38" s="218"/>
    </row>
    <row r="39" customFormat="false" ht="15" hidden="false" customHeight="false" outlineLevel="0" collapsed="false">
      <c r="A39" s="219"/>
      <c r="B39" s="220"/>
      <c r="C39" s="220"/>
      <c r="D39" s="220"/>
      <c r="E39" s="220"/>
      <c r="F39" s="220"/>
      <c r="G39" s="220"/>
      <c r="H39" s="220"/>
      <c r="I39" s="220"/>
      <c r="J39" s="220"/>
      <c r="K39" s="221"/>
    </row>
    <row r="40" customFormat="false" ht="15" hidden="false" customHeight="false" outlineLevel="0" collapsed="false"/>
    <row r="41" customFormat="false" ht="15" hidden="false" customHeight="false" outlineLevel="0" collapsed="false">
      <c r="A41" s="192" t="s">
        <v>154</v>
      </c>
      <c r="B41" s="211"/>
      <c r="C41" s="211"/>
      <c r="D41" s="211"/>
      <c r="E41" s="211"/>
      <c r="F41" s="211"/>
      <c r="G41" s="211"/>
      <c r="H41" s="211"/>
      <c r="I41" s="211"/>
      <c r="J41" s="211"/>
      <c r="K41" s="212"/>
    </row>
    <row r="42" customFormat="false" ht="15" hidden="false" customHeight="false" outlineLevel="0" collapsed="false">
      <c r="A42" s="213"/>
      <c r="B42" s="214"/>
      <c r="C42" s="214"/>
      <c r="D42" s="214"/>
      <c r="E42" s="214"/>
      <c r="F42" s="214"/>
      <c r="G42" s="214"/>
      <c r="H42" s="214"/>
      <c r="I42" s="214"/>
      <c r="J42" s="214"/>
      <c r="K42" s="215"/>
    </row>
    <row r="43" customFormat="false" ht="15" hidden="false" customHeight="false" outlineLevel="0" collapsed="false">
      <c r="A43" s="216"/>
      <c r="B43" s="217"/>
      <c r="C43" s="217"/>
      <c r="D43" s="217"/>
      <c r="E43" s="217"/>
      <c r="F43" s="217"/>
      <c r="G43" s="217"/>
      <c r="H43" s="217"/>
      <c r="I43" s="217"/>
      <c r="J43" s="217"/>
      <c r="K43" s="218"/>
    </row>
    <row r="44" customFormat="false" ht="15" hidden="false" customHeight="false" outlineLevel="0" collapsed="false">
      <c r="A44" s="216"/>
      <c r="B44" s="217"/>
      <c r="C44" s="217"/>
      <c r="D44" s="217"/>
      <c r="E44" s="217"/>
      <c r="F44" s="217"/>
      <c r="G44" s="217"/>
      <c r="H44" s="217"/>
      <c r="I44" s="217"/>
      <c r="J44" s="217"/>
      <c r="K44" s="218"/>
    </row>
    <row r="45" customFormat="false" ht="15" hidden="false" customHeight="false" outlineLevel="0" collapsed="false">
      <c r="A45" s="219"/>
      <c r="B45" s="220"/>
      <c r="C45" s="220"/>
      <c r="D45" s="220"/>
      <c r="E45" s="220"/>
      <c r="F45" s="220"/>
      <c r="G45" s="220"/>
      <c r="H45" s="220"/>
      <c r="I45" s="220"/>
      <c r="J45" s="220"/>
      <c r="K45" s="221"/>
    </row>
    <row r="46" customFormat="false" ht="15" hidden="false" customHeight="false" outlineLevel="0" collapsed="false"/>
    <row r="47" customFormat="false" ht="15" hidden="false" customHeight="false" outlineLevel="0" collapsed="false">
      <c r="A47" s="192" t="s">
        <v>155</v>
      </c>
      <c r="B47" s="211"/>
      <c r="C47" s="211"/>
      <c r="D47" s="211"/>
      <c r="E47" s="211"/>
      <c r="F47" s="211"/>
      <c r="G47" s="211"/>
      <c r="H47" s="211"/>
      <c r="I47" s="211"/>
      <c r="J47" s="211"/>
      <c r="K47" s="212"/>
    </row>
    <row r="48" customFormat="false" ht="15" hidden="false" customHeight="false" outlineLevel="0" collapsed="false">
      <c r="A48" s="213"/>
      <c r="B48" s="214"/>
      <c r="C48" s="214"/>
      <c r="D48" s="214"/>
      <c r="E48" s="214"/>
      <c r="F48" s="214"/>
      <c r="G48" s="214"/>
      <c r="H48" s="214"/>
      <c r="I48" s="214"/>
      <c r="J48" s="214"/>
      <c r="K48" s="215"/>
    </row>
    <row r="49" customFormat="false" ht="15" hidden="false" customHeight="false" outlineLevel="0" collapsed="false">
      <c r="A49" s="216"/>
      <c r="B49" s="217"/>
      <c r="C49" s="217"/>
      <c r="D49" s="217"/>
      <c r="E49" s="217"/>
      <c r="F49" s="217"/>
      <c r="G49" s="217"/>
      <c r="H49" s="217"/>
      <c r="I49" s="217"/>
      <c r="J49" s="217"/>
      <c r="K49" s="218"/>
    </row>
    <row r="50" customFormat="false" ht="15" hidden="false" customHeight="false" outlineLevel="0" collapsed="false">
      <c r="A50" s="216"/>
      <c r="B50" s="217"/>
      <c r="C50" s="217"/>
      <c r="D50" s="217"/>
      <c r="E50" s="217"/>
      <c r="F50" s="217"/>
      <c r="G50" s="217"/>
      <c r="H50" s="217"/>
      <c r="I50" s="217"/>
      <c r="J50" s="217"/>
      <c r="K50" s="218"/>
    </row>
    <row r="51" customFormat="false" ht="15" hidden="false" customHeight="false" outlineLevel="0" collapsed="false">
      <c r="A51" s="219"/>
      <c r="B51" s="220"/>
      <c r="C51" s="220"/>
      <c r="D51" s="220"/>
      <c r="E51" s="220"/>
      <c r="F51" s="220"/>
      <c r="G51" s="220"/>
      <c r="H51" s="220"/>
      <c r="I51" s="220"/>
      <c r="J51" s="220"/>
      <c r="K51" s="221"/>
    </row>
    <row r="52" customFormat="false" ht="15" hidden="false" customHeight="false" outlineLevel="0" collapsed="false"/>
    <row r="53" customFormat="false" ht="15" hidden="false" customHeight="false" outlineLevel="0" collapsed="false">
      <c r="A53" s="222" t="s">
        <v>156</v>
      </c>
      <c r="B53" s="234"/>
      <c r="C53" s="234"/>
      <c r="D53" s="234"/>
      <c r="E53" s="234"/>
      <c r="F53" s="234"/>
      <c r="G53" s="234"/>
      <c r="H53" s="234"/>
      <c r="I53" s="234"/>
      <c r="J53" s="234"/>
      <c r="K53" s="235"/>
    </row>
    <row r="54" customFormat="false" ht="15" hidden="false" customHeight="false" outlineLevel="0" collapsed="false">
      <c r="A54" s="236"/>
      <c r="B54" s="214"/>
      <c r="C54" s="214"/>
      <c r="D54" s="214"/>
      <c r="E54" s="214"/>
      <c r="F54" s="214"/>
      <c r="G54" s="214"/>
      <c r="H54" s="214"/>
      <c r="I54" s="214"/>
      <c r="J54" s="214"/>
      <c r="K54" s="215"/>
    </row>
    <row r="55" customFormat="false" ht="15" hidden="false" customHeight="false" outlineLevel="0" collapsed="false">
      <c r="A55" s="237"/>
      <c r="B55" s="217"/>
      <c r="C55" s="217"/>
      <c r="D55" s="217"/>
      <c r="E55" s="217"/>
      <c r="F55" s="217"/>
      <c r="G55" s="217"/>
      <c r="H55" s="217"/>
      <c r="I55" s="217"/>
      <c r="J55" s="217"/>
      <c r="K55" s="218"/>
    </row>
    <row r="56" customFormat="false" ht="15" hidden="false" customHeight="false" outlineLevel="0" collapsed="false">
      <c r="A56" s="216"/>
      <c r="B56" s="217"/>
      <c r="C56" s="217"/>
      <c r="D56" s="217"/>
      <c r="E56" s="217"/>
      <c r="F56" s="217"/>
      <c r="G56" s="217"/>
      <c r="H56" s="217"/>
      <c r="I56" s="217"/>
      <c r="J56" s="217"/>
      <c r="K56" s="218"/>
    </row>
    <row r="57" customFormat="false" ht="15" hidden="false" customHeight="false" outlineLevel="0" collapsed="false">
      <c r="A57" s="219"/>
      <c r="B57" s="220"/>
      <c r="C57" s="220"/>
      <c r="D57" s="220"/>
      <c r="E57" s="220"/>
      <c r="F57" s="220"/>
      <c r="G57" s="220"/>
      <c r="H57" s="220"/>
      <c r="I57" s="220"/>
      <c r="J57" s="220"/>
      <c r="K57" s="221"/>
    </row>
    <row r="58"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9.xml><?xml version="1.0" encoding="utf-8"?>
<worksheet xmlns="http://schemas.openxmlformats.org/spreadsheetml/2006/main" xmlns:r="http://schemas.openxmlformats.org/officeDocument/2006/relationships">
  <sheetPr filterMode="false">
    <tabColor rgb="FF999933"/>
    <pageSetUpPr fitToPage="true"/>
  </sheetPr>
  <dimension ref="A1:Y73"/>
  <sheetViews>
    <sheetView showFormulas="false" showGridLines="false" showRowColHeaders="true" showZeros="true" rightToLeft="false" tabSelected="false" showOutlineSymbols="true" defaultGridColor="true" view="normal" topLeftCell="A10" colorId="64" zoomScale="100" zoomScaleNormal="100" zoomScalePageLayoutView="100" workbookViewId="0">
      <selection pane="topLeft" activeCell="E12" activeCellId="0" sqref="E12"/>
    </sheetView>
  </sheetViews>
  <sheetFormatPr defaultRowHeight="15" zeroHeight="true" outlineLevelRow="0" outlineLevelCol="0"/>
  <cols>
    <col collapsed="false" customWidth="true" hidden="false" outlineLevel="0" max="4" min="1" style="238" width="14.28"/>
    <col collapsed="false" customWidth="true" hidden="false" outlineLevel="0" max="5" min="5" style="239" width="14.28"/>
    <col collapsed="false" customWidth="true" hidden="false" outlineLevel="0" max="9" min="6" style="238" width="14.28"/>
    <col collapsed="false" customWidth="true" hidden="false" outlineLevel="0" max="11" min="10" style="238" width="13.57"/>
    <col collapsed="false" customWidth="true" hidden="false" outlineLevel="0" max="12" min="12" style="240" width="2.29"/>
    <col collapsed="false" customWidth="true" hidden="true" outlineLevel="0" max="25" min="13" style="241" width="9.14"/>
    <col collapsed="false" customWidth="true" hidden="true" outlineLevel="0" max="1025" min="26" style="242" width="9.14"/>
  </cols>
  <sheetData>
    <row r="1" s="248" customFormat="true" ht="30" hidden="false" customHeight="true" outlineLevel="0" collapsed="false">
      <c r="A1" s="243" t="s">
        <v>157</v>
      </c>
      <c r="B1" s="244"/>
      <c r="C1" s="244"/>
      <c r="D1" s="244"/>
      <c r="E1" s="245"/>
      <c r="F1" s="244"/>
      <c r="G1" s="244"/>
      <c r="H1" s="244"/>
      <c r="I1" s="246"/>
      <c r="J1" s="244"/>
      <c r="K1" s="115" t="s">
        <v>158</v>
      </c>
      <c r="L1" s="247"/>
    </row>
    <row r="2" s="4" customFormat="true" ht="21" hidden="false" customHeight="false" outlineLevel="0" collapsed="false">
      <c r="A2" s="249"/>
      <c r="B2" s="250"/>
      <c r="C2" s="250"/>
      <c r="D2" s="250"/>
      <c r="E2" s="251"/>
      <c r="F2" s="250"/>
      <c r="G2" s="250"/>
      <c r="H2" s="250"/>
      <c r="I2" s="250"/>
      <c r="J2" s="250"/>
      <c r="K2" s="54"/>
      <c r="L2" s="22"/>
      <c r="M2" s="112"/>
      <c r="N2" s="112"/>
      <c r="O2" s="112"/>
      <c r="P2" s="112"/>
      <c r="Q2" s="112"/>
      <c r="R2" s="112"/>
      <c r="S2" s="112"/>
      <c r="T2" s="112"/>
      <c r="U2" s="112"/>
      <c r="V2" s="112"/>
      <c r="W2" s="112"/>
      <c r="X2" s="112"/>
      <c r="Y2" s="112"/>
    </row>
    <row r="3" s="4" customFormat="true" ht="15" hidden="false" customHeight="false" outlineLevel="0" collapsed="false">
      <c r="A3" s="52" t="s">
        <v>103</v>
      </c>
      <c r="B3" s="116"/>
      <c r="C3" s="67" t="str">
        <f aca="false">'Reference sheet'!C12</f>
        <v>TEST</v>
      </c>
      <c r="D3" s="86"/>
      <c r="E3" s="252"/>
      <c r="F3" s="48"/>
      <c r="G3" s="121" t="s">
        <v>49</v>
      </c>
      <c r="H3" s="122" t="str">
        <f aca="false">'Reference sheet'!C17</f>
        <v>July</v>
      </c>
      <c r="I3" s="123" t="n">
        <f aca="false">'Reference sheet'!D17</f>
        <v>2018</v>
      </c>
      <c r="J3" s="121" t="s">
        <v>46</v>
      </c>
      <c r="K3" s="124" t="n">
        <f aca="false">'Reference sheet'!C15</f>
        <v>1</v>
      </c>
      <c r="L3" s="22"/>
      <c r="M3" s="112"/>
      <c r="N3" s="112"/>
      <c r="O3" s="112"/>
      <c r="P3" s="112"/>
      <c r="Q3" s="112"/>
      <c r="R3" s="112"/>
      <c r="S3" s="112"/>
      <c r="T3" s="112"/>
      <c r="U3" s="112"/>
      <c r="V3" s="112"/>
      <c r="W3" s="112"/>
      <c r="X3" s="112"/>
      <c r="Y3" s="112"/>
    </row>
    <row r="4" s="4" customFormat="true" ht="15" hidden="false" customHeight="false" outlineLevel="0" collapsed="false">
      <c r="A4" s="82"/>
      <c r="B4" s="126"/>
      <c r="C4" s="107"/>
      <c r="D4" s="107"/>
      <c r="E4" s="253"/>
      <c r="F4" s="107"/>
      <c r="G4" s="127"/>
      <c r="H4" s="107"/>
      <c r="I4" s="107"/>
      <c r="J4" s="107"/>
      <c r="K4" s="128"/>
      <c r="L4" s="22"/>
      <c r="M4" s="112"/>
      <c r="N4" s="112"/>
      <c r="O4" s="112"/>
      <c r="P4" s="112"/>
      <c r="Q4" s="112"/>
      <c r="R4" s="112"/>
      <c r="S4" s="112"/>
      <c r="T4" s="112"/>
      <c r="U4" s="112"/>
      <c r="V4" s="112"/>
      <c r="W4" s="112"/>
      <c r="X4" s="112"/>
      <c r="Y4" s="112"/>
    </row>
    <row r="5" s="4" customFormat="true" ht="15" hidden="false" customHeight="false" outlineLevel="0" collapsed="false">
      <c r="E5" s="254"/>
      <c r="L5" s="22"/>
      <c r="M5" s="112"/>
      <c r="N5" s="112"/>
      <c r="O5" s="112"/>
      <c r="P5" s="112"/>
      <c r="Q5" s="112"/>
      <c r="R5" s="112"/>
      <c r="S5" s="112"/>
      <c r="T5" s="112"/>
      <c r="U5" s="112"/>
      <c r="V5" s="112"/>
      <c r="W5" s="112"/>
      <c r="X5" s="112"/>
      <c r="Y5" s="112"/>
    </row>
    <row r="6" s="4" customFormat="true" ht="15" hidden="false" customHeight="false" outlineLevel="0" collapsed="false">
      <c r="A6" s="131" t="s">
        <v>159</v>
      </c>
      <c r="B6" s="132"/>
      <c r="C6" s="132"/>
      <c r="D6" s="132"/>
      <c r="E6" s="255"/>
      <c r="F6" s="132"/>
      <c r="G6" s="132"/>
      <c r="H6" s="132"/>
      <c r="I6" s="132"/>
      <c r="J6" s="132"/>
      <c r="K6" s="133"/>
      <c r="L6" s="22"/>
      <c r="M6" s="112"/>
      <c r="N6" s="112"/>
      <c r="O6" s="112"/>
      <c r="P6" s="112"/>
      <c r="Q6" s="112"/>
      <c r="R6" s="112"/>
      <c r="S6" s="112"/>
      <c r="T6" s="112"/>
      <c r="U6" s="112"/>
      <c r="V6" s="112"/>
      <c r="W6" s="112"/>
      <c r="X6" s="112"/>
      <c r="Y6" s="112"/>
    </row>
    <row r="7" s="4" customFormat="true" ht="15" hidden="false" customHeight="false" outlineLevel="0" collapsed="false">
      <c r="A7" s="256" t="s">
        <v>160</v>
      </c>
      <c r="B7" s="257"/>
      <c r="C7" s="258" t="s">
        <v>161</v>
      </c>
      <c r="D7" s="257"/>
      <c r="E7" s="259" t="s">
        <v>162</v>
      </c>
      <c r="F7" s="257"/>
      <c r="G7" s="258" t="s">
        <v>163</v>
      </c>
      <c r="H7" s="257"/>
      <c r="I7" s="257"/>
      <c r="J7" s="257"/>
      <c r="K7" s="260"/>
      <c r="L7" s="22"/>
      <c r="M7" s="112"/>
      <c r="N7" s="112"/>
      <c r="O7" s="112"/>
      <c r="P7" s="112"/>
      <c r="Q7" s="112"/>
      <c r="R7" s="112"/>
      <c r="S7" s="112"/>
      <c r="T7" s="112"/>
      <c r="U7" s="112"/>
      <c r="V7" s="112"/>
      <c r="W7" s="112"/>
      <c r="X7" s="112"/>
      <c r="Y7" s="112"/>
    </row>
    <row r="8" s="4" customFormat="true" ht="15" hidden="false" customHeight="false" outlineLevel="0" collapsed="false">
      <c r="A8" s="52" t="s">
        <v>164</v>
      </c>
      <c r="B8" s="48"/>
      <c r="C8" s="48" t="s">
        <v>165</v>
      </c>
      <c r="D8" s="48"/>
      <c r="E8" s="160" t="s">
        <v>112</v>
      </c>
      <c r="F8" s="48"/>
      <c r="G8" s="261"/>
      <c r="H8" s="158"/>
      <c r="I8" s="158"/>
      <c r="J8" s="158"/>
      <c r="K8" s="167"/>
      <c r="L8" s="22"/>
      <c r="M8" s="112"/>
      <c r="N8" s="112"/>
      <c r="O8" s="112"/>
      <c r="P8" s="112"/>
      <c r="Q8" s="112"/>
      <c r="R8" s="112"/>
      <c r="S8" s="112"/>
      <c r="T8" s="112"/>
      <c r="U8" s="112"/>
      <c r="V8" s="112"/>
      <c r="W8" s="112"/>
      <c r="X8" s="112"/>
      <c r="Y8" s="112"/>
    </row>
    <row r="9" s="4" customFormat="true" ht="15" hidden="false" customHeight="false" outlineLevel="0" collapsed="false">
      <c r="A9" s="52"/>
      <c r="B9" s="48"/>
      <c r="C9" s="48" t="s">
        <v>166</v>
      </c>
      <c r="D9" s="48"/>
      <c r="E9" s="160" t="s">
        <v>112</v>
      </c>
      <c r="F9" s="48"/>
      <c r="G9" s="262"/>
      <c r="H9" s="73"/>
      <c r="I9" s="73"/>
      <c r="J9" s="73"/>
      <c r="K9" s="263"/>
      <c r="L9" s="22"/>
      <c r="M9" s="112"/>
      <c r="N9" s="112"/>
      <c r="O9" s="112"/>
      <c r="P9" s="112"/>
      <c r="Q9" s="112"/>
      <c r="R9" s="112"/>
      <c r="S9" s="112"/>
      <c r="T9" s="112"/>
      <c r="U9" s="112"/>
      <c r="V9" s="112"/>
      <c r="W9" s="112"/>
      <c r="X9" s="112"/>
      <c r="Y9" s="112"/>
    </row>
    <row r="10" s="4" customFormat="true" ht="15" hidden="false" customHeight="false" outlineLevel="0" collapsed="false">
      <c r="A10" s="52"/>
      <c r="B10" s="48"/>
      <c r="C10" s="48" t="s">
        <v>167</v>
      </c>
      <c r="D10" s="48"/>
      <c r="E10" s="160" t="s">
        <v>112</v>
      </c>
      <c r="F10" s="48"/>
      <c r="G10" s="262"/>
      <c r="H10" s="73"/>
      <c r="I10" s="73"/>
      <c r="J10" s="73"/>
      <c r="K10" s="263"/>
      <c r="L10" s="22"/>
      <c r="M10" s="112"/>
      <c r="N10" s="112"/>
      <c r="O10" s="112"/>
      <c r="P10" s="112"/>
      <c r="Q10" s="112"/>
      <c r="R10" s="112"/>
      <c r="S10" s="112"/>
      <c r="T10" s="112"/>
      <c r="U10" s="112"/>
      <c r="V10" s="112"/>
      <c r="W10" s="112"/>
      <c r="X10" s="112"/>
      <c r="Y10" s="112"/>
    </row>
    <row r="11" s="4" customFormat="true" ht="15" hidden="false" customHeight="false" outlineLevel="0" collapsed="false">
      <c r="A11" s="52"/>
      <c r="B11" s="48"/>
      <c r="C11" s="48" t="s">
        <v>168</v>
      </c>
      <c r="D11" s="48"/>
      <c r="E11" s="160" t="s">
        <v>112</v>
      </c>
      <c r="F11" s="48"/>
      <c r="G11" s="262"/>
      <c r="H11" s="73"/>
      <c r="I11" s="73"/>
      <c r="J11" s="73"/>
      <c r="K11" s="263"/>
      <c r="L11" s="22"/>
      <c r="M11" s="112"/>
      <c r="N11" s="112"/>
      <c r="O11" s="112"/>
      <c r="P11" s="112"/>
      <c r="Q11" s="112"/>
      <c r="R11" s="112"/>
      <c r="S11" s="112"/>
      <c r="T11" s="112"/>
      <c r="U11" s="112"/>
      <c r="V11" s="112"/>
      <c r="W11" s="112"/>
      <c r="X11" s="112"/>
      <c r="Y11" s="112"/>
    </row>
    <row r="12" s="4" customFormat="true" ht="15" hidden="false" customHeight="false" outlineLevel="0" collapsed="false">
      <c r="A12" s="52"/>
      <c r="B12" s="48"/>
      <c r="C12" s="48" t="s">
        <v>169</v>
      </c>
      <c r="D12" s="48"/>
      <c r="E12" s="160" t="s">
        <v>111</v>
      </c>
      <c r="F12" s="48"/>
      <c r="G12" s="262"/>
      <c r="H12" s="73"/>
      <c r="I12" s="73"/>
      <c r="J12" s="73"/>
      <c r="K12" s="263"/>
      <c r="L12" s="22"/>
      <c r="M12" s="112"/>
      <c r="N12" s="112"/>
      <c r="O12" s="112"/>
      <c r="P12" s="112"/>
      <c r="Q12" s="112"/>
      <c r="R12" s="112"/>
      <c r="S12" s="112"/>
      <c r="T12" s="112"/>
      <c r="U12" s="112"/>
      <c r="V12" s="112"/>
      <c r="W12" s="112"/>
      <c r="X12" s="112"/>
      <c r="Y12" s="112"/>
    </row>
    <row r="13" s="4" customFormat="true" ht="15" hidden="false" customHeight="false" outlineLevel="0" collapsed="false">
      <c r="A13" s="52"/>
      <c r="B13" s="48"/>
      <c r="C13" s="48" t="s">
        <v>170</v>
      </c>
      <c r="D13" s="48"/>
      <c r="E13" s="160" t="s">
        <v>112</v>
      </c>
      <c r="F13" s="48"/>
      <c r="G13" s="262"/>
      <c r="H13" s="73"/>
      <c r="I13" s="73"/>
      <c r="J13" s="73"/>
      <c r="K13" s="263"/>
      <c r="L13" s="22"/>
      <c r="M13" s="112"/>
      <c r="N13" s="112"/>
      <c r="O13" s="112"/>
      <c r="P13" s="112"/>
      <c r="Q13" s="112"/>
      <c r="R13" s="112"/>
      <c r="S13" s="112"/>
      <c r="T13" s="112"/>
      <c r="U13" s="112"/>
      <c r="V13" s="112"/>
      <c r="W13" s="112"/>
      <c r="X13" s="112"/>
      <c r="Y13" s="112"/>
    </row>
    <row r="14" s="4" customFormat="true" ht="15" hidden="false" customHeight="false" outlineLevel="0" collapsed="false">
      <c r="A14" s="52"/>
      <c r="B14" s="48"/>
      <c r="C14" s="264"/>
      <c r="D14" s="48"/>
      <c r="E14" s="160"/>
      <c r="F14" s="48"/>
      <c r="G14" s="262"/>
      <c r="H14" s="73"/>
      <c r="I14" s="73"/>
      <c r="J14" s="73"/>
      <c r="K14" s="263"/>
      <c r="L14" s="22"/>
      <c r="M14" s="112"/>
      <c r="N14" s="112"/>
      <c r="O14" s="112"/>
      <c r="P14" s="112"/>
      <c r="Q14" s="112"/>
      <c r="R14" s="112"/>
      <c r="S14" s="112"/>
      <c r="T14" s="112"/>
      <c r="U14" s="112"/>
      <c r="V14" s="112"/>
      <c r="W14" s="112"/>
      <c r="X14" s="112"/>
      <c r="Y14" s="112"/>
    </row>
    <row r="15" s="4" customFormat="true" ht="15" hidden="false" customHeight="false" outlineLevel="0" collapsed="false">
      <c r="A15" s="52"/>
      <c r="B15" s="48"/>
      <c r="C15" s="264"/>
      <c r="D15" s="48"/>
      <c r="E15" s="160"/>
      <c r="F15" s="48"/>
      <c r="G15" s="262"/>
      <c r="H15" s="73"/>
      <c r="I15" s="73"/>
      <c r="J15" s="73"/>
      <c r="K15" s="263"/>
      <c r="L15" s="22"/>
      <c r="M15" s="112"/>
      <c r="N15" s="112"/>
      <c r="O15" s="112"/>
      <c r="P15" s="112"/>
      <c r="Q15" s="112"/>
      <c r="R15" s="112"/>
      <c r="S15" s="112"/>
      <c r="T15" s="112"/>
      <c r="U15" s="112"/>
      <c r="V15" s="112"/>
      <c r="W15" s="112"/>
      <c r="X15" s="112"/>
      <c r="Y15" s="112"/>
    </row>
    <row r="16" s="4" customFormat="true" ht="15" hidden="false" customHeight="false" outlineLevel="0" collapsed="false">
      <c r="A16" s="52" t="s">
        <v>171</v>
      </c>
      <c r="B16" s="48"/>
      <c r="D16" s="48"/>
      <c r="E16" s="160" t="s">
        <v>112</v>
      </c>
      <c r="F16" s="48"/>
      <c r="G16" s="262"/>
      <c r="H16" s="73"/>
      <c r="I16" s="73"/>
      <c r="J16" s="73"/>
      <c r="K16" s="263"/>
      <c r="L16" s="22"/>
      <c r="M16" s="112"/>
      <c r="N16" s="112"/>
      <c r="O16" s="112"/>
      <c r="P16" s="112"/>
      <c r="Q16" s="112"/>
      <c r="R16" s="112"/>
      <c r="S16" s="112"/>
      <c r="T16" s="112"/>
      <c r="U16" s="112"/>
      <c r="V16" s="112"/>
      <c r="W16" s="112"/>
      <c r="X16" s="112"/>
      <c r="Y16" s="112"/>
    </row>
    <row r="17" s="4" customFormat="true" ht="15" hidden="false" customHeight="false" outlineLevel="0" collapsed="false">
      <c r="A17" s="52" t="s">
        <v>172</v>
      </c>
      <c r="B17" s="48"/>
      <c r="C17" s="265"/>
      <c r="D17" s="48"/>
      <c r="E17" s="160" t="s">
        <v>112</v>
      </c>
      <c r="F17" s="48"/>
      <c r="G17" s="262"/>
      <c r="H17" s="73"/>
      <c r="I17" s="73"/>
      <c r="J17" s="73"/>
      <c r="K17" s="263"/>
      <c r="L17" s="22"/>
      <c r="M17" s="112"/>
      <c r="N17" s="112"/>
      <c r="O17" s="112"/>
      <c r="P17" s="112"/>
      <c r="Q17" s="112"/>
      <c r="R17" s="112"/>
      <c r="S17" s="112"/>
      <c r="T17" s="112"/>
      <c r="U17" s="112"/>
      <c r="V17" s="112"/>
      <c r="W17" s="112"/>
      <c r="X17" s="112"/>
      <c r="Y17" s="112"/>
    </row>
    <row r="18" s="4" customFormat="true" ht="15" hidden="false" customHeight="false" outlineLevel="0" collapsed="false">
      <c r="A18" s="52" t="s">
        <v>173</v>
      </c>
      <c r="B18" s="48"/>
      <c r="C18" s="48" t="s">
        <v>174</v>
      </c>
      <c r="D18" s="48"/>
      <c r="E18" s="160" t="s">
        <v>111</v>
      </c>
      <c r="F18" s="48"/>
      <c r="G18" s="262"/>
      <c r="H18" s="73"/>
      <c r="I18" s="73"/>
      <c r="J18" s="73"/>
      <c r="K18" s="263"/>
      <c r="L18" s="22"/>
      <c r="M18" s="112"/>
      <c r="N18" s="112"/>
      <c r="O18" s="112"/>
      <c r="P18" s="112"/>
      <c r="Q18" s="112"/>
      <c r="R18" s="112"/>
      <c r="S18" s="112"/>
      <c r="T18" s="112"/>
      <c r="U18" s="112"/>
      <c r="V18" s="112"/>
      <c r="W18" s="112"/>
      <c r="X18" s="112"/>
      <c r="Y18" s="112"/>
    </row>
    <row r="19" s="4" customFormat="true" ht="15" hidden="false" customHeight="false" outlineLevel="0" collapsed="false">
      <c r="A19" s="52"/>
      <c r="B19" s="48"/>
      <c r="C19" s="264"/>
      <c r="D19" s="48"/>
      <c r="E19" s="160"/>
      <c r="F19" s="48"/>
      <c r="G19" s="262"/>
      <c r="H19" s="73"/>
      <c r="I19" s="73"/>
      <c r="J19" s="73"/>
      <c r="K19" s="263"/>
      <c r="L19" s="22"/>
      <c r="M19" s="112"/>
      <c r="N19" s="112"/>
      <c r="O19" s="112"/>
      <c r="P19" s="112"/>
      <c r="Q19" s="112"/>
      <c r="R19" s="112"/>
      <c r="S19" s="112"/>
      <c r="T19" s="112"/>
      <c r="U19" s="112"/>
      <c r="V19" s="112"/>
      <c r="W19" s="112"/>
      <c r="X19" s="112"/>
      <c r="Y19" s="112"/>
    </row>
    <row r="20" s="4" customFormat="true" ht="15" hidden="false" customHeight="false" outlineLevel="0" collapsed="false">
      <c r="A20" s="52"/>
      <c r="B20" s="48"/>
      <c r="C20" s="264"/>
      <c r="D20" s="48"/>
      <c r="E20" s="160"/>
      <c r="F20" s="48"/>
      <c r="G20" s="262"/>
      <c r="H20" s="73"/>
      <c r="I20" s="73"/>
      <c r="J20" s="73"/>
      <c r="K20" s="263"/>
      <c r="L20" s="22"/>
      <c r="M20" s="112"/>
      <c r="N20" s="112"/>
      <c r="O20" s="112"/>
      <c r="P20" s="112"/>
      <c r="Q20" s="112"/>
      <c r="R20" s="112"/>
      <c r="S20" s="112"/>
      <c r="T20" s="112"/>
      <c r="U20" s="112"/>
      <c r="V20" s="112"/>
      <c r="W20" s="112"/>
      <c r="X20" s="112"/>
      <c r="Y20" s="112"/>
    </row>
    <row r="21" s="4" customFormat="true" ht="15" hidden="false" customHeight="false" outlineLevel="0" collapsed="false">
      <c r="A21" s="52" t="s">
        <v>175</v>
      </c>
      <c r="B21" s="48"/>
      <c r="C21" s="264"/>
      <c r="D21" s="48"/>
      <c r="E21" s="160" t="s">
        <v>112</v>
      </c>
      <c r="F21" s="48"/>
      <c r="G21" s="262"/>
      <c r="H21" s="73"/>
      <c r="I21" s="73"/>
      <c r="J21" s="73"/>
      <c r="K21" s="263"/>
      <c r="L21" s="22"/>
      <c r="M21" s="112"/>
      <c r="N21" s="112"/>
      <c r="O21" s="112"/>
      <c r="P21" s="112"/>
      <c r="Q21" s="112"/>
      <c r="R21" s="112"/>
      <c r="S21" s="112"/>
      <c r="T21" s="112"/>
      <c r="U21" s="112"/>
      <c r="V21" s="112"/>
      <c r="W21" s="112"/>
      <c r="X21" s="112"/>
      <c r="Y21" s="112"/>
    </row>
    <row r="22" s="4" customFormat="true" ht="15" hidden="false" customHeight="false" outlineLevel="0" collapsed="false">
      <c r="A22" s="52" t="s">
        <v>176</v>
      </c>
      <c r="B22" s="48"/>
      <c r="C22" s="264"/>
      <c r="D22" s="48"/>
      <c r="E22" s="160" t="s">
        <v>112</v>
      </c>
      <c r="F22" s="48"/>
      <c r="G22" s="262"/>
      <c r="H22" s="73"/>
      <c r="I22" s="73"/>
      <c r="J22" s="73"/>
      <c r="K22" s="263"/>
      <c r="L22" s="22"/>
      <c r="M22" s="112"/>
      <c r="N22" s="112"/>
      <c r="O22" s="112"/>
      <c r="P22" s="112"/>
      <c r="Q22" s="112"/>
      <c r="R22" s="112"/>
      <c r="S22" s="112"/>
      <c r="T22" s="112"/>
      <c r="U22" s="112"/>
      <c r="V22" s="112"/>
      <c r="W22" s="112"/>
      <c r="X22" s="112"/>
      <c r="Y22" s="112"/>
    </row>
    <row r="23" s="4" customFormat="true" ht="15" hidden="false" customHeight="false" outlineLevel="0" collapsed="false">
      <c r="A23" s="52" t="s">
        <v>177</v>
      </c>
      <c r="B23" s="48"/>
      <c r="C23" s="264"/>
      <c r="D23" s="48"/>
      <c r="E23" s="160" t="s">
        <v>112</v>
      </c>
      <c r="F23" s="48"/>
      <c r="G23" s="262"/>
      <c r="H23" s="73"/>
      <c r="I23" s="73"/>
      <c r="J23" s="73"/>
      <c r="K23" s="263"/>
      <c r="L23" s="22"/>
      <c r="M23" s="112"/>
      <c r="N23" s="112"/>
      <c r="O23" s="112"/>
      <c r="P23" s="112"/>
      <c r="Q23" s="112"/>
      <c r="R23" s="112"/>
      <c r="S23" s="112"/>
      <c r="T23" s="112"/>
      <c r="U23" s="112"/>
      <c r="V23" s="112"/>
      <c r="W23" s="112"/>
      <c r="X23" s="112"/>
      <c r="Y23" s="112"/>
    </row>
    <row r="24" s="4" customFormat="true" ht="15" hidden="false" customHeight="false" outlineLevel="0" collapsed="false">
      <c r="A24" s="52" t="s">
        <v>178</v>
      </c>
      <c r="B24" s="48"/>
      <c r="C24" s="264"/>
      <c r="D24" s="48"/>
      <c r="E24" s="160" t="s">
        <v>112</v>
      </c>
      <c r="F24" s="48"/>
      <c r="G24" s="262"/>
      <c r="H24" s="73"/>
      <c r="I24" s="73"/>
      <c r="J24" s="73"/>
      <c r="K24" s="263"/>
      <c r="L24" s="22"/>
      <c r="M24" s="112"/>
      <c r="N24" s="112"/>
      <c r="O24" s="112"/>
      <c r="P24" s="112"/>
      <c r="Q24" s="112"/>
      <c r="R24" s="112"/>
      <c r="S24" s="112"/>
      <c r="T24" s="112"/>
      <c r="U24" s="112"/>
      <c r="V24" s="112"/>
      <c r="W24" s="112"/>
      <c r="X24" s="112"/>
      <c r="Y24" s="112"/>
    </row>
    <row r="25" s="4" customFormat="true" ht="15" hidden="false" customHeight="false" outlineLevel="0" collapsed="false">
      <c r="A25" s="52" t="s">
        <v>179</v>
      </c>
      <c r="B25" s="48"/>
      <c r="C25" s="264"/>
      <c r="D25" s="48"/>
      <c r="E25" s="160" t="s">
        <v>112</v>
      </c>
      <c r="F25" s="48"/>
      <c r="G25" s="262"/>
      <c r="H25" s="73"/>
      <c r="I25" s="73"/>
      <c r="J25" s="73"/>
      <c r="K25" s="263"/>
      <c r="L25" s="22"/>
      <c r="M25" s="112"/>
      <c r="N25" s="112"/>
      <c r="O25" s="112"/>
      <c r="P25" s="112"/>
      <c r="Q25" s="112"/>
      <c r="R25" s="112"/>
      <c r="S25" s="112"/>
      <c r="T25" s="112"/>
      <c r="U25" s="112"/>
      <c r="V25" s="112"/>
      <c r="W25" s="112"/>
      <c r="X25" s="112"/>
      <c r="Y25" s="112"/>
    </row>
    <row r="26" s="4" customFormat="true" ht="15" hidden="false" customHeight="false" outlineLevel="0" collapsed="false">
      <c r="A26" s="52" t="s">
        <v>180</v>
      </c>
      <c r="B26" s="48"/>
      <c r="C26" s="264"/>
      <c r="D26" s="48"/>
      <c r="E26" s="160" t="s">
        <v>112</v>
      </c>
      <c r="F26" s="48"/>
      <c r="G26" s="262"/>
      <c r="H26" s="73"/>
      <c r="I26" s="73"/>
      <c r="J26" s="73"/>
      <c r="K26" s="263"/>
      <c r="L26" s="22"/>
      <c r="M26" s="112"/>
      <c r="N26" s="112"/>
      <c r="O26" s="112"/>
      <c r="P26" s="112"/>
      <c r="Q26" s="112"/>
      <c r="R26" s="112"/>
      <c r="S26" s="112"/>
      <c r="T26" s="112"/>
      <c r="U26" s="112"/>
      <c r="V26" s="112"/>
      <c r="W26" s="112"/>
      <c r="X26" s="112"/>
      <c r="Y26" s="112"/>
    </row>
    <row r="27" s="4" customFormat="true" ht="15" hidden="false" customHeight="false" outlineLevel="0" collapsed="false">
      <c r="A27" s="52" t="s">
        <v>181</v>
      </c>
      <c r="B27" s="48"/>
      <c r="C27" s="264"/>
      <c r="D27" s="48"/>
      <c r="E27" s="160" t="s">
        <v>112</v>
      </c>
      <c r="F27" s="48"/>
      <c r="G27" s="262"/>
      <c r="H27" s="73"/>
      <c r="I27" s="73"/>
      <c r="J27" s="73"/>
      <c r="K27" s="263"/>
      <c r="L27" s="22"/>
      <c r="M27" s="112"/>
      <c r="N27" s="112"/>
      <c r="O27" s="112"/>
      <c r="P27" s="112"/>
      <c r="Q27" s="112"/>
      <c r="R27" s="112"/>
      <c r="S27" s="112"/>
      <c r="T27" s="112"/>
      <c r="U27" s="112"/>
      <c r="V27" s="112"/>
      <c r="W27" s="112"/>
      <c r="X27" s="112"/>
      <c r="Y27" s="112"/>
    </row>
    <row r="28" s="4" customFormat="true" ht="15" hidden="false" customHeight="false" outlineLevel="0" collapsed="false">
      <c r="A28" s="52" t="s">
        <v>182</v>
      </c>
      <c r="B28" s="48"/>
      <c r="C28" s="264"/>
      <c r="D28" s="48"/>
      <c r="E28" s="160" t="s">
        <v>112</v>
      </c>
      <c r="F28" s="48"/>
      <c r="G28" s="262"/>
      <c r="H28" s="73"/>
      <c r="I28" s="73"/>
      <c r="J28" s="73"/>
      <c r="K28" s="263"/>
      <c r="L28" s="22"/>
      <c r="M28" s="112"/>
      <c r="N28" s="112"/>
      <c r="O28" s="112"/>
      <c r="P28" s="112"/>
      <c r="Q28" s="112"/>
      <c r="R28" s="112"/>
      <c r="S28" s="112"/>
      <c r="T28" s="112"/>
      <c r="U28" s="112"/>
      <c r="V28" s="112"/>
      <c r="W28" s="112"/>
      <c r="X28" s="112"/>
      <c r="Y28" s="112"/>
    </row>
    <row r="29" s="4" customFormat="true" ht="15" hidden="false" customHeight="false" outlineLevel="0" collapsed="false">
      <c r="A29" s="264"/>
      <c r="B29" s="48"/>
      <c r="C29" s="264"/>
      <c r="D29" s="48"/>
      <c r="E29" s="160"/>
      <c r="F29" s="48"/>
      <c r="G29" s="262"/>
      <c r="H29" s="73"/>
      <c r="I29" s="73"/>
      <c r="J29" s="73"/>
      <c r="K29" s="263"/>
      <c r="L29" s="22"/>
      <c r="M29" s="112"/>
      <c r="N29" s="112"/>
      <c r="O29" s="112"/>
      <c r="P29" s="112"/>
      <c r="Q29" s="112"/>
      <c r="R29" s="112"/>
      <c r="S29" s="112"/>
      <c r="T29" s="112"/>
      <c r="U29" s="112"/>
      <c r="V29" s="112"/>
      <c r="W29" s="112"/>
      <c r="X29" s="112"/>
      <c r="Y29" s="112"/>
    </row>
    <row r="30" s="4" customFormat="true" ht="15" hidden="false" customHeight="false" outlineLevel="0" collapsed="false">
      <c r="A30" s="264"/>
      <c r="B30" s="48"/>
      <c r="C30" s="264"/>
      <c r="D30" s="48"/>
      <c r="E30" s="160"/>
      <c r="F30" s="48"/>
      <c r="G30" s="266"/>
      <c r="H30" s="161"/>
      <c r="I30" s="161"/>
      <c r="J30" s="161"/>
      <c r="K30" s="267"/>
      <c r="L30" s="22"/>
      <c r="M30" s="112"/>
      <c r="N30" s="112"/>
      <c r="O30" s="112"/>
      <c r="P30" s="112"/>
      <c r="Q30" s="112"/>
      <c r="R30" s="112"/>
      <c r="S30" s="112"/>
      <c r="T30" s="112"/>
      <c r="U30" s="112"/>
      <c r="V30" s="112"/>
      <c r="W30" s="112"/>
      <c r="X30" s="112"/>
      <c r="Y30" s="112"/>
    </row>
    <row r="31" s="4" customFormat="true" ht="15" hidden="false" customHeight="false" outlineLevel="0" collapsed="false">
      <c r="A31" s="82"/>
      <c r="B31" s="107"/>
      <c r="C31" s="107"/>
      <c r="D31" s="107"/>
      <c r="E31" s="253"/>
      <c r="F31" s="107"/>
      <c r="G31" s="268"/>
      <c r="H31" s="268"/>
      <c r="I31" s="268"/>
      <c r="J31" s="268"/>
      <c r="K31" s="269"/>
      <c r="L31" s="16"/>
      <c r="M31" s="112"/>
      <c r="N31" s="112"/>
      <c r="O31" s="112"/>
      <c r="P31" s="112"/>
      <c r="Q31" s="112"/>
      <c r="R31" s="112"/>
      <c r="S31" s="112"/>
      <c r="T31" s="112"/>
      <c r="U31" s="112"/>
      <c r="V31" s="112"/>
      <c r="W31" s="112"/>
      <c r="X31" s="112"/>
      <c r="Y31" s="112"/>
    </row>
    <row r="32" s="4" customFormat="true" ht="15" hidden="false" customHeight="false" outlineLevel="0" collapsed="false">
      <c r="A32" s="131" t="s">
        <v>183</v>
      </c>
      <c r="B32" s="132"/>
      <c r="C32" s="132"/>
      <c r="D32" s="132"/>
      <c r="E32" s="255"/>
      <c r="F32" s="132"/>
      <c r="G32" s="132"/>
      <c r="H32" s="132"/>
      <c r="I32" s="132"/>
      <c r="J32" s="132"/>
      <c r="K32" s="133"/>
      <c r="L32" s="22"/>
      <c r="M32" s="112"/>
      <c r="N32" s="112"/>
      <c r="O32" s="112"/>
      <c r="P32" s="112"/>
      <c r="Q32" s="112"/>
      <c r="R32" s="112"/>
      <c r="S32" s="112"/>
      <c r="T32" s="112"/>
      <c r="U32" s="112"/>
      <c r="V32" s="112"/>
      <c r="W32" s="112"/>
      <c r="X32" s="112"/>
      <c r="Y32" s="112"/>
    </row>
    <row r="33" s="273" customFormat="true" ht="15" hidden="false" customHeight="false" outlineLevel="0" collapsed="false">
      <c r="A33" s="256" t="s">
        <v>184</v>
      </c>
      <c r="B33" s="258"/>
      <c r="C33" s="258"/>
      <c r="D33" s="258"/>
      <c r="E33" s="259" t="s">
        <v>162</v>
      </c>
      <c r="F33" s="258"/>
      <c r="G33" s="258" t="s">
        <v>163</v>
      </c>
      <c r="H33" s="258"/>
      <c r="I33" s="258"/>
      <c r="J33" s="258"/>
      <c r="K33" s="270"/>
      <c r="L33" s="271"/>
      <c r="M33" s="272"/>
      <c r="N33" s="272"/>
      <c r="O33" s="272"/>
      <c r="P33" s="272"/>
      <c r="Q33" s="272"/>
      <c r="R33" s="272"/>
      <c r="S33" s="272"/>
      <c r="T33" s="272"/>
      <c r="U33" s="272"/>
      <c r="V33" s="272"/>
      <c r="W33" s="272"/>
      <c r="X33" s="272"/>
      <c r="Y33" s="272"/>
    </row>
    <row r="34" s="4" customFormat="true" ht="15" hidden="false" customHeight="false" outlineLevel="0" collapsed="false">
      <c r="A34" s="52" t="s">
        <v>185</v>
      </c>
      <c r="B34" s="48"/>
      <c r="C34" s="48"/>
      <c r="D34" s="48"/>
      <c r="E34" s="160" t="s">
        <v>111</v>
      </c>
      <c r="F34" s="48"/>
      <c r="G34" s="261"/>
      <c r="H34" s="158"/>
      <c r="I34" s="158"/>
      <c r="J34" s="158"/>
      <c r="K34" s="167"/>
      <c r="L34" s="22"/>
      <c r="M34" s="112"/>
      <c r="N34" s="112"/>
      <c r="O34" s="112"/>
      <c r="P34" s="112"/>
      <c r="Q34" s="112"/>
      <c r="R34" s="112"/>
      <c r="S34" s="112"/>
      <c r="T34" s="112"/>
      <c r="U34" s="112"/>
      <c r="V34" s="112"/>
      <c r="W34" s="112"/>
      <c r="X34" s="112"/>
      <c r="Y34" s="112"/>
    </row>
    <row r="35" s="4" customFormat="true" ht="15" hidden="false" customHeight="false" outlineLevel="0" collapsed="false">
      <c r="A35" s="52" t="s">
        <v>186</v>
      </c>
      <c r="B35" s="48"/>
      <c r="C35" s="48"/>
      <c r="D35" s="48"/>
      <c r="E35" s="160" t="s">
        <v>112</v>
      </c>
      <c r="F35" s="48"/>
      <c r="G35" s="262"/>
      <c r="H35" s="73"/>
      <c r="I35" s="73"/>
      <c r="J35" s="73"/>
      <c r="K35" s="263"/>
      <c r="L35" s="22"/>
      <c r="M35" s="112"/>
      <c r="N35" s="112"/>
      <c r="O35" s="112"/>
      <c r="P35" s="112"/>
      <c r="Q35" s="112"/>
      <c r="R35" s="112"/>
      <c r="S35" s="112"/>
      <c r="T35" s="112"/>
      <c r="U35" s="112"/>
      <c r="V35" s="112"/>
      <c r="W35" s="112"/>
      <c r="X35" s="112"/>
      <c r="Y35" s="112"/>
    </row>
    <row r="36" s="4" customFormat="true" ht="15" hidden="false" customHeight="false" outlineLevel="0" collapsed="false">
      <c r="A36" s="52" t="s">
        <v>187</v>
      </c>
      <c r="B36" s="48"/>
      <c r="C36" s="48"/>
      <c r="D36" s="48"/>
      <c r="E36" s="160" t="s">
        <v>112</v>
      </c>
      <c r="F36" s="48"/>
      <c r="G36" s="262"/>
      <c r="H36" s="73"/>
      <c r="I36" s="73"/>
      <c r="J36" s="73"/>
      <c r="K36" s="263"/>
      <c r="L36" s="22"/>
      <c r="M36" s="112"/>
      <c r="N36" s="112"/>
      <c r="O36" s="112"/>
      <c r="P36" s="112"/>
      <c r="Q36" s="112"/>
      <c r="R36" s="112"/>
      <c r="S36" s="112"/>
      <c r="T36" s="112"/>
      <c r="U36" s="112"/>
      <c r="V36" s="112"/>
      <c r="W36" s="112"/>
      <c r="X36" s="112"/>
      <c r="Y36" s="112"/>
    </row>
    <row r="37" s="4" customFormat="true" ht="15" hidden="false" customHeight="false" outlineLevel="0" collapsed="false">
      <c r="A37" s="52" t="s">
        <v>188</v>
      </c>
      <c r="B37" s="48"/>
      <c r="C37" s="48"/>
      <c r="D37" s="48"/>
      <c r="E37" s="160" t="s">
        <v>111</v>
      </c>
      <c r="F37" s="48"/>
      <c r="G37" s="262"/>
      <c r="H37" s="73"/>
      <c r="I37" s="73"/>
      <c r="J37" s="73"/>
      <c r="K37" s="263"/>
      <c r="L37" s="22"/>
      <c r="M37" s="112"/>
      <c r="N37" s="112"/>
      <c r="O37" s="112"/>
      <c r="P37" s="112"/>
      <c r="Q37" s="112"/>
      <c r="R37" s="112"/>
      <c r="S37" s="112"/>
      <c r="T37" s="112"/>
      <c r="U37" s="112"/>
      <c r="V37" s="112"/>
      <c r="W37" s="112"/>
      <c r="X37" s="112"/>
      <c r="Y37" s="112"/>
    </row>
    <row r="38" s="4" customFormat="true" ht="15" hidden="false" customHeight="false" outlineLevel="0" collapsed="false">
      <c r="A38" s="52" t="s">
        <v>189</v>
      </c>
      <c r="B38" s="48"/>
      <c r="C38" s="48"/>
      <c r="D38" s="48"/>
      <c r="E38" s="160" t="s">
        <v>112</v>
      </c>
      <c r="F38" s="48"/>
      <c r="G38" s="262"/>
      <c r="H38" s="73"/>
      <c r="I38" s="73"/>
      <c r="J38" s="73"/>
      <c r="K38" s="263"/>
      <c r="L38" s="22"/>
      <c r="M38" s="112"/>
      <c r="N38" s="112"/>
      <c r="O38" s="112"/>
      <c r="P38" s="112"/>
      <c r="Q38" s="112"/>
      <c r="R38" s="112"/>
      <c r="S38" s="112"/>
      <c r="T38" s="112"/>
      <c r="U38" s="112"/>
      <c r="V38" s="112"/>
      <c r="W38" s="112"/>
      <c r="X38" s="112"/>
      <c r="Y38" s="112"/>
    </row>
    <row r="39" s="4" customFormat="true" ht="15" hidden="false" customHeight="false" outlineLevel="0" collapsed="false">
      <c r="A39" s="52" t="s">
        <v>190</v>
      </c>
      <c r="B39" s="48"/>
      <c r="C39" s="48"/>
      <c r="D39" s="48"/>
      <c r="E39" s="160" t="s">
        <v>191</v>
      </c>
      <c r="F39" s="48"/>
      <c r="G39" s="262"/>
      <c r="H39" s="73"/>
      <c r="I39" s="73"/>
      <c r="J39" s="73"/>
      <c r="K39" s="263"/>
      <c r="L39" s="22"/>
      <c r="M39" s="112"/>
      <c r="N39" s="112"/>
      <c r="O39" s="112"/>
      <c r="P39" s="112"/>
      <c r="Q39" s="112"/>
      <c r="R39" s="112"/>
      <c r="S39" s="112"/>
      <c r="T39" s="112"/>
      <c r="U39" s="112"/>
      <c r="V39" s="112"/>
      <c r="W39" s="112"/>
      <c r="X39" s="112"/>
      <c r="Y39" s="112"/>
    </row>
    <row r="40" s="4" customFormat="true" ht="15" hidden="false" customHeight="false" outlineLevel="0" collapsed="false">
      <c r="A40" s="52" t="s">
        <v>192</v>
      </c>
      <c r="B40" s="48"/>
      <c r="C40" s="48"/>
      <c r="D40" s="48"/>
      <c r="E40" s="160" t="s">
        <v>191</v>
      </c>
      <c r="F40" s="48"/>
      <c r="G40" s="262"/>
      <c r="H40" s="73"/>
      <c r="I40" s="73"/>
      <c r="J40" s="73"/>
      <c r="K40" s="263"/>
      <c r="L40" s="22"/>
      <c r="M40" s="112"/>
      <c r="N40" s="112"/>
      <c r="O40" s="112"/>
      <c r="P40" s="112"/>
      <c r="Q40" s="112"/>
      <c r="R40" s="112"/>
      <c r="S40" s="112"/>
      <c r="T40" s="112"/>
      <c r="U40" s="112"/>
      <c r="V40" s="112"/>
      <c r="W40" s="112"/>
      <c r="X40" s="112"/>
      <c r="Y40" s="112"/>
    </row>
    <row r="41" s="4" customFormat="true" ht="15" hidden="false" customHeight="false" outlineLevel="0" collapsed="false">
      <c r="A41" s="52" t="s">
        <v>193</v>
      </c>
      <c r="B41" s="48"/>
      <c r="C41" s="48"/>
      <c r="D41" s="48"/>
      <c r="E41" s="160" t="s">
        <v>191</v>
      </c>
      <c r="F41" s="48"/>
      <c r="G41" s="262"/>
      <c r="H41" s="73"/>
      <c r="I41" s="73"/>
      <c r="J41" s="73"/>
      <c r="K41" s="263"/>
      <c r="L41" s="22"/>
      <c r="M41" s="112"/>
      <c r="N41" s="112"/>
      <c r="O41" s="112"/>
      <c r="P41" s="112"/>
      <c r="Q41" s="112"/>
      <c r="R41" s="112"/>
      <c r="S41" s="112"/>
      <c r="T41" s="112"/>
      <c r="U41" s="112"/>
      <c r="V41" s="112"/>
      <c r="W41" s="112"/>
      <c r="X41" s="112"/>
      <c r="Y41" s="112"/>
    </row>
    <row r="42" s="4" customFormat="true" ht="15" hidden="false" customHeight="false" outlineLevel="0" collapsed="false">
      <c r="A42" s="52" t="s">
        <v>194</v>
      </c>
      <c r="B42" s="48"/>
      <c r="C42" s="48"/>
      <c r="D42" s="48"/>
      <c r="E42" s="160" t="s">
        <v>191</v>
      </c>
      <c r="F42" s="48"/>
      <c r="G42" s="262"/>
      <c r="H42" s="73"/>
      <c r="I42" s="73"/>
      <c r="J42" s="73"/>
      <c r="K42" s="263"/>
      <c r="L42" s="22"/>
      <c r="M42" s="112"/>
      <c r="N42" s="112"/>
      <c r="O42" s="112"/>
      <c r="P42" s="112"/>
      <c r="Q42" s="112"/>
      <c r="R42" s="112"/>
      <c r="S42" s="112"/>
      <c r="T42" s="112"/>
      <c r="U42" s="112"/>
      <c r="V42" s="112"/>
      <c r="W42" s="112"/>
      <c r="X42" s="112"/>
      <c r="Y42" s="112"/>
    </row>
    <row r="43" s="4" customFormat="true" ht="15" hidden="false" customHeight="false" outlineLevel="0" collapsed="false">
      <c r="A43" s="274" t="s">
        <v>195</v>
      </c>
      <c r="B43" s="265"/>
      <c r="C43" s="48"/>
      <c r="D43" s="48"/>
      <c r="E43" s="160" t="s">
        <v>111</v>
      </c>
      <c r="F43" s="48"/>
      <c r="G43" s="262"/>
      <c r="H43" s="73"/>
      <c r="I43" s="73"/>
      <c r="J43" s="73"/>
      <c r="K43" s="263"/>
      <c r="L43" s="22"/>
      <c r="M43" s="112"/>
      <c r="N43" s="112"/>
      <c r="O43" s="112"/>
      <c r="P43" s="112"/>
      <c r="Q43" s="112"/>
      <c r="R43" s="112"/>
      <c r="S43" s="112"/>
      <c r="T43" s="112"/>
      <c r="U43" s="112"/>
      <c r="V43" s="112"/>
      <c r="W43" s="112"/>
      <c r="X43" s="112"/>
      <c r="Y43" s="112"/>
    </row>
    <row r="44" s="4" customFormat="true" ht="15" hidden="false" customHeight="false" outlineLevel="0" collapsed="false">
      <c r="A44" s="274" t="s">
        <v>196</v>
      </c>
      <c r="B44" s="265"/>
      <c r="C44" s="48"/>
      <c r="D44" s="48"/>
      <c r="E44" s="160" t="s">
        <v>112</v>
      </c>
      <c r="F44" s="48"/>
      <c r="G44" s="262"/>
      <c r="H44" s="73"/>
      <c r="I44" s="73"/>
      <c r="J44" s="73"/>
      <c r="K44" s="263"/>
      <c r="L44" s="22"/>
      <c r="M44" s="112"/>
      <c r="N44" s="112"/>
      <c r="O44" s="112"/>
      <c r="P44" s="112"/>
      <c r="Q44" s="112"/>
      <c r="R44" s="112"/>
      <c r="S44" s="112"/>
      <c r="T44" s="112"/>
      <c r="U44" s="112"/>
      <c r="V44" s="112"/>
      <c r="W44" s="112"/>
      <c r="X44" s="112"/>
      <c r="Y44" s="112"/>
    </row>
    <row r="45" s="4" customFormat="true" ht="15" hidden="false" customHeight="false" outlineLevel="0" collapsed="false">
      <c r="A45" s="275"/>
      <c r="B45" s="275"/>
      <c r="C45" s="48"/>
      <c r="D45" s="48"/>
      <c r="E45" s="160"/>
      <c r="F45" s="48"/>
      <c r="G45" s="262"/>
      <c r="H45" s="73"/>
      <c r="I45" s="73"/>
      <c r="J45" s="73"/>
      <c r="K45" s="263"/>
      <c r="L45" s="22"/>
      <c r="M45" s="112"/>
      <c r="N45" s="112"/>
      <c r="O45" s="112"/>
      <c r="P45" s="112"/>
      <c r="Q45" s="112"/>
      <c r="R45" s="112"/>
      <c r="S45" s="112"/>
      <c r="T45" s="112"/>
      <c r="U45" s="112"/>
      <c r="V45" s="112"/>
      <c r="W45" s="112"/>
      <c r="X45" s="112"/>
      <c r="Y45" s="112"/>
    </row>
    <row r="46" s="4" customFormat="true" ht="15" hidden="false" customHeight="false" outlineLevel="0" collapsed="false">
      <c r="A46" s="275"/>
      <c r="B46" s="275"/>
      <c r="C46" s="48"/>
      <c r="D46" s="48"/>
      <c r="E46" s="160"/>
      <c r="F46" s="48"/>
      <c r="G46" s="266"/>
      <c r="H46" s="161"/>
      <c r="I46" s="161"/>
      <c r="J46" s="161"/>
      <c r="K46" s="267"/>
      <c r="L46" s="22"/>
      <c r="M46" s="112"/>
      <c r="N46" s="112"/>
      <c r="O46" s="112"/>
      <c r="P46" s="112"/>
      <c r="Q46" s="112"/>
      <c r="R46" s="112"/>
      <c r="S46" s="112"/>
      <c r="T46" s="112"/>
      <c r="U46" s="112"/>
      <c r="V46" s="112"/>
      <c r="W46" s="112"/>
      <c r="X46" s="112"/>
      <c r="Y46" s="112"/>
    </row>
    <row r="47" s="4" customFormat="true" ht="15" hidden="false" customHeight="false" outlineLevel="0" collapsed="false">
      <c r="A47" s="82"/>
      <c r="B47" s="107"/>
      <c r="C47" s="107"/>
      <c r="D47" s="107"/>
      <c r="E47" s="253"/>
      <c r="F47" s="107"/>
      <c r="G47" s="107"/>
      <c r="H47" s="107"/>
      <c r="I47" s="107"/>
      <c r="J47" s="107"/>
      <c r="K47" s="84"/>
      <c r="L47" s="22"/>
      <c r="M47" s="112"/>
      <c r="N47" s="112"/>
      <c r="O47" s="112"/>
      <c r="P47" s="112"/>
      <c r="Q47" s="112"/>
      <c r="R47" s="112"/>
      <c r="S47" s="112"/>
      <c r="T47" s="112"/>
      <c r="U47" s="112"/>
      <c r="V47" s="112"/>
      <c r="W47" s="112"/>
      <c r="X47" s="112"/>
      <c r="Y47" s="112"/>
    </row>
    <row r="48" s="4" customFormat="true" ht="15" hidden="false" customHeight="false" outlineLevel="0" collapsed="false">
      <c r="A48" s="131" t="s">
        <v>197</v>
      </c>
      <c r="B48" s="276"/>
      <c r="C48" s="276"/>
      <c r="D48" s="276"/>
      <c r="E48" s="276"/>
      <c r="F48" s="276"/>
      <c r="G48" s="276"/>
      <c r="H48" s="276"/>
      <c r="I48" s="276"/>
      <c r="J48" s="276"/>
      <c r="K48" s="277"/>
      <c r="L48" s="22"/>
      <c r="M48" s="112"/>
      <c r="N48" s="112"/>
      <c r="O48" s="112"/>
      <c r="P48" s="112"/>
      <c r="Q48" s="112"/>
      <c r="R48" s="112"/>
      <c r="S48" s="112"/>
      <c r="T48" s="112"/>
      <c r="U48" s="112"/>
      <c r="V48" s="112"/>
      <c r="W48" s="112"/>
      <c r="X48" s="112"/>
      <c r="Y48" s="112"/>
    </row>
    <row r="49" s="4" customFormat="true" ht="15" hidden="false" customHeight="false" outlineLevel="0" collapsed="false">
      <c r="A49" s="262" t="s">
        <v>198</v>
      </c>
      <c r="B49" s="158"/>
      <c r="C49" s="158"/>
      <c r="D49" s="158"/>
      <c r="E49" s="158"/>
      <c r="F49" s="158"/>
      <c r="G49" s="158"/>
      <c r="H49" s="158"/>
      <c r="I49" s="158"/>
      <c r="J49" s="158"/>
      <c r="K49" s="167"/>
      <c r="L49" s="22"/>
      <c r="M49" s="112"/>
      <c r="N49" s="112"/>
      <c r="O49" s="112"/>
      <c r="P49" s="112"/>
      <c r="Q49" s="112"/>
      <c r="R49" s="112"/>
      <c r="S49" s="112"/>
      <c r="T49" s="112"/>
      <c r="U49" s="112"/>
      <c r="V49" s="112"/>
      <c r="W49" s="112"/>
      <c r="X49" s="112"/>
      <c r="Y49" s="112"/>
    </row>
    <row r="50" s="4" customFormat="true" ht="15" hidden="false" customHeight="false" outlineLevel="0" collapsed="false">
      <c r="A50" s="262"/>
      <c r="B50" s="73"/>
      <c r="C50" s="73"/>
      <c r="D50" s="73"/>
      <c r="E50" s="73"/>
      <c r="F50" s="73"/>
      <c r="G50" s="73"/>
      <c r="H50" s="73"/>
      <c r="I50" s="73"/>
      <c r="J50" s="73"/>
      <c r="K50" s="263"/>
      <c r="L50" s="22"/>
      <c r="M50" s="112"/>
      <c r="N50" s="112"/>
      <c r="O50" s="112"/>
      <c r="P50" s="112"/>
      <c r="Q50" s="112"/>
      <c r="R50" s="112"/>
      <c r="S50" s="112"/>
      <c r="T50" s="112"/>
      <c r="U50" s="112"/>
      <c r="V50" s="112"/>
      <c r="W50" s="112"/>
      <c r="X50" s="112"/>
      <c r="Y50" s="112"/>
    </row>
    <row r="51" s="4" customFormat="true" ht="15" hidden="false" customHeight="false" outlineLevel="0" collapsed="false">
      <c r="A51" s="161"/>
      <c r="B51" s="73"/>
      <c r="C51" s="73"/>
      <c r="D51" s="73"/>
      <c r="E51" s="73"/>
      <c r="F51" s="73"/>
      <c r="G51" s="73"/>
      <c r="H51" s="73"/>
      <c r="I51" s="73"/>
      <c r="J51" s="73"/>
      <c r="K51" s="263"/>
      <c r="L51" s="22"/>
      <c r="M51" s="112"/>
      <c r="N51" s="112"/>
      <c r="O51" s="112"/>
      <c r="P51" s="112"/>
      <c r="Q51" s="112"/>
      <c r="R51" s="112"/>
      <c r="S51" s="112"/>
      <c r="T51" s="112"/>
      <c r="U51" s="112"/>
      <c r="V51" s="112"/>
      <c r="W51" s="112"/>
      <c r="X51" s="112"/>
      <c r="Y51" s="112"/>
    </row>
    <row r="52" s="4" customFormat="true" ht="15" hidden="false" customHeight="false" outlineLevel="0" collapsed="false">
      <c r="A52" s="161"/>
      <c r="B52" s="161"/>
      <c r="C52" s="161"/>
      <c r="D52" s="161"/>
      <c r="E52" s="161"/>
      <c r="F52" s="161"/>
      <c r="G52" s="161"/>
      <c r="H52" s="161"/>
      <c r="I52" s="161"/>
      <c r="J52" s="161"/>
      <c r="K52" s="267"/>
      <c r="L52" s="22"/>
      <c r="M52" s="112"/>
      <c r="N52" s="112"/>
      <c r="O52" s="112"/>
      <c r="P52" s="112"/>
      <c r="Q52" s="112"/>
      <c r="R52" s="112"/>
      <c r="S52" s="112"/>
      <c r="T52" s="112"/>
      <c r="U52" s="112"/>
      <c r="V52" s="112"/>
      <c r="W52" s="112"/>
      <c r="X52" s="112"/>
      <c r="Y52" s="112"/>
    </row>
    <row r="53" s="4" customFormat="true" ht="15" hidden="false" customHeight="false" outlineLevel="0" collapsed="false">
      <c r="L53" s="22"/>
      <c r="M53" s="112"/>
      <c r="N53" s="112"/>
      <c r="O53" s="112"/>
      <c r="P53" s="112"/>
      <c r="Q53" s="112"/>
      <c r="R53" s="112"/>
      <c r="S53" s="112"/>
      <c r="T53" s="112"/>
      <c r="U53" s="112"/>
      <c r="V53" s="112"/>
      <c r="W53" s="112"/>
      <c r="X53" s="112"/>
      <c r="Y53" s="112"/>
    </row>
    <row r="54" s="4" customFormat="true" ht="15" hidden="false" customHeight="false" outlineLevel="0" collapsed="false">
      <c r="A54" s="131" t="s">
        <v>199</v>
      </c>
      <c r="B54" s="276"/>
      <c r="C54" s="276"/>
      <c r="D54" s="276"/>
      <c r="E54" s="276"/>
      <c r="F54" s="276"/>
      <c r="G54" s="276"/>
      <c r="H54" s="276"/>
      <c r="I54" s="276"/>
      <c r="J54" s="276"/>
      <c r="K54" s="277"/>
      <c r="L54" s="22"/>
      <c r="M54" s="112"/>
      <c r="N54" s="112"/>
      <c r="O54" s="112"/>
      <c r="P54" s="112"/>
      <c r="Q54" s="112"/>
      <c r="R54" s="112"/>
      <c r="S54" s="112"/>
      <c r="T54" s="112"/>
      <c r="U54" s="112"/>
      <c r="V54" s="112"/>
      <c r="W54" s="112"/>
      <c r="X54" s="112"/>
      <c r="Y54" s="112"/>
    </row>
    <row r="55" s="4" customFormat="true" ht="15" hidden="false" customHeight="false" outlineLevel="0" collapsed="false">
      <c r="A55" s="261"/>
      <c r="B55" s="158"/>
      <c r="C55" s="158"/>
      <c r="D55" s="158"/>
      <c r="E55" s="158"/>
      <c r="F55" s="158"/>
      <c r="G55" s="158"/>
      <c r="H55" s="158"/>
      <c r="I55" s="158"/>
      <c r="J55" s="158"/>
      <c r="K55" s="167"/>
      <c r="L55" s="22"/>
      <c r="M55" s="112"/>
      <c r="N55" s="112"/>
      <c r="O55" s="112"/>
      <c r="P55" s="112"/>
      <c r="Q55" s="112"/>
      <c r="R55" s="112"/>
      <c r="S55" s="112"/>
      <c r="T55" s="112"/>
      <c r="U55" s="112"/>
      <c r="V55" s="112"/>
      <c r="W55" s="112"/>
      <c r="X55" s="112"/>
      <c r="Y55" s="112"/>
    </row>
    <row r="56" s="4" customFormat="true" ht="15" hidden="false" customHeight="false" outlineLevel="0" collapsed="false">
      <c r="A56" s="73"/>
      <c r="B56" s="73"/>
      <c r="C56" s="73"/>
      <c r="D56" s="73"/>
      <c r="E56" s="73"/>
      <c r="F56" s="73"/>
      <c r="G56" s="73"/>
      <c r="H56" s="73"/>
      <c r="I56" s="73"/>
      <c r="J56" s="73"/>
      <c r="K56" s="263"/>
      <c r="L56" s="22"/>
      <c r="M56" s="112"/>
      <c r="N56" s="112"/>
      <c r="O56" s="112"/>
      <c r="P56" s="112"/>
      <c r="Q56" s="112"/>
      <c r="R56" s="112"/>
      <c r="S56" s="112"/>
      <c r="T56" s="112"/>
      <c r="U56" s="112"/>
      <c r="V56" s="112"/>
      <c r="W56" s="112"/>
      <c r="X56" s="112"/>
      <c r="Y56" s="112"/>
    </row>
    <row r="57" s="4" customFormat="true" ht="15" hidden="false" customHeight="false" outlineLevel="0" collapsed="false">
      <c r="A57" s="73"/>
      <c r="B57" s="73"/>
      <c r="C57" s="73"/>
      <c r="D57" s="73"/>
      <c r="E57" s="73"/>
      <c r="F57" s="73"/>
      <c r="G57" s="73"/>
      <c r="H57" s="73"/>
      <c r="I57" s="73"/>
      <c r="J57" s="73"/>
      <c r="K57" s="263"/>
      <c r="L57" s="22"/>
      <c r="M57" s="112"/>
      <c r="N57" s="112"/>
      <c r="O57" s="112"/>
      <c r="P57" s="112"/>
      <c r="Q57" s="112"/>
      <c r="R57" s="112"/>
      <c r="S57" s="112"/>
      <c r="T57" s="112"/>
      <c r="U57" s="112"/>
      <c r="V57" s="112"/>
      <c r="W57" s="112"/>
      <c r="X57" s="112"/>
      <c r="Y57" s="112"/>
    </row>
    <row r="58" s="4" customFormat="true" ht="15" hidden="false" customHeight="false" outlineLevel="0" collapsed="false">
      <c r="A58" s="266"/>
      <c r="B58" s="161"/>
      <c r="C58" s="161"/>
      <c r="D58" s="161"/>
      <c r="E58" s="161"/>
      <c r="F58" s="161"/>
      <c r="G58" s="161"/>
      <c r="H58" s="161"/>
      <c r="I58" s="161"/>
      <c r="J58" s="161"/>
      <c r="K58" s="267"/>
      <c r="L58" s="22"/>
      <c r="M58" s="112"/>
      <c r="N58" s="112"/>
      <c r="O58" s="112"/>
      <c r="P58" s="112"/>
      <c r="Q58" s="112"/>
      <c r="R58" s="112"/>
      <c r="S58" s="112"/>
      <c r="T58" s="112"/>
      <c r="U58" s="112"/>
      <c r="V58" s="112"/>
      <c r="W58" s="112"/>
      <c r="X58" s="112"/>
      <c r="Y58" s="112"/>
    </row>
    <row r="59" s="4" customFormat="true" ht="15" hidden="false" customHeight="false" outlineLevel="0" collapsed="false">
      <c r="L59" s="22"/>
      <c r="M59" s="112"/>
      <c r="N59" s="112"/>
      <c r="O59" s="112"/>
      <c r="P59" s="112"/>
      <c r="Q59" s="112"/>
      <c r="R59" s="112"/>
      <c r="S59" s="112"/>
      <c r="T59" s="112"/>
      <c r="U59" s="112"/>
      <c r="V59" s="112"/>
      <c r="W59" s="112"/>
      <c r="X59" s="112"/>
      <c r="Y59" s="112"/>
    </row>
    <row r="60" s="4" customFormat="true" ht="15" hidden="false" customHeight="false" outlineLevel="0" collapsed="false">
      <c r="A60" s="131" t="s">
        <v>156</v>
      </c>
      <c r="B60" s="132"/>
      <c r="C60" s="132"/>
      <c r="D60" s="132"/>
      <c r="E60" s="132"/>
      <c r="F60" s="132"/>
      <c r="G60" s="132"/>
      <c r="H60" s="132"/>
      <c r="I60" s="132"/>
      <c r="J60" s="132"/>
      <c r="K60" s="133"/>
      <c r="L60" s="22"/>
      <c r="M60" s="112"/>
      <c r="N60" s="112"/>
      <c r="O60" s="112"/>
      <c r="P60" s="112"/>
      <c r="Q60" s="112"/>
      <c r="R60" s="112"/>
      <c r="S60" s="112"/>
      <c r="T60" s="112"/>
      <c r="U60" s="112"/>
      <c r="V60" s="112"/>
      <c r="W60" s="112"/>
      <c r="X60" s="112"/>
      <c r="Y60" s="112"/>
    </row>
    <row r="61" customFormat="false" ht="15" hidden="false" customHeight="false" outlineLevel="0" collapsed="false">
      <c r="A61" s="261"/>
      <c r="B61" s="158"/>
      <c r="C61" s="158"/>
      <c r="D61" s="158"/>
      <c r="E61" s="158"/>
      <c r="F61" s="158"/>
      <c r="G61" s="158"/>
      <c r="H61" s="158"/>
      <c r="I61" s="158"/>
      <c r="J61" s="158"/>
      <c r="K61" s="167"/>
    </row>
    <row r="62" customFormat="false" ht="15" hidden="false" customHeight="false" outlineLevel="0" collapsed="false">
      <c r="A62" s="266"/>
      <c r="B62" s="161"/>
      <c r="C62" s="161"/>
      <c r="D62" s="161"/>
      <c r="E62" s="161"/>
      <c r="F62" s="161"/>
      <c r="G62" s="161"/>
      <c r="H62" s="161"/>
      <c r="I62" s="161"/>
      <c r="J62" s="161"/>
      <c r="K62" s="267"/>
    </row>
    <row r="63" customFormat="false" ht="15" hidden="true" customHeight="false" outlineLevel="0" collapsed="false">
      <c r="A63" s="278"/>
      <c r="B63" s="278"/>
      <c r="C63" s="278"/>
      <c r="D63" s="278"/>
      <c r="E63" s="279"/>
      <c r="F63" s="278"/>
      <c r="G63" s="278"/>
      <c r="H63" s="278"/>
      <c r="I63" s="278"/>
      <c r="J63" s="278"/>
      <c r="K63" s="278"/>
    </row>
    <row r="64" customFormat="false" ht="15" hidden="true" customHeight="false" outlineLevel="0" collapsed="false">
      <c r="A64" s="278"/>
      <c r="B64" s="278"/>
      <c r="C64" s="278"/>
      <c r="D64" s="278"/>
      <c r="E64" s="279"/>
      <c r="F64" s="278"/>
      <c r="G64" s="278"/>
      <c r="H64" s="278"/>
      <c r="I64" s="278"/>
      <c r="J64" s="278"/>
      <c r="K64" s="278"/>
    </row>
    <row r="65" customFormat="false" ht="15" hidden="true" customHeight="false" outlineLevel="0" collapsed="false">
      <c r="A65" s="278"/>
      <c r="B65" s="278"/>
      <c r="C65" s="278"/>
      <c r="D65" s="278"/>
      <c r="E65" s="279"/>
      <c r="F65" s="278"/>
      <c r="G65" s="278"/>
      <c r="H65" s="278"/>
      <c r="I65" s="278"/>
      <c r="J65" s="278"/>
      <c r="K65" s="278"/>
    </row>
    <row r="66" customFormat="false" ht="15" hidden="true" customHeight="false" outlineLevel="0" collapsed="false">
      <c r="A66" s="278"/>
      <c r="B66" s="278" t="s">
        <v>111</v>
      </c>
      <c r="C66" s="278"/>
      <c r="D66" s="278"/>
      <c r="E66" s="279"/>
      <c r="F66" s="278"/>
      <c r="G66" s="278"/>
      <c r="H66" s="278"/>
      <c r="I66" s="278"/>
      <c r="J66" s="278"/>
      <c r="K66" s="278"/>
    </row>
    <row r="67" customFormat="false" ht="15" hidden="true" customHeight="false" outlineLevel="0" collapsed="false">
      <c r="A67" s="278"/>
      <c r="B67" s="278" t="s">
        <v>112</v>
      </c>
      <c r="C67" s="278"/>
      <c r="D67" s="278"/>
      <c r="E67" s="279"/>
      <c r="F67" s="278"/>
      <c r="G67" s="278"/>
      <c r="H67" s="278"/>
      <c r="I67" s="278"/>
      <c r="J67" s="278"/>
      <c r="K67" s="278"/>
    </row>
    <row r="68" customFormat="false" ht="15" hidden="true" customHeight="false" outlineLevel="0" collapsed="false">
      <c r="A68" s="278"/>
      <c r="B68" s="278" t="s">
        <v>191</v>
      </c>
      <c r="C68" s="278"/>
      <c r="D68" s="278"/>
      <c r="E68" s="279"/>
      <c r="F68" s="278"/>
      <c r="G68" s="278"/>
      <c r="H68" s="278"/>
      <c r="I68" s="278"/>
      <c r="J68" s="278"/>
      <c r="K68" s="278"/>
    </row>
    <row r="69" customFormat="false" ht="6" hidden="true" customHeight="true" outlineLevel="0" collapsed="false">
      <c r="A69" s="278"/>
      <c r="B69" s="278"/>
      <c r="C69" s="278"/>
      <c r="D69" s="278"/>
      <c r="E69" s="279"/>
      <c r="F69" s="278"/>
      <c r="G69" s="278"/>
      <c r="H69" s="278"/>
      <c r="I69" s="278"/>
      <c r="J69" s="278"/>
      <c r="K69" s="278"/>
    </row>
    <row r="70" customFormat="false" ht="15" hidden="true" customHeight="false" outlineLevel="0" collapsed="false">
      <c r="A70" s="278"/>
      <c r="B70" s="278"/>
      <c r="C70" s="278"/>
      <c r="D70" s="278"/>
      <c r="E70" s="279"/>
      <c r="F70" s="278"/>
      <c r="G70" s="278"/>
      <c r="H70" s="278"/>
      <c r="I70" s="278"/>
      <c r="J70" s="278"/>
      <c r="K70" s="278"/>
    </row>
    <row r="71" customFormat="false" ht="15" hidden="true" customHeight="false" outlineLevel="0" collapsed="false">
      <c r="A71" s="278"/>
      <c r="B71" s="278"/>
      <c r="C71" s="278"/>
      <c r="D71" s="278"/>
      <c r="E71" s="279"/>
      <c r="F71" s="278"/>
      <c r="G71" s="278"/>
      <c r="H71" s="278"/>
      <c r="I71" s="278"/>
      <c r="J71" s="278"/>
      <c r="K71" s="278"/>
    </row>
    <row r="72" customFormat="false" ht="15" hidden="true" customHeight="false" outlineLevel="0" collapsed="false">
      <c r="A72" s="278"/>
      <c r="B72" s="278"/>
      <c r="C72" s="278"/>
      <c r="D72" s="278"/>
      <c r="E72" s="279"/>
      <c r="F72" s="278"/>
      <c r="G72" s="278"/>
      <c r="H72" s="278"/>
      <c r="I72" s="278"/>
      <c r="J72" s="278"/>
      <c r="K72" s="278"/>
    </row>
    <row r="73" customFormat="false" ht="15" hidden="false" customHeight="false" outlineLevel="0" collapsed="false"/>
  </sheetData>
  <mergeCells count="2">
    <mergeCell ref="A45:B45"/>
    <mergeCell ref="A46:B46"/>
  </mergeCells>
  <dataValidations count="1">
    <dataValidation allowBlank="true" operator="between" showDropDown="false" showErrorMessage="true" showInputMessage="true" sqref="E8:E30 E34:E46" type="list">
      <formula1>$B$65:$B$68</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0.xml><?xml version="1.0" encoding="utf-8"?>
<worksheet xmlns="http://schemas.openxmlformats.org/spreadsheetml/2006/main" xmlns:r="http://schemas.openxmlformats.org/officeDocument/2006/relationships">
  <sheetPr filterMode="false">
    <tabColor rgb="FF999933"/>
    <pageSetUpPr fitToPage="true"/>
  </sheetPr>
  <dimension ref="A1:L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8" activeCellId="0" sqref="A8"/>
    </sheetView>
  </sheetViews>
  <sheetFormatPr defaultRowHeight="15" zeroHeight="true" outlineLevelRow="0" outlineLevelCol="0"/>
  <cols>
    <col collapsed="false" customWidth="true" hidden="false" outlineLevel="0" max="10" min="1" style="87" width="11.86"/>
    <col collapsed="false" customWidth="true" hidden="false" outlineLevel="0" max="11" min="11" style="87" width="18.85"/>
    <col collapsed="false" customWidth="true" hidden="false" outlineLevel="0" max="12" min="12" style="22" width="1.14"/>
    <col collapsed="false" customWidth="true" hidden="true" outlineLevel="0" max="1025" min="13" style="87" width="9.14"/>
  </cols>
  <sheetData>
    <row r="1" customFormat="false" ht="28.5" hidden="false" customHeight="false" outlineLevel="0" collapsed="false">
      <c r="A1" s="113" t="str">
        <f aca="false">'3.0 Products &amp; Services'!A1</f>
        <v>Products &amp; Services</v>
      </c>
      <c r="B1" s="114"/>
      <c r="C1" s="114"/>
      <c r="D1" s="114"/>
      <c r="E1" s="114"/>
      <c r="F1" s="114"/>
      <c r="G1" s="114"/>
      <c r="H1" s="114"/>
      <c r="I1" s="114"/>
      <c r="J1" s="114"/>
      <c r="K1" s="115" t="s">
        <v>200</v>
      </c>
    </row>
    <row r="2" customFormat="false" ht="15" hidden="false" customHeight="false" outlineLevel="0" collapsed="false">
      <c r="A2" s="134"/>
      <c r="B2" s="116"/>
      <c r="C2" s="117"/>
      <c r="D2" s="86"/>
      <c r="E2" s="118"/>
      <c r="F2" s="86"/>
      <c r="G2" s="86"/>
      <c r="H2" s="119"/>
      <c r="I2" s="86"/>
      <c r="J2" s="86"/>
      <c r="K2" s="120"/>
    </row>
    <row r="3" customFormat="false" ht="15" hidden="false" customHeight="false" outlineLevel="0" collapsed="false">
      <c r="A3" s="134" t="s">
        <v>103</v>
      </c>
      <c r="B3" s="116"/>
      <c r="C3" s="280" t="str">
        <f aca="false">'Reference sheet'!C12</f>
        <v>TEST</v>
      </c>
      <c r="D3" s="86"/>
      <c r="E3" s="118"/>
      <c r="F3" s="86"/>
      <c r="G3" s="121" t="s">
        <v>49</v>
      </c>
      <c r="H3" s="122" t="str">
        <f aca="false">'Reference sheet'!C17</f>
        <v>July</v>
      </c>
      <c r="I3" s="123" t="n">
        <f aca="false">'Reference sheet'!D17</f>
        <v>2018</v>
      </c>
      <c r="J3" s="121" t="s">
        <v>46</v>
      </c>
      <c r="K3" s="124" t="n">
        <f aca="false">'Reference sheet'!C15</f>
        <v>1</v>
      </c>
    </row>
    <row r="4" customFormat="false" ht="15" hidden="false" customHeight="false" outlineLevel="0" collapsed="false">
      <c r="A4" s="135"/>
      <c r="B4" s="126"/>
      <c r="C4" s="83"/>
      <c r="D4" s="83"/>
      <c r="E4" s="83"/>
      <c r="F4" s="83"/>
      <c r="G4" s="127"/>
      <c r="H4" s="83"/>
      <c r="I4" s="83"/>
      <c r="J4" s="83"/>
      <c r="K4" s="128"/>
    </row>
    <row r="5" customFormat="false" ht="15" hidden="false" customHeight="false" outlineLevel="0" collapsed="false"/>
    <row r="6" s="281" customFormat="true" ht="15" hidden="false" customHeight="false" outlineLevel="0" collapsed="false">
      <c r="A6" s="131" t="s">
        <v>201</v>
      </c>
      <c r="B6" s="132"/>
      <c r="C6" s="132"/>
      <c r="D6" s="132"/>
      <c r="E6" s="132"/>
      <c r="F6" s="132"/>
      <c r="G6" s="132"/>
      <c r="H6" s="132"/>
      <c r="I6" s="132"/>
      <c r="J6" s="132"/>
      <c r="K6" s="133"/>
      <c r="L6" s="22"/>
    </row>
    <row r="7" customFormat="false" ht="15" hidden="false" customHeight="false" outlineLevel="0" collapsed="false">
      <c r="A7" s="264" t="s">
        <v>112</v>
      </c>
      <c r="B7" s="282"/>
      <c r="C7" s="282"/>
      <c r="D7" s="282"/>
      <c r="E7" s="282"/>
      <c r="F7" s="282"/>
      <c r="G7" s="282"/>
      <c r="H7" s="282"/>
      <c r="I7" s="282"/>
      <c r="J7" s="282"/>
      <c r="K7" s="283"/>
    </row>
    <row r="8" customFormat="false" ht="15" hidden="false" customHeight="false" outlineLevel="0" collapsed="false">
      <c r="K8" s="284"/>
    </row>
    <row r="9" customFormat="false" ht="15" hidden="false" customHeight="false" outlineLevel="0" collapsed="false">
      <c r="A9" s="131" t="s">
        <v>202</v>
      </c>
      <c r="B9" s="132"/>
      <c r="C9" s="132"/>
      <c r="D9" s="132"/>
      <c r="E9" s="132"/>
      <c r="F9" s="132"/>
      <c r="G9" s="132"/>
      <c r="H9" s="132"/>
      <c r="I9" s="132"/>
      <c r="J9" s="132"/>
      <c r="K9" s="133"/>
    </row>
    <row r="10" customFormat="false" ht="15" hidden="false" customHeight="false" outlineLevel="0" collapsed="false">
      <c r="A10" s="285" t="s">
        <v>203</v>
      </c>
      <c r="B10" s="282"/>
      <c r="C10" s="282"/>
      <c r="D10" s="282"/>
      <c r="E10" s="282"/>
      <c r="F10" s="283"/>
      <c r="G10" s="155"/>
      <c r="H10" s="155"/>
      <c r="I10" s="155"/>
      <c r="J10" s="155"/>
      <c r="K10" s="156"/>
    </row>
    <row r="11" s="86" customFormat="true" ht="15" hidden="false" customHeight="false" outlineLevel="0" collapsed="false">
      <c r="A11" s="284"/>
      <c r="L11" s="16"/>
    </row>
    <row r="12" customFormat="false" ht="15" hidden="false" customHeight="false" outlineLevel="0" collapsed="false">
      <c r="A12" s="131" t="s">
        <v>204</v>
      </c>
      <c r="B12" s="132"/>
      <c r="C12" s="132"/>
      <c r="D12" s="132"/>
      <c r="E12" s="132"/>
      <c r="F12" s="132"/>
      <c r="G12" s="132"/>
      <c r="H12" s="132"/>
      <c r="I12" s="132"/>
      <c r="J12" s="132"/>
      <c r="K12" s="133"/>
    </row>
    <row r="13" customFormat="false" ht="15" hidden="false" customHeight="false" outlineLevel="0" collapsed="false">
      <c r="A13" s="285" t="s">
        <v>205</v>
      </c>
      <c r="B13" s="282"/>
      <c r="C13" s="282"/>
      <c r="D13" s="282"/>
      <c r="E13" s="282"/>
      <c r="F13" s="283"/>
      <c r="G13" s="155" t="n">
        <v>0</v>
      </c>
      <c r="H13" s="155"/>
      <c r="I13" s="155"/>
      <c r="J13" s="155"/>
      <c r="K13" s="156"/>
    </row>
    <row r="14" customFormat="false" ht="15" hidden="false" customHeight="false" outlineLevel="0" collapsed="false">
      <c r="A14" s="284"/>
    </row>
    <row r="15" customFormat="false" ht="15" hidden="false" customHeight="false" outlineLevel="0" collapsed="false">
      <c r="A15" s="131" t="s">
        <v>206</v>
      </c>
      <c r="B15" s="132"/>
      <c r="C15" s="132"/>
      <c r="D15" s="132"/>
      <c r="E15" s="132"/>
      <c r="F15" s="132"/>
      <c r="G15" s="132"/>
      <c r="H15" s="132"/>
      <c r="I15" s="132"/>
      <c r="J15" s="132"/>
      <c r="K15" s="133"/>
    </row>
    <row r="16" customFormat="false" ht="15" hidden="false" customHeight="false" outlineLevel="0" collapsed="false">
      <c r="A16" s="261"/>
      <c r="B16" s="158"/>
      <c r="C16" s="158"/>
      <c r="D16" s="158"/>
      <c r="E16" s="158"/>
      <c r="F16" s="158"/>
      <c r="G16" s="158" t="s">
        <v>207</v>
      </c>
      <c r="H16" s="158"/>
      <c r="I16" s="158"/>
      <c r="J16" s="158"/>
      <c r="K16" s="167"/>
    </row>
    <row r="17" customFormat="false" ht="15" hidden="false" customHeight="false" outlineLevel="0" collapsed="false">
      <c r="A17" s="262"/>
      <c r="B17" s="73"/>
      <c r="C17" s="73"/>
      <c r="D17" s="73"/>
      <c r="E17" s="73"/>
      <c r="F17" s="73"/>
      <c r="G17" s="73"/>
      <c r="H17" s="73"/>
      <c r="I17" s="73"/>
      <c r="J17" s="73"/>
      <c r="K17" s="263"/>
    </row>
    <row r="18" customFormat="false" ht="15" hidden="false" customHeight="false" outlineLevel="0" collapsed="false">
      <c r="A18" s="262"/>
      <c r="B18" s="73"/>
      <c r="C18" s="73"/>
      <c r="D18" s="73"/>
      <c r="E18" s="73"/>
      <c r="F18" s="73"/>
      <c r="G18" s="73"/>
      <c r="H18" s="73"/>
      <c r="I18" s="73"/>
      <c r="J18" s="73"/>
      <c r="K18" s="263"/>
    </row>
    <row r="19" customFormat="false" ht="15" hidden="false" customHeight="false" outlineLevel="0" collapsed="false">
      <c r="A19" s="262"/>
      <c r="B19" s="73"/>
      <c r="C19" s="73"/>
      <c r="D19" s="73"/>
      <c r="E19" s="73"/>
      <c r="F19" s="73"/>
      <c r="G19" s="73"/>
      <c r="H19" s="73"/>
      <c r="I19" s="73"/>
      <c r="J19" s="73"/>
      <c r="K19" s="263"/>
    </row>
    <row r="20" customFormat="false" ht="15" hidden="false" customHeight="false" outlineLevel="0" collapsed="false">
      <c r="A20" s="266"/>
      <c r="B20" s="161"/>
      <c r="C20" s="161"/>
      <c r="D20" s="161"/>
      <c r="E20" s="161"/>
      <c r="F20" s="161"/>
      <c r="G20" s="161"/>
      <c r="H20" s="161"/>
      <c r="I20" s="161"/>
      <c r="J20" s="161"/>
      <c r="K20" s="267"/>
    </row>
    <row r="21" customFormat="false" ht="15" hidden="false" customHeight="false" outlineLevel="0" collapsed="false"/>
    <row r="22" customFormat="false" ht="15" hidden="false" customHeight="false" outlineLevel="0" collapsed="false">
      <c r="A22" s="131" t="s">
        <v>208</v>
      </c>
      <c r="B22" s="132"/>
      <c r="C22" s="132"/>
      <c r="D22" s="132"/>
      <c r="E22" s="132"/>
      <c r="F22" s="132"/>
      <c r="G22" s="132"/>
      <c r="H22" s="132"/>
      <c r="I22" s="132"/>
      <c r="J22" s="132"/>
      <c r="K22" s="133"/>
    </row>
    <row r="23" customFormat="false" ht="15" hidden="false" customHeight="false" outlineLevel="0" collapsed="false">
      <c r="A23" s="261"/>
      <c r="B23" s="158"/>
      <c r="C23" s="158"/>
      <c r="D23" s="158"/>
      <c r="E23" s="158"/>
      <c r="F23" s="158"/>
      <c r="G23" s="158"/>
      <c r="H23" s="158"/>
      <c r="I23" s="158"/>
      <c r="J23" s="158"/>
      <c r="K23" s="167"/>
    </row>
    <row r="24" customFormat="false" ht="15" hidden="false" customHeight="false" outlineLevel="0" collapsed="false">
      <c r="A24" s="262"/>
      <c r="B24" s="73"/>
      <c r="C24" s="73"/>
      <c r="D24" s="73"/>
      <c r="E24" s="73"/>
      <c r="F24" s="73"/>
      <c r="G24" s="73"/>
      <c r="H24" s="73"/>
      <c r="I24" s="73"/>
      <c r="J24" s="73"/>
      <c r="K24" s="263"/>
    </row>
    <row r="25" customFormat="false" ht="15" hidden="false" customHeight="false" outlineLevel="0" collapsed="false">
      <c r="A25" s="262"/>
      <c r="B25" s="73"/>
      <c r="C25" s="73"/>
      <c r="D25" s="73"/>
      <c r="E25" s="73"/>
      <c r="F25" s="73"/>
      <c r="G25" s="73"/>
      <c r="H25" s="73"/>
      <c r="I25" s="73"/>
      <c r="J25" s="73"/>
      <c r="K25" s="263"/>
    </row>
    <row r="26" customFormat="false" ht="15" hidden="false" customHeight="false" outlineLevel="0" collapsed="false">
      <c r="A26" s="262"/>
      <c r="B26" s="73"/>
      <c r="C26" s="73"/>
      <c r="D26" s="73"/>
      <c r="E26" s="73"/>
      <c r="F26" s="73"/>
      <c r="G26" s="73"/>
      <c r="H26" s="73"/>
      <c r="I26" s="73"/>
      <c r="J26" s="73"/>
      <c r="K26" s="263"/>
    </row>
    <row r="27" customFormat="false" ht="15" hidden="false" customHeight="false" outlineLevel="0" collapsed="false">
      <c r="A27" s="266"/>
      <c r="B27" s="161"/>
      <c r="C27" s="161"/>
      <c r="D27" s="161"/>
      <c r="E27" s="161"/>
      <c r="F27" s="161"/>
      <c r="G27" s="161"/>
      <c r="H27" s="161"/>
      <c r="I27" s="161"/>
      <c r="J27" s="161"/>
      <c r="K27" s="267"/>
    </row>
    <row r="28" customFormat="false" ht="15" hidden="false" customHeight="false" outlineLevel="0" collapsed="false">
      <c r="A28" s="86"/>
      <c r="B28" s="86"/>
      <c r="C28" s="86"/>
      <c r="D28" s="86"/>
      <c r="E28" s="86"/>
      <c r="F28" s="86"/>
      <c r="G28" s="86"/>
      <c r="H28" s="86"/>
      <c r="I28" s="86"/>
      <c r="J28" s="86"/>
      <c r="K28" s="86"/>
    </row>
    <row r="29" customFormat="false" ht="15" hidden="false" customHeight="false" outlineLevel="0" collapsed="false">
      <c r="A29" s="131" t="s">
        <v>209</v>
      </c>
      <c r="B29" s="276"/>
      <c r="C29" s="276"/>
      <c r="D29" s="276"/>
      <c r="E29" s="276"/>
      <c r="F29" s="276"/>
      <c r="G29" s="276"/>
      <c r="H29" s="276"/>
      <c r="I29" s="276"/>
      <c r="J29" s="276"/>
      <c r="K29" s="277"/>
    </row>
    <row r="30" customFormat="false" ht="15" hidden="false" customHeight="false" outlineLevel="0" collapsed="false">
      <c r="A30" s="261"/>
      <c r="B30" s="158"/>
      <c r="C30" s="158"/>
      <c r="D30" s="158"/>
      <c r="E30" s="158"/>
      <c r="F30" s="158"/>
      <c r="G30" s="158"/>
      <c r="H30" s="158"/>
      <c r="I30" s="158"/>
      <c r="J30" s="158"/>
      <c r="K30" s="167"/>
    </row>
    <row r="31" customFormat="false" ht="15" hidden="false" customHeight="false" outlineLevel="0" collapsed="false">
      <c r="A31" s="262"/>
      <c r="B31" s="73"/>
      <c r="C31" s="73"/>
      <c r="D31" s="73"/>
      <c r="E31" s="73"/>
      <c r="F31" s="73"/>
      <c r="G31" s="73"/>
      <c r="H31" s="73"/>
      <c r="I31" s="73"/>
      <c r="J31" s="73"/>
      <c r="K31" s="263"/>
    </row>
    <row r="32" customFormat="false" ht="15" hidden="false" customHeight="false" outlineLevel="0" collapsed="false">
      <c r="A32" s="262"/>
      <c r="B32" s="73"/>
      <c r="C32" s="73"/>
      <c r="D32" s="73"/>
      <c r="E32" s="73"/>
      <c r="F32" s="73"/>
      <c r="G32" s="73"/>
      <c r="H32" s="73"/>
      <c r="I32" s="73"/>
      <c r="J32" s="73"/>
      <c r="K32" s="263"/>
    </row>
    <row r="33" customFormat="false" ht="15" hidden="false" customHeight="false" outlineLevel="0" collapsed="false">
      <c r="A33" s="266"/>
      <c r="B33" s="161"/>
      <c r="C33" s="161"/>
      <c r="D33" s="161"/>
      <c r="E33" s="161"/>
      <c r="F33" s="161"/>
      <c r="G33" s="161"/>
      <c r="H33" s="161"/>
      <c r="I33" s="161"/>
      <c r="J33" s="161"/>
      <c r="K33" s="267"/>
    </row>
    <row r="34" customFormat="false" ht="15" hidden="false" customHeight="false" outlineLevel="0" collapsed="false"/>
    <row r="35" customFormat="false" ht="15" hidden="false" customHeight="false" outlineLevel="0" collapsed="false">
      <c r="A35" s="131" t="s">
        <v>210</v>
      </c>
      <c r="B35" s="276"/>
      <c r="C35" s="276"/>
      <c r="D35" s="276"/>
      <c r="E35" s="276"/>
      <c r="F35" s="276"/>
      <c r="G35" s="276"/>
      <c r="H35" s="276"/>
      <c r="I35" s="276"/>
      <c r="J35" s="276"/>
      <c r="K35" s="277"/>
    </row>
    <row r="36" customFormat="false" ht="15" hidden="false" customHeight="false" outlineLevel="0" collapsed="false">
      <c r="A36" s="286" t="s">
        <v>211</v>
      </c>
      <c r="B36" s="287"/>
      <c r="C36" s="261"/>
      <c r="D36" s="158"/>
      <c r="E36" s="158"/>
      <c r="F36" s="158"/>
      <c r="G36" s="158"/>
      <c r="H36" s="158"/>
      <c r="I36" s="158"/>
      <c r="J36" s="158"/>
      <c r="K36" s="167"/>
    </row>
    <row r="37" customFormat="false" ht="15" hidden="false" customHeight="false" outlineLevel="0" collapsed="false">
      <c r="A37" s="274" t="s">
        <v>212</v>
      </c>
      <c r="B37" s="265"/>
      <c r="C37" s="262"/>
      <c r="D37" s="73"/>
      <c r="E37" s="73"/>
      <c r="F37" s="73"/>
      <c r="G37" s="73"/>
      <c r="H37" s="73"/>
      <c r="I37" s="73"/>
      <c r="J37" s="73"/>
      <c r="K37" s="263"/>
    </row>
    <row r="38" customFormat="false" ht="15" hidden="false" customHeight="false" outlineLevel="0" collapsed="false">
      <c r="A38" s="274" t="s">
        <v>213</v>
      </c>
      <c r="B38" s="265"/>
      <c r="C38" s="262"/>
      <c r="D38" s="73"/>
      <c r="E38" s="73"/>
      <c r="F38" s="73"/>
      <c r="G38" s="73"/>
      <c r="H38" s="73"/>
      <c r="I38" s="73"/>
      <c r="J38" s="73"/>
      <c r="K38" s="263"/>
    </row>
    <row r="39" customFormat="false" ht="15" hidden="false" customHeight="false" outlineLevel="0" collapsed="false">
      <c r="A39" s="288"/>
      <c r="B39" s="268"/>
      <c r="C39" s="266"/>
      <c r="D39" s="161"/>
      <c r="E39" s="161"/>
      <c r="F39" s="161"/>
      <c r="G39" s="161"/>
      <c r="H39" s="161"/>
      <c r="I39" s="161"/>
      <c r="J39" s="161"/>
      <c r="K39" s="267"/>
    </row>
    <row r="40" customFormat="false" ht="15" hidden="false" customHeight="false" outlineLevel="0" collapsed="false"/>
    <row r="41" customFormat="false" ht="15" hidden="false" customHeight="false" outlineLevel="0" collapsed="false">
      <c r="A41" s="131" t="s">
        <v>214</v>
      </c>
      <c r="B41" s="276"/>
      <c r="C41" s="276"/>
      <c r="D41" s="276"/>
      <c r="E41" s="276"/>
      <c r="F41" s="276"/>
      <c r="G41" s="276"/>
      <c r="H41" s="276"/>
      <c r="I41" s="276"/>
      <c r="J41" s="276"/>
      <c r="K41" s="277"/>
    </row>
    <row r="42" customFormat="false" ht="15" hidden="false" customHeight="false" outlineLevel="0" collapsed="false">
      <c r="A42" s="286" t="s">
        <v>211</v>
      </c>
      <c r="B42" s="287"/>
      <c r="C42" s="261"/>
      <c r="D42" s="158"/>
      <c r="E42" s="158"/>
      <c r="F42" s="158"/>
      <c r="G42" s="158"/>
      <c r="H42" s="158"/>
      <c r="I42" s="158"/>
      <c r="J42" s="158"/>
      <c r="K42" s="167"/>
    </row>
    <row r="43" customFormat="false" ht="15" hidden="false" customHeight="false" outlineLevel="0" collapsed="false">
      <c r="A43" s="274" t="s">
        <v>212</v>
      </c>
      <c r="B43" s="265"/>
      <c r="C43" s="262"/>
      <c r="D43" s="73"/>
      <c r="E43" s="73"/>
      <c r="F43" s="73"/>
      <c r="G43" s="73"/>
      <c r="H43" s="73"/>
      <c r="I43" s="73"/>
      <c r="J43" s="73"/>
      <c r="K43" s="263"/>
    </row>
    <row r="44" customFormat="false" ht="15" hidden="false" customHeight="false" outlineLevel="0" collapsed="false">
      <c r="A44" s="274" t="s">
        <v>213</v>
      </c>
      <c r="B44" s="265"/>
      <c r="C44" s="262"/>
      <c r="D44" s="73"/>
      <c r="E44" s="73"/>
      <c r="F44" s="73"/>
      <c r="G44" s="73"/>
      <c r="H44" s="73"/>
      <c r="I44" s="73"/>
      <c r="J44" s="73"/>
      <c r="K44" s="263"/>
    </row>
    <row r="45" customFormat="false" ht="15" hidden="false" customHeight="false" outlineLevel="0" collapsed="false">
      <c r="A45" s="288"/>
      <c r="B45" s="268"/>
      <c r="C45" s="266"/>
      <c r="D45" s="161"/>
      <c r="E45" s="161"/>
      <c r="F45" s="161"/>
      <c r="G45" s="161"/>
      <c r="H45" s="161"/>
      <c r="I45" s="161"/>
      <c r="J45" s="161"/>
      <c r="K45" s="267"/>
    </row>
    <row r="46" customFormat="false" ht="15" hidden="false" customHeight="false" outlineLevel="0" collapsed="false"/>
    <row r="47" customFormat="false" ht="15" hidden="false" customHeight="false" outlineLevel="0" collapsed="false">
      <c r="A47" s="131" t="s">
        <v>215</v>
      </c>
      <c r="B47" s="132"/>
      <c r="C47" s="132"/>
      <c r="D47" s="132"/>
      <c r="E47" s="132"/>
      <c r="F47" s="132"/>
      <c r="G47" s="132"/>
      <c r="H47" s="132"/>
      <c r="I47" s="132"/>
      <c r="J47" s="132"/>
      <c r="K47" s="133"/>
    </row>
    <row r="48" customFormat="false" ht="15" hidden="false" customHeight="false" outlineLevel="0" collapsed="false">
      <c r="A48" s="261"/>
      <c r="B48" s="158"/>
      <c r="C48" s="158"/>
      <c r="D48" s="158"/>
      <c r="E48" s="158"/>
      <c r="F48" s="158"/>
      <c r="G48" s="158"/>
      <c r="H48" s="158"/>
      <c r="I48" s="158"/>
      <c r="J48" s="158"/>
      <c r="K48" s="167"/>
    </row>
    <row r="49" customFormat="false" ht="15" hidden="false" customHeight="false" outlineLevel="0" collapsed="false">
      <c r="A49" s="266"/>
      <c r="B49" s="161"/>
      <c r="C49" s="161"/>
      <c r="D49" s="161"/>
      <c r="E49" s="161"/>
      <c r="F49" s="161"/>
      <c r="G49" s="161"/>
      <c r="H49" s="161"/>
      <c r="I49" s="161"/>
      <c r="J49" s="161"/>
      <c r="K49" s="267"/>
    </row>
    <row r="53" customFormat="false" ht="15" hidden="true" customHeight="false" outlineLevel="0" collapsed="false">
      <c r="A53" s="87" t="s">
        <v>111</v>
      </c>
    </row>
    <row r="54" customFormat="false" ht="15" hidden="true" customHeight="false" outlineLevel="0" collapsed="false">
      <c r="A54" s="87" t="s">
        <v>112</v>
      </c>
    </row>
    <row r="56" customFormat="false" ht="15" hidden="false" customHeight="false" outlineLevel="0" collapsed="false"/>
  </sheetData>
  <dataValidations count="1">
    <dataValidation allowBlank="true" operator="between" showDropDown="false" showErrorMessage="true" showInputMessage="true" sqref="A7" type="list">
      <formula1>$A$52:$A$54</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1.xml><?xml version="1.0" encoding="utf-8"?>
<worksheet xmlns="http://schemas.openxmlformats.org/spreadsheetml/2006/main" xmlns:r="http://schemas.openxmlformats.org/officeDocument/2006/relationships">
  <sheetPr filterMode="false">
    <tabColor rgb="FF999933"/>
    <pageSetUpPr fitToPage="true"/>
  </sheetPr>
  <dimension ref="A1:Y62"/>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I38" activeCellId="0" sqref="I38"/>
    </sheetView>
  </sheetViews>
  <sheetFormatPr defaultRowHeight="15" zeroHeight="true" outlineLevelRow="0" outlineLevelCol="0"/>
  <cols>
    <col collapsed="false" customWidth="true" hidden="false" outlineLevel="0" max="11" min="1" style="172" width="14.28"/>
    <col collapsed="false" customWidth="true" hidden="false" outlineLevel="0" max="12" min="12" style="90" width="1.29"/>
    <col collapsed="false" customWidth="true" hidden="true" outlineLevel="0" max="25" min="13" style="227" width="9.14"/>
    <col collapsed="false" customWidth="true" hidden="true" outlineLevel="0" max="1025" min="26" style="2" width="9.14"/>
  </cols>
  <sheetData>
    <row r="1" s="292" customFormat="true" ht="28.5" hidden="false" customHeight="false" outlineLevel="0" collapsed="false">
      <c r="A1" s="5" t="str">
        <f aca="false">'7.5.2 Fin. Income &amp; Expenses '!A1</f>
        <v>Financial Business Plan</v>
      </c>
      <c r="B1" s="6"/>
      <c r="C1" s="6"/>
      <c r="D1" s="6"/>
      <c r="E1" s="6"/>
      <c r="F1" s="6"/>
      <c r="G1" s="6"/>
      <c r="H1" s="6"/>
      <c r="I1" s="6"/>
      <c r="J1" s="6"/>
      <c r="K1" s="289" t="s">
        <v>216</v>
      </c>
      <c r="L1" s="290"/>
      <c r="M1" s="291"/>
      <c r="N1" s="291"/>
      <c r="O1" s="291"/>
      <c r="P1" s="291"/>
      <c r="Q1" s="291"/>
      <c r="R1" s="291"/>
      <c r="S1" s="291"/>
      <c r="T1" s="291"/>
      <c r="U1" s="291"/>
      <c r="V1" s="291"/>
      <c r="W1" s="291"/>
      <c r="X1" s="291"/>
      <c r="Y1" s="291"/>
    </row>
    <row r="2" s="292" customFormat="true" ht="13.15" hidden="false" customHeight="true" outlineLevel="0" collapsed="false">
      <c r="A2" s="1"/>
      <c r="B2" s="179"/>
      <c r="C2" s="180"/>
      <c r="D2" s="181"/>
      <c r="E2" s="182"/>
      <c r="F2" s="2"/>
      <c r="G2" s="2"/>
      <c r="H2" s="40"/>
      <c r="I2" s="181"/>
      <c r="J2" s="181"/>
      <c r="K2" s="293"/>
      <c r="L2" s="290"/>
      <c r="M2" s="291"/>
      <c r="N2" s="291"/>
      <c r="O2" s="291"/>
      <c r="P2" s="291"/>
      <c r="Q2" s="291"/>
      <c r="R2" s="291"/>
      <c r="S2" s="291"/>
      <c r="T2" s="291"/>
      <c r="U2" s="291"/>
      <c r="V2" s="291"/>
      <c r="W2" s="291"/>
      <c r="X2" s="291"/>
      <c r="Y2" s="291"/>
    </row>
    <row r="3" customFormat="false" ht="15" hidden="false" customHeight="false" outlineLevel="0" collapsed="false">
      <c r="A3" s="1" t="s">
        <v>103</v>
      </c>
      <c r="B3" s="179"/>
      <c r="C3" s="184" t="str">
        <f aca="false">'Reference sheet'!C12</f>
        <v>TEST</v>
      </c>
      <c r="D3" s="181"/>
      <c r="E3" s="182"/>
      <c r="F3" s="2"/>
      <c r="G3" s="185" t="s">
        <v>49</v>
      </c>
      <c r="H3" s="224" t="str">
        <f aca="false">'Reference sheet'!C17</f>
        <v>July</v>
      </c>
      <c r="I3" s="187" t="n">
        <f aca="false">'Reference sheet'!D17</f>
        <v>2018</v>
      </c>
      <c r="J3" s="185" t="s">
        <v>46</v>
      </c>
      <c r="K3" s="182" t="n">
        <f aca="false">'Reference sheet'!C15</f>
        <v>1</v>
      </c>
    </row>
    <row r="4" customFormat="false" ht="15" hidden="false" customHeight="false" outlineLevel="0" collapsed="false">
      <c r="A4" s="49"/>
      <c r="B4" s="189"/>
      <c r="C4" s="50"/>
      <c r="D4" s="50"/>
      <c r="E4" s="50"/>
      <c r="F4" s="50"/>
      <c r="G4" s="190"/>
      <c r="H4" s="50"/>
      <c r="I4" s="50"/>
      <c r="J4" s="50"/>
      <c r="K4" s="189"/>
    </row>
    <row r="5" customFormat="false" ht="13.15" hidden="false" customHeight="true" outlineLevel="0" collapsed="false">
      <c r="A5" s="1"/>
      <c r="B5" s="2"/>
      <c r="C5" s="2"/>
      <c r="D5" s="2"/>
      <c r="E5" s="2"/>
      <c r="F5" s="2"/>
      <c r="G5" s="2"/>
      <c r="H5" s="2"/>
      <c r="I5" s="2"/>
      <c r="J5" s="2"/>
      <c r="K5" s="2"/>
    </row>
    <row r="6" customFormat="false" ht="13.15" hidden="false" customHeight="true" outlineLevel="0" collapsed="false">
      <c r="A6" s="192" t="s">
        <v>217</v>
      </c>
      <c r="B6" s="193"/>
      <c r="C6" s="193"/>
      <c r="D6" s="193"/>
      <c r="E6" s="193"/>
      <c r="F6" s="193"/>
      <c r="G6" s="193"/>
      <c r="H6" s="193"/>
      <c r="I6" s="193"/>
      <c r="J6" s="193"/>
      <c r="K6" s="193"/>
    </row>
    <row r="7" customFormat="false" ht="15" hidden="false" customHeight="false" outlineLevel="0" collapsed="false">
      <c r="A7" s="12"/>
      <c r="B7" s="13"/>
      <c r="C7" s="13"/>
      <c r="D7" s="13"/>
      <c r="E7" s="294" t="s">
        <v>218</v>
      </c>
      <c r="F7" s="13"/>
      <c r="G7" s="294" t="s">
        <v>219</v>
      </c>
      <c r="H7" s="13"/>
      <c r="I7" s="13"/>
      <c r="J7" s="13"/>
      <c r="K7" s="13"/>
    </row>
    <row r="8" customFormat="false" ht="15" hidden="false" customHeight="false" outlineLevel="0" collapsed="false">
      <c r="A8" s="1"/>
      <c r="B8" s="2"/>
      <c r="C8" s="2"/>
      <c r="D8" s="2"/>
      <c r="E8" s="295" t="s">
        <v>220</v>
      </c>
      <c r="F8" s="2"/>
      <c r="G8" s="295" t="s">
        <v>221</v>
      </c>
      <c r="H8" s="2"/>
      <c r="I8" s="2"/>
      <c r="J8" s="2"/>
      <c r="K8" s="2"/>
    </row>
    <row r="9" customFormat="false" ht="15" hidden="false" customHeight="false" outlineLevel="0" collapsed="false">
      <c r="A9" s="1" t="s">
        <v>222</v>
      </c>
      <c r="B9" s="2"/>
      <c r="C9" s="2"/>
      <c r="D9" s="2"/>
      <c r="E9" s="296"/>
      <c r="F9" s="2"/>
      <c r="G9" s="297" t="n">
        <f aca="false">IF(E14=0,0,E9/$E$14)</f>
        <v>0</v>
      </c>
      <c r="H9" s="2"/>
      <c r="I9" s="2"/>
      <c r="J9" s="2"/>
      <c r="K9" s="2"/>
    </row>
    <row r="10" customFormat="false" ht="15" hidden="false" customHeight="false" outlineLevel="0" collapsed="false">
      <c r="A10" s="1" t="s">
        <v>223</v>
      </c>
      <c r="B10" s="2"/>
      <c r="C10" s="2"/>
      <c r="D10" s="2"/>
      <c r="E10" s="296"/>
      <c r="F10" s="2"/>
      <c r="G10" s="297" t="n">
        <f aca="false">IF(E14=0,0,E10/$E$14)</f>
        <v>0</v>
      </c>
      <c r="H10" s="2"/>
      <c r="I10" s="2"/>
      <c r="J10" s="2"/>
      <c r="K10" s="2"/>
    </row>
    <row r="11" customFormat="false" ht="15" hidden="false" customHeight="false" outlineLevel="0" collapsed="false">
      <c r="A11" s="1" t="s">
        <v>224</v>
      </c>
      <c r="B11" s="2"/>
      <c r="C11" s="2"/>
      <c r="D11" s="2"/>
      <c r="E11" s="296"/>
      <c r="F11" s="2"/>
      <c r="G11" s="297" t="n">
        <f aca="false">IF(E14=0,0,E11/$E$14)</f>
        <v>0</v>
      </c>
      <c r="H11" s="2"/>
      <c r="I11" s="2"/>
      <c r="J11" s="2"/>
      <c r="K11" s="2"/>
    </row>
    <row r="12" customFormat="false" ht="13.15" hidden="false" customHeight="true" outlineLevel="0" collapsed="false">
      <c r="A12" s="1" t="s">
        <v>225</v>
      </c>
      <c r="B12" s="275"/>
      <c r="C12" s="275"/>
      <c r="D12" s="2"/>
      <c r="E12" s="296"/>
      <c r="F12" s="2"/>
      <c r="G12" s="297" t="n">
        <f aca="false">IF(E14=0,0,E12/$E$14)</f>
        <v>0</v>
      </c>
      <c r="H12" s="2"/>
      <c r="I12" s="2"/>
      <c r="J12" s="2"/>
      <c r="K12" s="2"/>
    </row>
    <row r="13" customFormat="false" ht="13.15" hidden="false" customHeight="true" outlineLevel="0" collapsed="false">
      <c r="A13" s="1"/>
      <c r="B13" s="275"/>
      <c r="C13" s="275"/>
      <c r="D13" s="2"/>
      <c r="E13" s="298"/>
      <c r="F13" s="2"/>
      <c r="G13" s="297" t="n">
        <f aca="false">IF(E14=0,0,E13/$E$14)</f>
        <v>0</v>
      </c>
      <c r="H13" s="2"/>
      <c r="I13" s="2"/>
      <c r="J13" s="2"/>
      <c r="K13" s="2"/>
    </row>
    <row r="14" customFormat="false" ht="15" hidden="false" customHeight="false" outlineLevel="0" collapsed="false">
      <c r="A14" s="1" t="s">
        <v>226</v>
      </c>
      <c r="B14" s="2"/>
      <c r="C14" s="2"/>
      <c r="D14" s="2"/>
      <c r="E14" s="299" t="n">
        <f aca="false">SUM(E9:E13)</f>
        <v>0</v>
      </c>
      <c r="F14" s="2"/>
      <c r="G14" s="297" t="n">
        <f aca="false">SUM(G9:G13)</f>
        <v>0</v>
      </c>
      <c r="H14" s="2"/>
      <c r="I14" s="2"/>
      <c r="J14" s="2"/>
      <c r="K14" s="2"/>
    </row>
    <row r="15" customFormat="false" ht="15" hidden="false" customHeight="false" outlineLevel="0" collapsed="false">
      <c r="A15" s="49"/>
      <c r="B15" s="50"/>
      <c r="C15" s="50"/>
      <c r="D15" s="50"/>
      <c r="E15" s="50"/>
      <c r="F15" s="300"/>
      <c r="G15" s="50"/>
      <c r="H15" s="50"/>
      <c r="I15" s="50"/>
      <c r="J15" s="50"/>
      <c r="K15" s="50"/>
    </row>
    <row r="16" customFormat="false" ht="15" hidden="false" customHeight="false" outlineLevel="0" collapsed="false">
      <c r="A16" s="301"/>
      <c r="B16" s="2"/>
      <c r="C16" s="2"/>
      <c r="D16" s="2"/>
      <c r="E16" s="2"/>
      <c r="F16" s="2"/>
      <c r="G16" s="2"/>
      <c r="H16" s="2"/>
      <c r="I16" s="2"/>
      <c r="J16" s="2"/>
      <c r="K16" s="2"/>
      <c r="L16" s="91"/>
    </row>
    <row r="17" customFormat="false" ht="15" hidden="false" customHeight="false" outlineLevel="0" collapsed="false">
      <c r="A17" s="192" t="s">
        <v>227</v>
      </c>
      <c r="B17" s="193"/>
      <c r="C17" s="193"/>
      <c r="D17" s="193"/>
      <c r="E17" s="193"/>
      <c r="F17" s="193"/>
      <c r="G17" s="234"/>
      <c r="H17" s="234"/>
      <c r="I17" s="234"/>
      <c r="J17" s="234"/>
      <c r="K17" s="234"/>
    </row>
    <row r="18" s="217" customFormat="true" ht="15" hidden="false" customHeight="false" outlineLevel="0" collapsed="false">
      <c r="A18" s="302" t="s">
        <v>228</v>
      </c>
      <c r="B18" s="303"/>
      <c r="C18" s="303"/>
      <c r="D18" s="303"/>
      <c r="E18" s="303"/>
      <c r="F18" s="302" t="s">
        <v>229</v>
      </c>
      <c r="G18" s="303"/>
      <c r="H18" s="303"/>
      <c r="I18" s="303"/>
      <c r="J18" s="303"/>
      <c r="K18" s="303"/>
      <c r="L18" s="90"/>
    </row>
    <row r="19" s="217" customFormat="true" ht="15" hidden="false" customHeight="false" outlineLevel="0" collapsed="false">
      <c r="A19" s="304" t="s">
        <v>230</v>
      </c>
      <c r="B19" s="305"/>
      <c r="C19" s="305"/>
      <c r="D19" s="305"/>
      <c r="E19" s="305"/>
      <c r="F19" s="304" t="s">
        <v>230</v>
      </c>
      <c r="G19" s="305"/>
      <c r="H19" s="305"/>
      <c r="I19" s="305"/>
      <c r="J19" s="305"/>
      <c r="K19" s="305"/>
      <c r="L19" s="90"/>
    </row>
    <row r="20" s="217" customFormat="true" ht="15" hidden="false" customHeight="false" outlineLevel="0" collapsed="false">
      <c r="A20" s="304" t="s">
        <v>231</v>
      </c>
      <c r="B20" s="305"/>
      <c r="C20" s="305"/>
      <c r="D20" s="305"/>
      <c r="E20" s="305"/>
      <c r="F20" s="304" t="s">
        <v>231</v>
      </c>
      <c r="G20" s="305"/>
      <c r="H20" s="305"/>
      <c r="I20" s="305"/>
      <c r="J20" s="305"/>
      <c r="K20" s="305"/>
      <c r="L20" s="90"/>
    </row>
    <row r="21" s="217" customFormat="true" ht="15" hidden="false" customHeight="false" outlineLevel="0" collapsed="false">
      <c r="A21" s="304" t="s">
        <v>232</v>
      </c>
      <c r="B21" s="306"/>
      <c r="C21" s="306"/>
      <c r="D21" s="306"/>
      <c r="E21" s="306"/>
      <c r="F21" s="304" t="s">
        <v>232</v>
      </c>
      <c r="G21" s="305"/>
      <c r="H21" s="305"/>
      <c r="I21" s="305"/>
      <c r="J21" s="305"/>
      <c r="K21" s="305"/>
      <c r="L21" s="90"/>
    </row>
    <row r="22" s="217" customFormat="true" ht="15" hidden="false" customHeight="false" outlineLevel="0" collapsed="false">
      <c r="A22" s="304"/>
      <c r="B22" s="216"/>
      <c r="F22" s="304"/>
      <c r="G22" s="216"/>
      <c r="L22" s="90"/>
    </row>
    <row r="23" s="217" customFormat="true" ht="15" hidden="false" customHeight="false" outlineLevel="0" collapsed="false">
      <c r="A23" s="304" t="s">
        <v>233</v>
      </c>
      <c r="B23" s="305"/>
      <c r="C23" s="305"/>
      <c r="D23" s="305"/>
      <c r="E23" s="305"/>
      <c r="F23" s="304" t="s">
        <v>234</v>
      </c>
      <c r="G23" s="305"/>
      <c r="H23" s="305"/>
      <c r="I23" s="305"/>
      <c r="J23" s="305"/>
      <c r="K23" s="305"/>
      <c r="L23" s="90"/>
    </row>
    <row r="24" s="217" customFormat="true" ht="15" hidden="false" customHeight="false" outlineLevel="0" collapsed="false">
      <c r="A24" s="304" t="s">
        <v>230</v>
      </c>
      <c r="B24" s="305"/>
      <c r="C24" s="305"/>
      <c r="D24" s="305"/>
      <c r="E24" s="305"/>
      <c r="F24" s="304" t="s">
        <v>230</v>
      </c>
      <c r="G24" s="305"/>
      <c r="H24" s="305"/>
      <c r="I24" s="305"/>
      <c r="J24" s="305"/>
      <c r="K24" s="305"/>
      <c r="L24" s="90"/>
    </row>
    <row r="25" s="217" customFormat="true" ht="15" hidden="false" customHeight="false" outlineLevel="0" collapsed="false">
      <c r="A25" s="304" t="s">
        <v>231</v>
      </c>
      <c r="B25" s="305"/>
      <c r="C25" s="305"/>
      <c r="D25" s="305"/>
      <c r="E25" s="305"/>
      <c r="F25" s="304" t="s">
        <v>231</v>
      </c>
      <c r="G25" s="305"/>
      <c r="H25" s="305"/>
      <c r="I25" s="305"/>
      <c r="J25" s="305"/>
      <c r="K25" s="305"/>
      <c r="L25" s="90"/>
    </row>
    <row r="26" s="217" customFormat="true" ht="15" hidden="false" customHeight="false" outlineLevel="0" collapsed="false">
      <c r="A26" s="307" t="s">
        <v>232</v>
      </c>
      <c r="B26" s="308"/>
      <c r="C26" s="308"/>
      <c r="D26" s="308"/>
      <c r="E26" s="308"/>
      <c r="F26" s="307" t="s">
        <v>232</v>
      </c>
      <c r="G26" s="308"/>
      <c r="H26" s="308"/>
      <c r="I26" s="308"/>
      <c r="J26" s="308"/>
      <c r="K26" s="308"/>
      <c r="L26" s="90"/>
    </row>
    <row r="27" customFormat="false" ht="15" hidden="false" customHeight="false" outlineLevel="0" collapsed="false">
      <c r="A27" s="301"/>
      <c r="B27" s="2"/>
      <c r="C27" s="2"/>
      <c r="D27" s="2"/>
      <c r="E27" s="2"/>
      <c r="F27" s="2"/>
      <c r="G27" s="2"/>
      <c r="H27" s="2"/>
      <c r="I27" s="2"/>
      <c r="J27" s="2"/>
      <c r="K27" s="2"/>
      <c r="L27" s="91"/>
    </row>
    <row r="28" customFormat="false" ht="15" hidden="false" customHeight="false" outlineLevel="0" collapsed="false">
      <c r="A28" s="192" t="s">
        <v>235</v>
      </c>
      <c r="B28" s="193"/>
      <c r="C28" s="193"/>
      <c r="D28" s="193"/>
      <c r="E28" s="193"/>
      <c r="F28" s="193"/>
      <c r="G28" s="193"/>
      <c r="H28" s="193"/>
      <c r="I28" s="193"/>
      <c r="J28" s="193"/>
      <c r="K28" s="193"/>
    </row>
    <row r="29" customFormat="false" ht="15" hidden="false" customHeight="false" outlineLevel="0" collapsed="false">
      <c r="A29" s="213"/>
      <c r="B29" s="214"/>
      <c r="C29" s="214"/>
      <c r="D29" s="214"/>
      <c r="E29" s="214"/>
      <c r="F29" s="214"/>
      <c r="G29" s="214"/>
      <c r="H29" s="214"/>
      <c r="I29" s="214"/>
      <c r="J29" s="214"/>
      <c r="K29" s="214"/>
    </row>
    <row r="30" customFormat="false" ht="15" hidden="false" customHeight="false" outlineLevel="0" collapsed="false">
      <c r="A30" s="216"/>
      <c r="B30" s="217"/>
      <c r="C30" s="217"/>
      <c r="D30" s="217"/>
      <c r="E30" s="217"/>
      <c r="F30" s="217"/>
      <c r="G30" s="217"/>
      <c r="H30" s="217"/>
      <c r="I30" s="217"/>
      <c r="J30" s="217"/>
      <c r="K30" s="217"/>
    </row>
    <row r="31" customFormat="false" ht="15" hidden="false" customHeight="false" outlineLevel="0" collapsed="false">
      <c r="A31" s="216"/>
      <c r="B31" s="217"/>
      <c r="C31" s="217"/>
      <c r="D31" s="217"/>
      <c r="E31" s="217"/>
      <c r="F31" s="217"/>
      <c r="G31" s="217"/>
      <c r="H31" s="217"/>
      <c r="I31" s="217"/>
      <c r="J31" s="217"/>
      <c r="K31" s="217"/>
    </row>
    <row r="32" customFormat="false" ht="15" hidden="false" customHeight="false" outlineLevel="0" collapsed="false">
      <c r="A32" s="219"/>
      <c r="B32" s="220"/>
      <c r="C32" s="220"/>
      <c r="D32" s="220"/>
      <c r="E32" s="220"/>
      <c r="F32" s="220"/>
      <c r="G32" s="220"/>
      <c r="H32" s="220"/>
      <c r="I32" s="220"/>
      <c r="J32" s="220"/>
      <c r="K32" s="220"/>
    </row>
    <row r="33" customFormat="false" ht="15" hidden="false" customHeight="false" outlineLevel="0" collapsed="false">
      <c r="A33" s="301"/>
      <c r="B33" s="2"/>
      <c r="C33" s="2"/>
      <c r="D33" s="2"/>
      <c r="E33" s="2"/>
      <c r="F33" s="2"/>
      <c r="G33" s="2"/>
      <c r="H33" s="2"/>
      <c r="I33" s="2"/>
      <c r="J33" s="2"/>
      <c r="K33" s="2"/>
      <c r="L33" s="91"/>
    </row>
    <row r="34" customFormat="false" ht="15" hidden="false" customHeight="false" outlineLevel="0" collapsed="false">
      <c r="A34" s="192" t="s">
        <v>236</v>
      </c>
      <c r="B34" s="193"/>
      <c r="C34" s="193"/>
      <c r="D34" s="193"/>
      <c r="E34" s="193"/>
      <c r="F34" s="193"/>
      <c r="G34" s="193"/>
      <c r="H34" s="193"/>
      <c r="I34" s="193"/>
      <c r="J34" s="193"/>
      <c r="K34" s="193"/>
    </row>
    <row r="35" customFormat="false" ht="15" hidden="false" customHeight="false" outlineLevel="0" collapsed="false">
      <c r="A35" s="12"/>
      <c r="B35" s="13"/>
      <c r="C35" s="13"/>
      <c r="D35" s="13"/>
      <c r="E35" s="13"/>
      <c r="F35" s="13"/>
      <c r="G35" s="13" t="s">
        <v>237</v>
      </c>
      <c r="H35" s="13"/>
      <c r="I35" s="13" t="s">
        <v>238</v>
      </c>
      <c r="J35" s="13"/>
      <c r="K35" s="13"/>
    </row>
    <row r="36" customFormat="false" ht="15" hidden="false" customHeight="false" outlineLevel="0" collapsed="false">
      <c r="A36" s="1" t="s">
        <v>239</v>
      </c>
      <c r="B36" s="2"/>
      <c r="C36" s="2"/>
      <c r="D36" s="2"/>
      <c r="E36" s="2"/>
      <c r="F36" s="2"/>
      <c r="G36" s="264"/>
      <c r="H36" s="2"/>
      <c r="I36" s="264"/>
      <c r="J36" s="2"/>
      <c r="K36" s="2"/>
    </row>
    <row r="37" customFormat="false" ht="15" hidden="false" customHeight="false" outlineLevel="0" collapsed="false">
      <c r="A37" s="1" t="s">
        <v>240</v>
      </c>
      <c r="B37" s="2"/>
      <c r="C37" s="2"/>
      <c r="D37" s="2"/>
      <c r="E37" s="2"/>
      <c r="F37" s="2"/>
      <c r="G37" s="264"/>
      <c r="H37" s="2"/>
      <c r="I37" s="264"/>
      <c r="J37" s="2"/>
      <c r="K37" s="2"/>
    </row>
    <row r="38" customFormat="false" ht="15" hidden="false" customHeight="false" outlineLevel="0" collapsed="false">
      <c r="A38" s="1" t="s">
        <v>241</v>
      </c>
      <c r="B38" s="2"/>
      <c r="C38" s="2"/>
      <c r="D38" s="2"/>
      <c r="E38" s="2"/>
      <c r="F38" s="2"/>
      <c r="G38" s="309"/>
      <c r="H38" s="2"/>
      <c r="I38" s="309"/>
      <c r="J38" s="2"/>
      <c r="K38" s="2"/>
    </row>
    <row r="39" customFormat="false" ht="15" hidden="false" customHeight="false" outlineLevel="0" collapsed="false">
      <c r="A39" s="49"/>
      <c r="B39" s="50"/>
      <c r="C39" s="50"/>
      <c r="D39" s="50"/>
      <c r="E39" s="50"/>
      <c r="F39" s="50"/>
      <c r="G39" s="50"/>
      <c r="H39" s="50"/>
      <c r="I39" s="50"/>
      <c r="J39" s="50"/>
      <c r="K39" s="50"/>
    </row>
    <row r="40" customFormat="false" ht="15" hidden="false" customHeight="false" outlineLevel="0" collapsed="false">
      <c r="A40" s="301"/>
      <c r="B40" s="2"/>
      <c r="C40" s="2"/>
      <c r="D40" s="2"/>
      <c r="E40" s="2"/>
      <c r="F40" s="2"/>
      <c r="G40" s="2"/>
      <c r="H40" s="2"/>
      <c r="I40" s="2"/>
      <c r="J40" s="2"/>
      <c r="K40" s="2"/>
      <c r="L40" s="91"/>
    </row>
    <row r="41" customFormat="false" ht="15" hidden="false" customHeight="false" outlineLevel="0" collapsed="false">
      <c r="A41" s="192" t="s">
        <v>242</v>
      </c>
      <c r="B41" s="193"/>
      <c r="C41" s="193"/>
      <c r="D41" s="193"/>
      <c r="E41" s="193"/>
      <c r="F41" s="193"/>
      <c r="G41" s="193"/>
      <c r="H41" s="193"/>
      <c r="I41" s="193"/>
      <c r="J41" s="193"/>
      <c r="K41" s="193"/>
    </row>
    <row r="42" s="217" customFormat="true" ht="15" hidden="false" customHeight="false" outlineLevel="0" collapsed="false">
      <c r="A42" s="213"/>
      <c r="B42" s="214"/>
      <c r="C42" s="214"/>
      <c r="D42" s="214"/>
      <c r="E42" s="214"/>
      <c r="F42" s="214"/>
      <c r="G42" s="214"/>
      <c r="H42" s="214"/>
      <c r="I42" s="214"/>
      <c r="J42" s="214"/>
      <c r="K42" s="214"/>
      <c r="L42" s="90"/>
    </row>
    <row r="43" s="217" customFormat="true" ht="15" hidden="false" customHeight="false" outlineLevel="0" collapsed="false">
      <c r="A43" s="216"/>
      <c r="L43" s="90"/>
    </row>
    <row r="44" s="217" customFormat="true" ht="15" hidden="false" customHeight="false" outlineLevel="0" collapsed="false">
      <c r="A44" s="216"/>
      <c r="L44" s="90"/>
    </row>
    <row r="45" s="217" customFormat="true" ht="15" hidden="false" customHeight="false" outlineLevel="0" collapsed="false">
      <c r="A45" s="219"/>
      <c r="B45" s="220"/>
      <c r="C45" s="220"/>
      <c r="D45" s="220"/>
      <c r="E45" s="220"/>
      <c r="F45" s="220"/>
      <c r="G45" s="220"/>
      <c r="H45" s="220"/>
      <c r="I45" s="220"/>
      <c r="J45" s="220"/>
      <c r="K45" s="220"/>
      <c r="L45" s="90"/>
    </row>
    <row r="46" customFormat="false" ht="15" hidden="false" customHeight="false" outlineLevel="0" collapsed="false">
      <c r="A46" s="301"/>
      <c r="B46" s="2"/>
      <c r="C46" s="2"/>
      <c r="D46" s="2"/>
      <c r="E46" s="2"/>
      <c r="F46" s="2"/>
      <c r="G46" s="2"/>
      <c r="H46" s="2"/>
      <c r="I46" s="2"/>
      <c r="J46" s="2"/>
      <c r="K46" s="2"/>
      <c r="L46" s="91"/>
    </row>
    <row r="47" customFormat="false" ht="15" hidden="false" customHeight="false" outlineLevel="0" collapsed="false">
      <c r="A47" s="192" t="s">
        <v>243</v>
      </c>
      <c r="B47" s="211"/>
      <c r="C47" s="211"/>
      <c r="D47" s="211"/>
      <c r="E47" s="211"/>
      <c r="F47" s="211"/>
      <c r="G47" s="211"/>
      <c r="H47" s="211"/>
      <c r="I47" s="211"/>
      <c r="J47" s="211"/>
      <c r="K47" s="211"/>
    </row>
    <row r="48" customFormat="false" ht="15" hidden="false" customHeight="false" outlineLevel="0" collapsed="false">
      <c r="A48" s="213"/>
      <c r="B48" s="214"/>
      <c r="C48" s="214"/>
      <c r="D48" s="214"/>
      <c r="E48" s="214"/>
      <c r="F48" s="214"/>
      <c r="G48" s="214"/>
      <c r="H48" s="214"/>
      <c r="I48" s="214"/>
      <c r="J48" s="214"/>
      <c r="K48" s="214"/>
    </row>
    <row r="49" customFormat="false" ht="15" hidden="false" customHeight="false" outlineLevel="0" collapsed="false">
      <c r="A49" s="216"/>
      <c r="B49" s="217"/>
      <c r="C49" s="217"/>
      <c r="D49" s="217"/>
      <c r="E49" s="217"/>
      <c r="F49" s="217"/>
      <c r="G49" s="217"/>
      <c r="H49" s="217"/>
      <c r="I49" s="217"/>
      <c r="J49" s="217"/>
      <c r="K49" s="217"/>
    </row>
    <row r="50" customFormat="false" ht="15" hidden="false" customHeight="false" outlineLevel="0" collapsed="false">
      <c r="A50" s="216"/>
      <c r="B50" s="217"/>
      <c r="C50" s="217"/>
      <c r="D50" s="217"/>
      <c r="E50" s="217"/>
      <c r="F50" s="217"/>
      <c r="G50" s="217"/>
      <c r="H50" s="217"/>
      <c r="I50" s="217"/>
      <c r="J50" s="217"/>
      <c r="K50" s="217"/>
    </row>
    <row r="51" customFormat="false" ht="15" hidden="false" customHeight="false" outlineLevel="0" collapsed="false">
      <c r="A51" s="219"/>
      <c r="B51" s="220"/>
      <c r="C51" s="220"/>
      <c r="D51" s="220"/>
      <c r="E51" s="220"/>
      <c r="F51" s="220"/>
      <c r="G51" s="220"/>
      <c r="H51" s="220"/>
      <c r="I51" s="220"/>
      <c r="J51" s="220"/>
      <c r="K51" s="220"/>
    </row>
    <row r="52" customFormat="false" ht="15" hidden="false" customHeight="false" outlineLevel="0" collapsed="false">
      <c r="A52" s="301"/>
      <c r="B52" s="2"/>
      <c r="C52" s="2"/>
      <c r="D52" s="2"/>
      <c r="E52" s="2"/>
      <c r="F52" s="2"/>
      <c r="G52" s="2"/>
      <c r="H52" s="2"/>
      <c r="I52" s="2"/>
      <c r="J52" s="2"/>
      <c r="K52" s="2"/>
      <c r="L52" s="91"/>
    </row>
    <row r="53" customFormat="false" ht="15" hidden="false" customHeight="false" outlineLevel="0" collapsed="false">
      <c r="A53" s="192" t="s">
        <v>244</v>
      </c>
      <c r="B53" s="211"/>
      <c r="C53" s="211"/>
      <c r="D53" s="211"/>
      <c r="E53" s="211"/>
      <c r="F53" s="211"/>
      <c r="G53" s="211"/>
      <c r="H53" s="211"/>
      <c r="I53" s="211"/>
      <c r="J53" s="211"/>
      <c r="K53" s="211"/>
    </row>
    <row r="54" customFormat="false" ht="15" hidden="false" customHeight="false" outlineLevel="0" collapsed="false">
      <c r="A54" s="213"/>
      <c r="B54" s="214"/>
      <c r="C54" s="214"/>
      <c r="D54" s="214"/>
      <c r="E54" s="214"/>
      <c r="F54" s="214"/>
      <c r="G54" s="214"/>
      <c r="H54" s="214"/>
      <c r="I54" s="214"/>
      <c r="J54" s="214"/>
      <c r="K54" s="214"/>
    </row>
    <row r="55" customFormat="false" ht="15" hidden="false" customHeight="false" outlineLevel="0" collapsed="false">
      <c r="A55" s="216"/>
      <c r="B55" s="217"/>
      <c r="C55" s="217"/>
      <c r="D55" s="217"/>
      <c r="E55" s="217"/>
      <c r="F55" s="217"/>
      <c r="G55" s="217"/>
      <c r="H55" s="217"/>
      <c r="I55" s="217"/>
      <c r="J55" s="217"/>
      <c r="K55" s="217"/>
    </row>
    <row r="56" customFormat="false" ht="15" hidden="false" customHeight="false" outlineLevel="0" collapsed="false">
      <c r="A56" s="216"/>
      <c r="B56" s="217"/>
      <c r="C56" s="217"/>
      <c r="D56" s="217"/>
      <c r="E56" s="217"/>
      <c r="F56" s="217"/>
      <c r="G56" s="217"/>
      <c r="H56" s="217"/>
      <c r="I56" s="217"/>
      <c r="J56" s="217"/>
      <c r="K56" s="217"/>
    </row>
    <row r="57" customFormat="false" ht="15" hidden="false" customHeight="false" outlineLevel="0" collapsed="false">
      <c r="A57" s="219"/>
      <c r="B57" s="220"/>
      <c r="C57" s="220"/>
      <c r="D57" s="220"/>
      <c r="E57" s="220"/>
      <c r="F57" s="220"/>
      <c r="G57" s="220"/>
      <c r="H57" s="220"/>
      <c r="I57" s="220"/>
      <c r="J57" s="220"/>
      <c r="K57" s="220"/>
    </row>
    <row r="58" customFormat="false" ht="15" hidden="false" customHeight="false" outlineLevel="0" collapsed="false">
      <c r="A58" s="301"/>
      <c r="B58" s="2"/>
      <c r="C58" s="2"/>
      <c r="D58" s="2"/>
      <c r="E58" s="2"/>
      <c r="F58" s="2"/>
      <c r="G58" s="2"/>
      <c r="H58" s="2"/>
      <c r="I58" s="2"/>
      <c r="J58" s="2"/>
      <c r="K58" s="2"/>
      <c r="L58" s="91"/>
    </row>
    <row r="59" customFormat="false" ht="15" hidden="false" customHeight="false" outlineLevel="0" collapsed="false">
      <c r="A59" s="192" t="s">
        <v>245</v>
      </c>
      <c r="B59" s="193"/>
      <c r="C59" s="193"/>
      <c r="D59" s="193"/>
      <c r="E59" s="193"/>
      <c r="F59" s="193"/>
      <c r="G59" s="193"/>
      <c r="H59" s="193"/>
      <c r="I59" s="193"/>
      <c r="J59" s="193"/>
      <c r="K59" s="193"/>
    </row>
    <row r="60" customFormat="false" ht="15" hidden="false" customHeight="false" outlineLevel="0" collapsed="false">
      <c r="A60" s="213"/>
      <c r="B60" s="214"/>
      <c r="C60" s="214"/>
      <c r="D60" s="214"/>
      <c r="E60" s="214"/>
      <c r="F60" s="214"/>
      <c r="G60" s="214"/>
      <c r="H60" s="214"/>
      <c r="I60" s="214"/>
      <c r="J60" s="214"/>
      <c r="K60" s="214"/>
    </row>
    <row r="61" customFormat="false" ht="15" hidden="false" customHeight="false" outlineLevel="0" collapsed="false">
      <c r="A61" s="219"/>
      <c r="B61" s="220"/>
      <c r="C61" s="220"/>
      <c r="D61" s="220"/>
      <c r="E61" s="220"/>
      <c r="F61" s="220"/>
      <c r="G61" s="220"/>
      <c r="H61" s="220"/>
      <c r="I61" s="220"/>
      <c r="J61" s="220"/>
      <c r="K61" s="220"/>
    </row>
    <row r="62" customFormat="false" ht="15" hidden="false" customHeight="false" outlineLevel="0" collapsed="false">
      <c r="A62" s="13"/>
      <c r="L62" s="91"/>
    </row>
  </sheetData>
  <mergeCells count="18">
    <mergeCell ref="B12:C12"/>
    <mergeCell ref="B13:C13"/>
    <mergeCell ref="B18:E18"/>
    <mergeCell ref="G18:K18"/>
    <mergeCell ref="B19:E19"/>
    <mergeCell ref="G19:K19"/>
    <mergeCell ref="B20:E20"/>
    <mergeCell ref="G20:K20"/>
    <mergeCell ref="B21:E21"/>
    <mergeCell ref="G21:K21"/>
    <mergeCell ref="B23:E23"/>
    <mergeCell ref="G23:K23"/>
    <mergeCell ref="B24:E24"/>
    <mergeCell ref="G24:K24"/>
    <mergeCell ref="B25:E25"/>
    <mergeCell ref="G25:K25"/>
    <mergeCell ref="B26:E26"/>
    <mergeCell ref="G26:K26"/>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2.xml><?xml version="1.0" encoding="utf-8"?>
<worksheet xmlns="http://schemas.openxmlformats.org/spreadsheetml/2006/main" xmlns:r="http://schemas.openxmlformats.org/officeDocument/2006/relationships">
  <sheetPr filterMode="false">
    <tabColor rgb="FF69FFFF"/>
    <pageSetUpPr fitToPage="true"/>
  </sheetPr>
  <dimension ref="A1:AD63"/>
  <sheetViews>
    <sheetView showFormulas="false" showGridLines="false" showRowColHeaders="true" showZeros="true" rightToLeft="false" tabSelected="false" showOutlineSymbols="true" defaultGridColor="true" view="normal" topLeftCell="A34" colorId="64" zoomScale="80" zoomScaleNormal="80" zoomScalePageLayoutView="100" workbookViewId="0">
      <selection pane="topLeft" activeCell="C52" activeCellId="0" sqref="C52"/>
    </sheetView>
  </sheetViews>
  <sheetFormatPr defaultRowHeight="15" zeroHeight="true" outlineLevelRow="0" outlineLevelCol="0"/>
  <cols>
    <col collapsed="false" customWidth="true" hidden="false" outlineLevel="0" max="1" min="1" style="52" width="15"/>
    <col collapsed="false" customWidth="true" hidden="false" outlineLevel="0" max="10" min="2" style="48" width="15"/>
    <col collapsed="false" customWidth="true" hidden="false" outlineLevel="0" max="11" min="11" style="54" width="15"/>
    <col collapsed="false" customWidth="true" hidden="false" outlineLevel="0" max="12" min="12" style="22" width="1.58"/>
    <col collapsed="false" customWidth="true" hidden="true" outlineLevel="0" max="30" min="13" style="112" width="15"/>
    <col collapsed="false" customWidth="true" hidden="true" outlineLevel="0" max="1025" min="31" style="4" width="15"/>
  </cols>
  <sheetData>
    <row r="1" s="312" customFormat="true" ht="28.5" hidden="false" customHeight="false" outlineLevel="0" collapsed="false">
      <c r="A1" s="113" t="s">
        <v>246</v>
      </c>
      <c r="B1" s="114"/>
      <c r="C1" s="114"/>
      <c r="D1" s="114"/>
      <c r="E1" s="114"/>
      <c r="F1" s="114"/>
      <c r="G1" s="114"/>
      <c r="H1" s="114"/>
      <c r="I1" s="114"/>
      <c r="J1" s="114"/>
      <c r="K1" s="115" t="s">
        <v>247</v>
      </c>
      <c r="L1" s="310"/>
      <c r="M1" s="311"/>
      <c r="N1" s="311"/>
      <c r="O1" s="311"/>
      <c r="P1" s="311"/>
      <c r="Q1" s="311"/>
      <c r="R1" s="311"/>
      <c r="S1" s="311"/>
      <c r="T1" s="311"/>
      <c r="U1" s="311"/>
      <c r="V1" s="311"/>
      <c r="W1" s="311"/>
      <c r="X1" s="311"/>
      <c r="Y1" s="311"/>
      <c r="Z1" s="311"/>
      <c r="AA1" s="311"/>
      <c r="AB1" s="311"/>
      <c r="AC1" s="311"/>
      <c r="AD1" s="311"/>
    </row>
    <row r="2" s="312" customFormat="true" ht="13.15" hidden="false" customHeight="true" outlineLevel="0" collapsed="false">
      <c r="A2" s="52"/>
      <c r="B2" s="116"/>
      <c r="C2" s="117"/>
      <c r="D2" s="86"/>
      <c r="E2" s="118"/>
      <c r="F2" s="48"/>
      <c r="G2" s="48"/>
      <c r="H2" s="119"/>
      <c r="I2" s="86"/>
      <c r="J2" s="86"/>
      <c r="K2" s="120"/>
      <c r="L2" s="310"/>
      <c r="M2" s="311"/>
      <c r="N2" s="311"/>
      <c r="O2" s="311"/>
      <c r="P2" s="311"/>
      <c r="Q2" s="311"/>
      <c r="R2" s="311"/>
      <c r="S2" s="311"/>
      <c r="T2" s="311"/>
      <c r="U2" s="311"/>
      <c r="V2" s="311"/>
      <c r="W2" s="311"/>
      <c r="X2" s="311"/>
      <c r="Y2" s="311"/>
      <c r="Z2" s="311"/>
      <c r="AA2" s="311"/>
      <c r="AB2" s="311"/>
      <c r="AC2" s="311"/>
      <c r="AD2" s="311"/>
    </row>
    <row r="3" customFormat="false" ht="15" hidden="false" customHeight="false" outlineLevel="0" collapsed="false">
      <c r="A3" s="52" t="s">
        <v>103</v>
      </c>
      <c r="B3" s="116"/>
      <c r="C3" s="67" t="str">
        <f aca="false">'Reference sheet'!C12</f>
        <v>TEST</v>
      </c>
      <c r="D3" s="86"/>
      <c r="E3" s="118"/>
      <c r="G3" s="121" t="s">
        <v>49</v>
      </c>
      <c r="H3" s="31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3.15" hidden="false" customHeight="true" outlineLevel="0" collapsed="false">
      <c r="A5" s="314"/>
      <c r="K5" s="314"/>
    </row>
    <row r="6" s="281" customFormat="true" ht="15" hidden="false" customHeight="true" outlineLevel="0" collapsed="false">
      <c r="A6" s="315" t="s">
        <v>248</v>
      </c>
      <c r="B6" s="132"/>
      <c r="C6" s="132"/>
      <c r="D6" s="132"/>
      <c r="E6" s="132"/>
      <c r="F6" s="132"/>
      <c r="G6" s="132"/>
      <c r="H6" s="132"/>
      <c r="I6" s="132"/>
      <c r="J6" s="132"/>
      <c r="K6" s="133"/>
      <c r="L6" s="22"/>
    </row>
    <row r="7" customFormat="false" ht="15" hidden="false" customHeight="true" outlineLevel="0" collapsed="false">
      <c r="A7" s="316"/>
      <c r="B7" s="284"/>
      <c r="C7" s="284"/>
      <c r="D7" s="284"/>
      <c r="E7" s="284"/>
      <c r="F7" s="284"/>
      <c r="G7" s="284"/>
      <c r="H7" s="284"/>
      <c r="I7" s="284"/>
      <c r="J7" s="284"/>
      <c r="K7" s="284"/>
    </row>
    <row r="8" customFormat="false" ht="15" hidden="false" customHeight="false" outlineLevel="0" collapsed="false">
      <c r="A8" s="131" t="s">
        <v>249</v>
      </c>
      <c r="B8" s="132"/>
      <c r="C8" s="132"/>
      <c r="D8" s="132"/>
      <c r="E8" s="132"/>
      <c r="F8" s="132"/>
      <c r="G8" s="132"/>
      <c r="H8" s="132"/>
      <c r="I8" s="132"/>
      <c r="J8" s="132"/>
      <c r="K8" s="133"/>
    </row>
    <row r="9" customFormat="false" ht="15" hidden="false" customHeight="false" outlineLevel="0" collapsed="false">
      <c r="A9" s="261"/>
      <c r="B9" s="73"/>
      <c r="C9" s="73"/>
      <c r="D9" s="73"/>
      <c r="E9" s="73"/>
      <c r="F9" s="73"/>
      <c r="G9" s="73"/>
      <c r="H9" s="73"/>
      <c r="I9" s="73"/>
      <c r="J9" s="158"/>
      <c r="K9" s="167"/>
    </row>
    <row r="10" customFormat="false" ht="15" hidden="false" customHeight="false" outlineLevel="0" collapsed="false">
      <c r="A10" s="262"/>
      <c r="B10" s="73"/>
      <c r="C10" s="73"/>
      <c r="D10" s="73"/>
      <c r="E10" s="73"/>
      <c r="F10" s="73"/>
      <c r="G10" s="73"/>
      <c r="H10" s="73"/>
      <c r="I10" s="73"/>
      <c r="J10" s="73"/>
      <c r="K10" s="263"/>
    </row>
    <row r="11" customFormat="false" ht="15" hidden="false" customHeight="false" outlineLevel="0" collapsed="false">
      <c r="A11" s="262"/>
      <c r="B11" s="73"/>
      <c r="C11" s="73"/>
      <c r="D11" s="73"/>
      <c r="E11" s="73"/>
      <c r="F11" s="73"/>
      <c r="G11" s="73"/>
      <c r="H11" s="73"/>
      <c r="I11" s="73"/>
      <c r="J11" s="73"/>
      <c r="K11" s="263"/>
    </row>
    <row r="12" customFormat="false" ht="15" hidden="false" customHeight="false" outlineLevel="0" collapsed="false">
      <c r="A12" s="262"/>
      <c r="B12" s="73"/>
      <c r="C12" s="73"/>
      <c r="D12" s="73"/>
      <c r="E12" s="73"/>
      <c r="F12" s="73"/>
      <c r="G12" s="73"/>
      <c r="H12" s="73"/>
      <c r="I12" s="73"/>
      <c r="J12" s="73"/>
      <c r="K12" s="263"/>
    </row>
    <row r="13" customFormat="false" ht="15" hidden="false" customHeight="false" outlineLevel="0" collapsed="false">
      <c r="A13" s="262"/>
      <c r="B13" s="73"/>
      <c r="C13" s="73"/>
      <c r="D13" s="73"/>
      <c r="E13" s="73"/>
      <c r="F13" s="73"/>
      <c r="G13" s="73"/>
      <c r="H13" s="73"/>
      <c r="I13" s="73"/>
      <c r="J13" s="73"/>
      <c r="K13" s="263"/>
    </row>
    <row r="14" customFormat="false" ht="18.75" hidden="false" customHeight="true" outlineLevel="0" collapsed="false">
      <c r="A14" s="262"/>
      <c r="B14" s="73"/>
      <c r="C14" s="73"/>
      <c r="D14" s="73"/>
      <c r="E14" s="73"/>
      <c r="F14" s="73"/>
      <c r="G14" s="73"/>
      <c r="H14" s="73"/>
      <c r="I14" s="73"/>
      <c r="J14" s="73"/>
      <c r="K14" s="263"/>
    </row>
    <row r="15" customFormat="false" ht="15" hidden="false" customHeight="false" outlineLevel="0" collapsed="false">
      <c r="A15" s="262"/>
      <c r="B15" s="73"/>
      <c r="C15" s="73"/>
      <c r="D15" s="73"/>
      <c r="E15" s="73"/>
      <c r="F15" s="73"/>
      <c r="G15" s="73"/>
      <c r="H15" s="73"/>
      <c r="I15" s="73"/>
      <c r="J15" s="73"/>
      <c r="K15" s="263"/>
    </row>
    <row r="16" customFormat="false" ht="15" hidden="false" customHeight="false" outlineLevel="0" collapsed="false">
      <c r="A16" s="262"/>
      <c r="B16" s="73"/>
      <c r="C16" s="73"/>
      <c r="D16" s="73"/>
      <c r="E16" s="73"/>
      <c r="F16" s="73"/>
      <c r="G16" s="73"/>
      <c r="H16" s="73"/>
      <c r="I16" s="73"/>
      <c r="J16" s="73"/>
      <c r="K16" s="263"/>
    </row>
    <row r="17" customFormat="false" ht="15" hidden="false" customHeight="false" outlineLevel="0" collapsed="false">
      <c r="A17" s="262"/>
      <c r="B17" s="73"/>
      <c r="C17" s="73"/>
      <c r="D17" s="73"/>
      <c r="E17" s="73"/>
      <c r="F17" s="73"/>
      <c r="G17" s="73"/>
      <c r="H17" s="73"/>
      <c r="I17" s="73"/>
      <c r="J17" s="73"/>
      <c r="K17" s="263"/>
    </row>
    <row r="18" customFormat="false" ht="15" hidden="false" customHeight="false" outlineLevel="0" collapsed="false">
      <c r="A18" s="262"/>
      <c r="B18" s="73"/>
      <c r="C18" s="73"/>
      <c r="D18" s="73"/>
      <c r="E18" s="73"/>
      <c r="F18" s="73"/>
      <c r="G18" s="73"/>
      <c r="H18" s="73"/>
      <c r="I18" s="73"/>
      <c r="J18" s="73"/>
      <c r="K18" s="263"/>
    </row>
    <row r="19" customFormat="false" ht="15" hidden="false" customHeight="false" outlineLevel="0" collapsed="false">
      <c r="A19" s="262"/>
      <c r="B19" s="73"/>
      <c r="C19" s="73"/>
      <c r="D19" s="73"/>
      <c r="E19" s="73"/>
      <c r="F19" s="73"/>
      <c r="G19" s="73"/>
      <c r="H19" s="73"/>
      <c r="I19" s="73"/>
      <c r="J19" s="73"/>
      <c r="K19" s="263"/>
    </row>
    <row r="20" customFormat="false" ht="15" hidden="false" customHeight="false" outlineLevel="0" collapsed="false">
      <c r="A20" s="262"/>
      <c r="B20" s="73"/>
      <c r="C20" s="73"/>
      <c r="D20" s="73"/>
      <c r="E20" s="73"/>
      <c r="F20" s="73"/>
      <c r="G20" s="73"/>
      <c r="H20" s="73"/>
      <c r="I20" s="73"/>
      <c r="J20" s="73"/>
      <c r="K20" s="263"/>
    </row>
    <row r="21" customFormat="false" ht="15" hidden="false" customHeight="false" outlineLevel="0" collapsed="false">
      <c r="A21" s="262"/>
      <c r="B21" s="73"/>
      <c r="C21" s="73"/>
      <c r="D21" s="73"/>
      <c r="E21" s="73"/>
      <c r="F21" s="73"/>
      <c r="G21" s="73"/>
      <c r="H21" s="73"/>
      <c r="I21" s="73"/>
      <c r="J21" s="73"/>
      <c r="K21" s="263"/>
    </row>
    <row r="22" customFormat="false" ht="15" hidden="false" customHeight="false" outlineLevel="0" collapsed="false">
      <c r="A22" s="262"/>
      <c r="B22" s="73"/>
      <c r="C22" s="73"/>
      <c r="D22" s="73"/>
      <c r="E22" s="73"/>
      <c r="F22" s="73"/>
      <c r="G22" s="73"/>
      <c r="H22" s="73"/>
      <c r="I22" s="73"/>
      <c r="J22" s="73"/>
      <c r="K22" s="263"/>
    </row>
    <row r="23" customFormat="false" ht="15" hidden="false" customHeight="true" outlineLevel="0" collapsed="false">
      <c r="A23" s="262"/>
      <c r="B23" s="73"/>
      <c r="C23" s="73"/>
      <c r="D23" s="73"/>
      <c r="E23" s="73"/>
      <c r="F23" s="73"/>
      <c r="G23" s="73"/>
      <c r="H23" s="73"/>
      <c r="I23" s="73"/>
      <c r="J23" s="73"/>
      <c r="K23" s="263"/>
    </row>
    <row r="24" customFormat="false" ht="15" hidden="false" customHeight="false" outlineLevel="0" collapsed="false">
      <c r="A24" s="262"/>
      <c r="B24" s="73"/>
      <c r="C24" s="73"/>
      <c r="D24" s="73"/>
      <c r="E24" s="73"/>
      <c r="F24" s="73"/>
      <c r="G24" s="73"/>
      <c r="H24" s="73"/>
      <c r="I24" s="73"/>
      <c r="J24" s="73"/>
      <c r="K24" s="263"/>
    </row>
    <row r="25" customFormat="false" ht="15" hidden="false" customHeight="false" outlineLevel="0" collapsed="false">
      <c r="A25" s="262"/>
      <c r="B25" s="73"/>
      <c r="C25" s="73"/>
      <c r="D25" s="73"/>
      <c r="E25" s="73"/>
      <c r="F25" s="73"/>
      <c r="G25" s="73"/>
      <c r="H25" s="73"/>
      <c r="I25" s="73"/>
      <c r="J25" s="73"/>
      <c r="K25" s="263"/>
    </row>
    <row r="26" customFormat="false" ht="15" hidden="false" customHeight="false" outlineLevel="0" collapsed="false">
      <c r="A26" s="262"/>
      <c r="B26" s="73"/>
      <c r="C26" s="73"/>
      <c r="D26" s="73"/>
      <c r="E26" s="73"/>
      <c r="F26" s="73"/>
      <c r="G26" s="73"/>
      <c r="H26" s="73"/>
      <c r="I26" s="73"/>
      <c r="J26" s="73"/>
      <c r="K26" s="263"/>
    </row>
    <row r="27" customFormat="false" ht="15" hidden="true" customHeight="false" outlineLevel="0" collapsed="false">
      <c r="A27" s="262"/>
      <c r="B27" s="73"/>
      <c r="C27" s="73"/>
      <c r="D27" s="73"/>
      <c r="E27" s="73"/>
      <c r="F27" s="73"/>
      <c r="G27" s="73"/>
      <c r="H27" s="73"/>
      <c r="I27" s="73"/>
      <c r="J27" s="73"/>
      <c r="K27" s="263"/>
    </row>
    <row r="28" customFormat="false" ht="15" hidden="false" customHeight="false" outlineLevel="0" collapsed="false">
      <c r="A28" s="262"/>
      <c r="B28" s="73"/>
      <c r="C28" s="73"/>
      <c r="D28" s="73"/>
      <c r="E28" s="73"/>
      <c r="F28" s="73"/>
      <c r="G28" s="73"/>
      <c r="H28" s="73"/>
      <c r="I28" s="73"/>
      <c r="J28" s="73"/>
      <c r="K28" s="263"/>
    </row>
    <row r="29" customFormat="false" ht="15" hidden="false" customHeight="false" outlineLevel="0" collapsed="false">
      <c r="A29" s="262"/>
      <c r="B29" s="73"/>
      <c r="C29" s="73"/>
      <c r="D29" s="73"/>
      <c r="E29" s="73"/>
      <c r="F29" s="73"/>
      <c r="G29" s="73"/>
      <c r="H29" s="73"/>
      <c r="I29" s="73"/>
      <c r="J29" s="73"/>
      <c r="K29" s="263"/>
    </row>
    <row r="30" customFormat="false" ht="15" hidden="false" customHeight="false" outlineLevel="0" collapsed="false">
      <c r="A30" s="266"/>
      <c r="B30" s="161"/>
      <c r="C30" s="161"/>
      <c r="D30" s="161"/>
      <c r="E30" s="161"/>
      <c r="F30" s="161"/>
      <c r="G30" s="161"/>
      <c r="H30" s="161"/>
      <c r="I30" s="161"/>
      <c r="J30" s="161"/>
      <c r="K30" s="267"/>
    </row>
    <row r="31" customFormat="false" ht="15" hidden="false" customHeight="false" outlineLevel="0" collapsed="false">
      <c r="A31" s="314"/>
      <c r="K31" s="314"/>
    </row>
    <row r="32" customFormat="false" ht="18" hidden="false" customHeight="false" outlineLevel="0" collapsed="false">
      <c r="A32" s="315" t="s">
        <v>250</v>
      </c>
      <c r="B32" s="132"/>
      <c r="C32" s="132"/>
      <c r="D32" s="132"/>
      <c r="E32" s="132"/>
      <c r="F32" s="132"/>
      <c r="G32" s="132"/>
      <c r="H32" s="132"/>
      <c r="I32" s="132"/>
      <c r="J32" s="132"/>
      <c r="K32" s="133"/>
    </row>
    <row r="33" customFormat="false" ht="18" hidden="false" customHeight="false" outlineLevel="0" collapsed="false">
      <c r="A33" s="317"/>
      <c r="B33" s="314"/>
      <c r="C33" s="314"/>
      <c r="D33" s="314"/>
      <c r="E33" s="314"/>
      <c r="F33" s="314"/>
      <c r="G33" s="314"/>
      <c r="H33" s="314"/>
      <c r="I33" s="314"/>
      <c r="J33" s="314"/>
      <c r="K33" s="314"/>
    </row>
    <row r="34" customFormat="false" ht="15" hidden="false" customHeight="false" outlineLevel="0" collapsed="false">
      <c r="A34" s="131" t="s">
        <v>251</v>
      </c>
      <c r="B34" s="276"/>
      <c r="C34" s="276"/>
      <c r="D34" s="276"/>
      <c r="E34" s="276"/>
      <c r="F34" s="276"/>
      <c r="G34" s="276"/>
      <c r="H34" s="276"/>
      <c r="I34" s="276"/>
      <c r="J34" s="276"/>
      <c r="K34" s="277"/>
    </row>
    <row r="35" customFormat="false" ht="15" hidden="false" customHeight="false" outlineLevel="0" collapsed="false">
      <c r="A35" s="286" t="s">
        <v>252</v>
      </c>
      <c r="B35" s="154"/>
      <c r="C35" s="261"/>
      <c r="D35" s="158"/>
      <c r="E35" s="158"/>
      <c r="F35" s="158"/>
      <c r="G35" s="158"/>
      <c r="H35" s="158"/>
      <c r="I35" s="158"/>
      <c r="J35" s="158"/>
      <c r="K35" s="167"/>
    </row>
    <row r="36" customFormat="false" ht="15" hidden="false" customHeight="false" outlineLevel="0" collapsed="false">
      <c r="A36" s="274"/>
      <c r="B36" s="80"/>
      <c r="C36" s="266"/>
      <c r="D36" s="161"/>
      <c r="E36" s="161"/>
      <c r="F36" s="161"/>
      <c r="G36" s="161"/>
      <c r="H36" s="161"/>
      <c r="I36" s="161"/>
      <c r="J36" s="161"/>
      <c r="K36" s="267"/>
    </row>
    <row r="37" customFormat="false" ht="15" hidden="false" customHeight="false" outlineLevel="0" collapsed="false">
      <c r="A37" s="274" t="s">
        <v>253</v>
      </c>
      <c r="B37" s="80"/>
      <c r="C37" s="261"/>
      <c r="D37" s="158"/>
      <c r="E37" s="158"/>
      <c r="F37" s="158"/>
      <c r="G37" s="158"/>
      <c r="H37" s="158"/>
      <c r="I37" s="158"/>
      <c r="J37" s="158"/>
      <c r="K37" s="167"/>
    </row>
    <row r="38" customFormat="false" ht="15" hidden="false" customHeight="false" outlineLevel="0" collapsed="false">
      <c r="A38" s="274"/>
      <c r="B38" s="80"/>
      <c r="C38" s="262"/>
      <c r="D38" s="73"/>
      <c r="E38" s="73"/>
      <c r="F38" s="73"/>
      <c r="G38" s="73"/>
      <c r="H38" s="73"/>
      <c r="I38" s="73"/>
      <c r="J38" s="73"/>
      <c r="K38" s="263"/>
    </row>
    <row r="39" customFormat="false" ht="15" hidden="false" customHeight="false" outlineLevel="0" collapsed="false">
      <c r="A39" s="274" t="s">
        <v>254</v>
      </c>
      <c r="B39" s="80"/>
      <c r="C39" s="261"/>
      <c r="D39" s="158"/>
      <c r="E39" s="158"/>
      <c r="F39" s="158"/>
      <c r="G39" s="158"/>
      <c r="H39" s="158"/>
      <c r="I39" s="158"/>
      <c r="J39" s="158"/>
      <c r="K39" s="167"/>
    </row>
    <row r="40" customFormat="false" ht="15" hidden="false" customHeight="false" outlineLevel="0" collapsed="false">
      <c r="A40" s="274"/>
      <c r="B40" s="80"/>
      <c r="C40" s="266"/>
      <c r="D40" s="161"/>
      <c r="E40" s="161"/>
      <c r="F40" s="161"/>
      <c r="G40" s="161"/>
      <c r="H40" s="161"/>
      <c r="I40" s="161"/>
      <c r="J40" s="161"/>
      <c r="K40" s="267"/>
    </row>
    <row r="41" customFormat="false" ht="15" hidden="false" customHeight="false" outlineLevel="0" collapsed="false">
      <c r="A41" s="274" t="s">
        <v>255</v>
      </c>
      <c r="B41" s="80"/>
      <c r="C41" s="261"/>
      <c r="D41" s="158"/>
      <c r="E41" s="158"/>
      <c r="F41" s="158"/>
      <c r="G41" s="158"/>
      <c r="H41" s="158"/>
      <c r="I41" s="158"/>
      <c r="J41" s="158"/>
      <c r="K41" s="167"/>
    </row>
    <row r="42" customFormat="false" ht="15" hidden="false" customHeight="false" outlineLevel="0" collapsed="false">
      <c r="A42" s="274"/>
      <c r="B42" s="80"/>
      <c r="C42" s="266"/>
      <c r="D42" s="161"/>
      <c r="E42" s="161"/>
      <c r="F42" s="161"/>
      <c r="G42" s="161"/>
      <c r="H42" s="161"/>
      <c r="I42" s="161"/>
      <c r="J42" s="161"/>
      <c r="K42" s="267"/>
    </row>
    <row r="43" customFormat="false" ht="15" hidden="false" customHeight="false" outlineLevel="0" collapsed="false">
      <c r="A43" s="274" t="s">
        <v>256</v>
      </c>
      <c r="B43" s="80"/>
      <c r="C43" s="261"/>
      <c r="D43" s="158"/>
      <c r="E43" s="158"/>
      <c r="F43" s="158"/>
      <c r="G43" s="158"/>
      <c r="H43" s="158"/>
      <c r="I43" s="158"/>
      <c r="J43" s="158"/>
      <c r="K43" s="167"/>
    </row>
    <row r="44" customFormat="false" ht="15" hidden="false" customHeight="false" outlineLevel="0" collapsed="false">
      <c r="A44" s="274"/>
      <c r="B44" s="80"/>
      <c r="C44" s="266"/>
      <c r="D44" s="161"/>
      <c r="E44" s="161"/>
      <c r="F44" s="161"/>
      <c r="G44" s="161"/>
      <c r="H44" s="161"/>
      <c r="I44" s="161"/>
      <c r="J44" s="161"/>
      <c r="K44" s="267"/>
    </row>
    <row r="45" customFormat="false" ht="15" hidden="false" customHeight="false" outlineLevel="0" collapsed="false">
      <c r="A45" s="274" t="s">
        <v>257</v>
      </c>
      <c r="B45" s="80"/>
      <c r="C45" s="261"/>
      <c r="D45" s="158"/>
      <c r="E45" s="158"/>
      <c r="F45" s="158"/>
      <c r="G45" s="158"/>
      <c r="H45" s="158"/>
      <c r="I45" s="158"/>
      <c r="J45" s="158"/>
      <c r="K45" s="167"/>
    </row>
    <row r="46" customFormat="false" ht="15" hidden="false" customHeight="false" outlineLevel="0" collapsed="false">
      <c r="A46" s="288"/>
      <c r="B46" s="136"/>
      <c r="C46" s="266"/>
      <c r="D46" s="161"/>
      <c r="E46" s="161"/>
      <c r="F46" s="161"/>
      <c r="G46" s="161"/>
      <c r="H46" s="161"/>
      <c r="I46" s="161"/>
      <c r="J46" s="161"/>
      <c r="K46" s="267"/>
    </row>
    <row r="47" customFormat="false" ht="15" hidden="false" customHeight="false" outlineLevel="0" collapsed="false">
      <c r="A47" s="314"/>
      <c r="K47" s="314"/>
    </row>
    <row r="48" customFormat="false" ht="15" hidden="false" customHeight="false" outlineLevel="0" collapsed="false">
      <c r="A48" s="131" t="s">
        <v>258</v>
      </c>
      <c r="B48" s="276"/>
      <c r="C48" s="276"/>
      <c r="D48" s="276"/>
      <c r="E48" s="276"/>
      <c r="F48" s="276"/>
      <c r="G48" s="276"/>
      <c r="H48" s="276"/>
      <c r="I48" s="276"/>
      <c r="J48" s="276"/>
      <c r="K48" s="277"/>
    </row>
    <row r="49" customFormat="false" ht="15" hidden="false" customHeight="false" outlineLevel="0" collapsed="false">
      <c r="A49" s="261"/>
      <c r="B49" s="158"/>
      <c r="C49" s="158"/>
      <c r="D49" s="158"/>
      <c r="E49" s="158"/>
      <c r="F49" s="158"/>
      <c r="G49" s="158"/>
      <c r="H49" s="158"/>
      <c r="I49" s="158"/>
      <c r="J49" s="158"/>
      <c r="K49" s="167"/>
    </row>
    <row r="50" customFormat="false" ht="15" hidden="false" customHeight="false" outlineLevel="0" collapsed="false">
      <c r="A50" s="262"/>
      <c r="B50" s="73"/>
      <c r="C50" s="73"/>
      <c r="D50" s="73"/>
      <c r="E50" s="73"/>
      <c r="F50" s="73"/>
      <c r="G50" s="73"/>
      <c r="H50" s="73"/>
      <c r="I50" s="73"/>
      <c r="J50" s="73"/>
      <c r="K50" s="263"/>
    </row>
    <row r="51" customFormat="false" ht="15" hidden="false" customHeight="false" outlineLevel="0" collapsed="false">
      <c r="A51" s="262"/>
      <c r="B51" s="73"/>
      <c r="C51" s="73"/>
      <c r="D51" s="73"/>
      <c r="E51" s="73"/>
      <c r="F51" s="73"/>
      <c r="G51" s="73"/>
      <c r="H51" s="73"/>
      <c r="I51" s="73"/>
      <c r="J51" s="73"/>
      <c r="K51" s="263"/>
    </row>
    <row r="52" customFormat="false" ht="15" hidden="false" customHeight="false" outlineLevel="0" collapsed="false">
      <c r="A52" s="266"/>
      <c r="B52" s="161"/>
      <c r="C52" s="161"/>
      <c r="D52" s="161"/>
      <c r="E52" s="161"/>
      <c r="F52" s="161"/>
      <c r="G52" s="161"/>
      <c r="H52" s="161"/>
      <c r="I52" s="161"/>
      <c r="J52" s="161"/>
      <c r="K52" s="267"/>
    </row>
    <row r="53" customFormat="false" ht="15" hidden="false" customHeight="false" outlineLevel="0" collapsed="false">
      <c r="A53" s="314"/>
      <c r="K53" s="314"/>
    </row>
    <row r="54" customFormat="false" ht="15" hidden="false" customHeight="false" outlineLevel="0" collapsed="false">
      <c r="A54" s="131" t="s">
        <v>259</v>
      </c>
      <c r="B54" s="276"/>
      <c r="C54" s="276"/>
      <c r="D54" s="276"/>
      <c r="E54" s="276"/>
      <c r="F54" s="276"/>
      <c r="G54" s="276"/>
      <c r="H54" s="276"/>
      <c r="I54" s="276"/>
      <c r="J54" s="276"/>
      <c r="K54" s="277"/>
    </row>
    <row r="55" customFormat="false" ht="15" hidden="false" customHeight="false" outlineLevel="0" collapsed="false">
      <c r="A55" s="261"/>
      <c r="B55" s="158"/>
      <c r="C55" s="158"/>
      <c r="D55" s="158"/>
      <c r="E55" s="158"/>
      <c r="F55" s="158"/>
      <c r="G55" s="158"/>
      <c r="H55" s="158"/>
      <c r="I55" s="158"/>
      <c r="J55" s="158"/>
      <c r="K55" s="167"/>
    </row>
    <row r="56" customFormat="false" ht="15" hidden="false" customHeight="false" outlineLevel="0" collapsed="false">
      <c r="A56" s="262"/>
      <c r="B56" s="73"/>
      <c r="C56" s="73"/>
      <c r="D56" s="73"/>
      <c r="E56" s="73"/>
      <c r="F56" s="73"/>
      <c r="G56" s="73"/>
      <c r="H56" s="73"/>
      <c r="I56" s="73"/>
      <c r="J56" s="73"/>
      <c r="K56" s="263"/>
    </row>
    <row r="57" customFormat="false" ht="15" hidden="false" customHeight="false" outlineLevel="0" collapsed="false">
      <c r="A57" s="262"/>
      <c r="B57" s="73"/>
      <c r="C57" s="73"/>
      <c r="D57" s="73"/>
      <c r="E57" s="73"/>
      <c r="F57" s="73"/>
      <c r="G57" s="73"/>
      <c r="H57" s="73"/>
      <c r="I57" s="73"/>
      <c r="J57" s="73"/>
      <c r="K57" s="263"/>
    </row>
    <row r="58" customFormat="false" ht="15" hidden="false" customHeight="false" outlineLevel="0" collapsed="false">
      <c r="A58" s="266"/>
      <c r="B58" s="161"/>
      <c r="C58" s="161"/>
      <c r="D58" s="161"/>
      <c r="E58" s="161"/>
      <c r="F58" s="161"/>
      <c r="G58" s="161"/>
      <c r="H58" s="161"/>
      <c r="I58" s="161"/>
      <c r="J58" s="161"/>
      <c r="K58" s="267"/>
    </row>
    <row r="59" customFormat="false" ht="15" hidden="false" customHeight="false" outlineLevel="0" collapsed="false">
      <c r="A59" s="314"/>
      <c r="K59" s="314"/>
    </row>
    <row r="60" customFormat="false" ht="15" hidden="false" customHeight="false" outlineLevel="0" collapsed="false">
      <c r="A60" s="131" t="s">
        <v>156</v>
      </c>
      <c r="B60" s="132"/>
      <c r="C60" s="132"/>
      <c r="D60" s="132"/>
      <c r="E60" s="132"/>
      <c r="F60" s="132"/>
      <c r="G60" s="132"/>
      <c r="H60" s="132"/>
      <c r="I60" s="132"/>
      <c r="J60" s="132"/>
      <c r="K60" s="133"/>
    </row>
    <row r="61" customFormat="false" ht="15" hidden="false" customHeight="false" outlineLevel="0" collapsed="false">
      <c r="A61" s="261"/>
      <c r="B61" s="158"/>
      <c r="C61" s="158"/>
      <c r="D61" s="158"/>
      <c r="E61" s="158"/>
      <c r="F61" s="158"/>
      <c r="G61" s="158"/>
      <c r="H61" s="158"/>
      <c r="I61" s="158"/>
      <c r="J61" s="158"/>
      <c r="K61" s="167"/>
    </row>
    <row r="62" customFormat="false" ht="15" hidden="false" customHeight="false" outlineLevel="0" collapsed="false">
      <c r="A62" s="266"/>
      <c r="B62" s="161"/>
      <c r="C62" s="161"/>
      <c r="D62" s="161"/>
      <c r="E62" s="161"/>
      <c r="F62" s="161"/>
      <c r="G62" s="161"/>
      <c r="H62" s="161"/>
      <c r="I62" s="161"/>
      <c r="J62" s="161"/>
      <c r="K62" s="267"/>
    </row>
    <row r="63" customFormat="false" ht="15" hidden="false" customHeight="false" outlineLevel="0" collapsed="false">
      <c r="A63" s="257"/>
      <c r="K63" s="257"/>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3.xml><?xml version="1.0" encoding="utf-8"?>
<worksheet xmlns="http://schemas.openxmlformats.org/spreadsheetml/2006/main" xmlns:r="http://schemas.openxmlformats.org/officeDocument/2006/relationships">
  <sheetPr filterMode="false">
    <tabColor rgb="FF69FFFF"/>
    <pageSetUpPr fitToPage="true"/>
  </sheetPr>
  <dimension ref="A1:AB39"/>
  <sheetViews>
    <sheetView showFormulas="false" showGridLines="false" showRowColHeaders="true" showZeros="true" rightToLeft="false" tabSelected="false" showOutlineSymbols="true" defaultGridColor="true" view="normal" topLeftCell="A18" colorId="64" zoomScale="110" zoomScaleNormal="110" zoomScalePageLayoutView="100" workbookViewId="0">
      <selection pane="topLeft" activeCell="A4" activeCellId="0" sqref="A4"/>
    </sheetView>
  </sheetViews>
  <sheetFormatPr defaultRowHeight="15" zeroHeight="true" outlineLevelRow="0" outlineLevelCol="0"/>
  <cols>
    <col collapsed="false" customWidth="true" hidden="false" outlineLevel="0" max="9" min="1" style="4" width="13.86"/>
    <col collapsed="false" customWidth="true" hidden="false" outlineLevel="0" max="11" min="10" style="4" width="12.57"/>
    <col collapsed="false" customWidth="true" hidden="false" outlineLevel="0" max="12" min="12" style="22" width="1.42"/>
    <col collapsed="false" customWidth="true" hidden="true" outlineLevel="0" max="28" min="13" style="112" width="9.14"/>
    <col collapsed="false" customWidth="true" hidden="true" outlineLevel="0" max="1025" min="29" style="4" width="9.14"/>
  </cols>
  <sheetData>
    <row r="1" s="48" customFormat="true" ht="29.25" hidden="false" customHeight="true" outlineLevel="0" collapsed="false">
      <c r="A1" s="113" t="str">
        <f aca="false">'4.0 Organisation &amp; HR'!A1</f>
        <v>Management Summary</v>
      </c>
      <c r="B1" s="114"/>
      <c r="C1" s="114"/>
      <c r="D1" s="114"/>
      <c r="E1" s="114"/>
      <c r="F1" s="114"/>
      <c r="G1" s="114"/>
      <c r="H1" s="114"/>
      <c r="I1" s="114"/>
      <c r="J1" s="114"/>
      <c r="K1" s="115" t="s">
        <v>260</v>
      </c>
      <c r="L1" s="16"/>
      <c r="M1" s="318"/>
      <c r="N1" s="318"/>
      <c r="O1" s="318"/>
      <c r="P1" s="318"/>
      <c r="Q1" s="318"/>
      <c r="R1" s="318"/>
      <c r="S1" s="318"/>
      <c r="T1" s="318"/>
      <c r="U1" s="318"/>
      <c r="V1" s="318"/>
      <c r="W1" s="318"/>
      <c r="X1" s="318"/>
      <c r="Y1" s="318"/>
      <c r="Z1" s="318"/>
      <c r="AA1" s="318"/>
      <c r="AB1" s="318"/>
    </row>
    <row r="2" s="48" customFormat="true" ht="13.15" hidden="false" customHeight="true" outlineLevel="0" collapsed="false">
      <c r="A2" s="52"/>
      <c r="B2" s="116"/>
      <c r="C2" s="117"/>
      <c r="D2" s="86"/>
      <c r="E2" s="118"/>
      <c r="H2" s="119"/>
      <c r="I2" s="86"/>
      <c r="J2" s="86"/>
      <c r="K2" s="120"/>
      <c r="L2" s="16"/>
      <c r="M2" s="318"/>
      <c r="N2" s="318"/>
      <c r="O2" s="318"/>
      <c r="P2" s="318"/>
      <c r="Q2" s="318"/>
      <c r="R2" s="318"/>
      <c r="S2" s="318"/>
      <c r="T2" s="318"/>
      <c r="U2" s="318"/>
      <c r="V2" s="318"/>
      <c r="W2" s="318"/>
      <c r="X2" s="318"/>
      <c r="Y2" s="318"/>
      <c r="Z2" s="318"/>
      <c r="AA2" s="318"/>
      <c r="AB2" s="318"/>
    </row>
    <row r="3" s="48" customFormat="true" ht="13.15" hidden="false" customHeight="true" outlineLevel="0" collapsed="false">
      <c r="A3" s="52" t="s">
        <v>103</v>
      </c>
      <c r="B3" s="116"/>
      <c r="D3" s="67" t="str">
        <f aca="false">'Reference sheet'!C12</f>
        <v>TEST</v>
      </c>
      <c r="E3" s="118"/>
      <c r="G3" s="121" t="s">
        <v>49</v>
      </c>
      <c r="H3" s="313" t="str">
        <f aca="false">'Reference sheet'!C17</f>
        <v>July</v>
      </c>
      <c r="I3" s="123" t="n">
        <f aca="false">'Reference sheet'!D17</f>
        <v>2018</v>
      </c>
      <c r="J3" s="121" t="s">
        <v>46</v>
      </c>
      <c r="K3" s="124" t="n">
        <f aca="false">'Reference sheet'!C15</f>
        <v>1</v>
      </c>
      <c r="L3" s="16"/>
      <c r="M3" s="318"/>
      <c r="N3" s="318"/>
      <c r="O3" s="318"/>
      <c r="P3" s="318"/>
      <c r="Q3" s="318"/>
      <c r="R3" s="318"/>
      <c r="S3" s="318"/>
      <c r="T3" s="318"/>
      <c r="U3" s="318"/>
      <c r="V3" s="318"/>
      <c r="W3" s="318"/>
      <c r="X3" s="318"/>
      <c r="Y3" s="318"/>
      <c r="Z3" s="318"/>
      <c r="AA3" s="318"/>
      <c r="AB3" s="318"/>
    </row>
    <row r="4" s="48" customFormat="true" ht="13.15" hidden="false" customHeight="true" outlineLevel="0" collapsed="false">
      <c r="A4" s="82"/>
      <c r="B4" s="126"/>
      <c r="C4" s="107"/>
      <c r="D4" s="107"/>
      <c r="E4" s="107"/>
      <c r="F4" s="107"/>
      <c r="G4" s="127"/>
      <c r="H4" s="107"/>
      <c r="I4" s="107"/>
      <c r="J4" s="107"/>
      <c r="K4" s="128"/>
      <c r="L4" s="16"/>
      <c r="M4" s="318"/>
      <c r="N4" s="318"/>
      <c r="O4" s="318"/>
      <c r="P4" s="318"/>
      <c r="Q4" s="318"/>
      <c r="R4" s="318"/>
      <c r="S4" s="318"/>
      <c r="T4" s="318"/>
      <c r="U4" s="318"/>
      <c r="V4" s="318"/>
      <c r="W4" s="318"/>
      <c r="X4" s="318"/>
      <c r="Y4" s="318"/>
      <c r="Z4" s="318"/>
      <c r="AA4" s="318"/>
      <c r="AB4" s="318"/>
    </row>
    <row r="5" s="48" customFormat="true" ht="15" hidden="false" customHeight="false" outlineLevel="0" collapsed="false">
      <c r="A5" s="314"/>
      <c r="B5" s="129"/>
      <c r="G5" s="130"/>
      <c r="K5" s="129"/>
      <c r="L5" s="16"/>
      <c r="M5" s="318"/>
      <c r="N5" s="318"/>
      <c r="O5" s="318"/>
      <c r="P5" s="318"/>
      <c r="Q5" s="318"/>
      <c r="R5" s="318"/>
      <c r="S5" s="318"/>
      <c r="T5" s="318"/>
      <c r="U5" s="318"/>
      <c r="V5" s="318"/>
      <c r="W5" s="318"/>
      <c r="X5" s="318"/>
      <c r="Y5" s="318"/>
      <c r="Z5" s="318"/>
      <c r="AA5" s="318"/>
      <c r="AB5" s="318"/>
    </row>
    <row r="6" s="48" customFormat="true" ht="18" hidden="false" customHeight="false" outlineLevel="0" collapsed="false">
      <c r="A6" s="315" t="s">
        <v>261</v>
      </c>
      <c r="B6" s="132"/>
      <c r="C6" s="132"/>
      <c r="D6" s="132"/>
      <c r="E6" s="132"/>
      <c r="F6" s="132"/>
      <c r="G6" s="132"/>
      <c r="H6" s="132"/>
      <c r="I6" s="132"/>
      <c r="J6" s="132"/>
      <c r="K6" s="133"/>
      <c r="L6" s="16"/>
      <c r="M6" s="318"/>
      <c r="N6" s="318"/>
      <c r="O6" s="318"/>
      <c r="P6" s="318"/>
      <c r="Q6" s="318"/>
      <c r="R6" s="318"/>
      <c r="S6" s="318"/>
      <c r="T6" s="318"/>
      <c r="U6" s="318"/>
      <c r="V6" s="318"/>
      <c r="W6" s="318"/>
      <c r="X6" s="318"/>
      <c r="Y6" s="318"/>
      <c r="Z6" s="318"/>
      <c r="AA6" s="318"/>
      <c r="AB6" s="318"/>
    </row>
    <row r="7" s="48" customFormat="true" ht="15" hidden="false" customHeight="false" outlineLevel="0" collapsed="false">
      <c r="A7" s="166"/>
      <c r="B7" s="155"/>
      <c r="C7" s="155"/>
      <c r="D7" s="155"/>
      <c r="E7" s="155"/>
      <c r="F7" s="155"/>
      <c r="G7" s="155"/>
      <c r="H7" s="155"/>
      <c r="I7" s="155"/>
      <c r="J7" s="155"/>
      <c r="K7" s="156"/>
      <c r="L7" s="16"/>
      <c r="M7" s="318"/>
      <c r="N7" s="318"/>
      <c r="O7" s="318"/>
      <c r="P7" s="318"/>
      <c r="Q7" s="318"/>
      <c r="R7" s="318"/>
      <c r="S7" s="318"/>
      <c r="T7" s="318"/>
      <c r="U7" s="318"/>
      <c r="V7" s="318"/>
      <c r="W7" s="318"/>
      <c r="X7" s="318"/>
      <c r="Y7" s="318"/>
      <c r="Z7" s="318"/>
      <c r="AA7" s="318"/>
      <c r="AB7" s="318"/>
    </row>
    <row r="8" s="48" customFormat="true" ht="15" hidden="false" customHeight="false" outlineLevel="0" collapsed="false">
      <c r="A8" s="314"/>
      <c r="L8" s="16"/>
      <c r="M8" s="318"/>
      <c r="N8" s="318"/>
      <c r="O8" s="318"/>
      <c r="P8" s="318"/>
      <c r="Q8" s="318"/>
      <c r="R8" s="318"/>
      <c r="S8" s="318"/>
      <c r="T8" s="318"/>
      <c r="U8" s="318"/>
      <c r="V8" s="318"/>
      <c r="W8" s="318"/>
      <c r="X8" s="318"/>
      <c r="Y8" s="318"/>
      <c r="Z8" s="318"/>
      <c r="AA8" s="318"/>
      <c r="AB8" s="318"/>
    </row>
    <row r="9" s="48" customFormat="true" ht="15" hidden="false" customHeight="false" outlineLevel="0" collapsed="false">
      <c r="A9" s="131" t="s">
        <v>262</v>
      </c>
      <c r="B9" s="132"/>
      <c r="C9" s="132"/>
      <c r="D9" s="132"/>
      <c r="E9" s="132"/>
      <c r="F9" s="132"/>
      <c r="G9" s="132"/>
      <c r="H9" s="132"/>
      <c r="I9" s="132"/>
      <c r="J9" s="132"/>
      <c r="K9" s="133"/>
      <c r="L9" s="16"/>
      <c r="M9" s="318"/>
      <c r="N9" s="318"/>
      <c r="O9" s="318"/>
      <c r="P9" s="318"/>
      <c r="Q9" s="318"/>
      <c r="R9" s="318"/>
      <c r="S9" s="318"/>
      <c r="T9" s="318"/>
      <c r="U9" s="318"/>
      <c r="V9" s="318"/>
      <c r="W9" s="318"/>
      <c r="X9" s="318"/>
      <c r="Y9" s="318"/>
      <c r="Z9" s="318"/>
      <c r="AA9" s="318"/>
      <c r="AB9" s="318"/>
    </row>
    <row r="10" s="48" customFormat="true" ht="15" hidden="false" customHeight="false" outlineLevel="0" collapsed="false">
      <c r="A10" s="166"/>
      <c r="B10" s="155"/>
      <c r="C10" s="155"/>
      <c r="D10" s="155"/>
      <c r="E10" s="155"/>
      <c r="F10" s="155"/>
      <c r="G10" s="155"/>
      <c r="H10" s="155"/>
      <c r="I10" s="155"/>
      <c r="J10" s="155"/>
      <c r="K10" s="156"/>
      <c r="L10" s="16"/>
      <c r="M10" s="318"/>
      <c r="N10" s="318"/>
      <c r="O10" s="318"/>
      <c r="P10" s="318"/>
      <c r="Q10" s="318"/>
      <c r="R10" s="318"/>
      <c r="S10" s="318"/>
      <c r="T10" s="318"/>
      <c r="U10" s="318"/>
      <c r="V10" s="318"/>
      <c r="W10" s="318"/>
      <c r="X10" s="318"/>
      <c r="Y10" s="318"/>
      <c r="Z10" s="318"/>
      <c r="AA10" s="318"/>
      <c r="AB10" s="318"/>
    </row>
    <row r="11" s="48" customFormat="true" ht="15" hidden="false" customHeight="false" outlineLevel="0" collapsed="false">
      <c r="A11" s="314"/>
      <c r="L11" s="16"/>
      <c r="M11" s="318"/>
      <c r="N11" s="318"/>
      <c r="O11" s="318"/>
      <c r="P11" s="318"/>
      <c r="Q11" s="318"/>
      <c r="R11" s="318"/>
      <c r="S11" s="318"/>
      <c r="T11" s="318"/>
      <c r="U11" s="318"/>
      <c r="V11" s="318"/>
      <c r="W11" s="318"/>
      <c r="X11" s="318"/>
      <c r="Y11" s="318"/>
      <c r="Z11" s="318"/>
      <c r="AA11" s="318"/>
      <c r="AB11" s="318"/>
    </row>
    <row r="12" s="48" customFormat="true" ht="13.15" hidden="false" customHeight="true" outlineLevel="0" collapsed="false">
      <c r="A12" s="131" t="s">
        <v>263</v>
      </c>
      <c r="B12" s="132"/>
      <c r="C12" s="132"/>
      <c r="D12" s="132"/>
      <c r="E12" s="132"/>
      <c r="F12" s="132"/>
      <c r="G12" s="132"/>
      <c r="H12" s="132"/>
      <c r="I12" s="132"/>
      <c r="J12" s="132"/>
      <c r="K12" s="133"/>
      <c r="L12" s="16"/>
      <c r="M12" s="318"/>
      <c r="N12" s="318"/>
      <c r="O12" s="318"/>
      <c r="P12" s="318"/>
      <c r="Q12" s="318"/>
      <c r="R12" s="318"/>
      <c r="S12" s="318"/>
      <c r="T12" s="318"/>
      <c r="U12" s="318"/>
      <c r="V12" s="318"/>
      <c r="W12" s="318"/>
      <c r="X12" s="318"/>
      <c r="Y12" s="318"/>
      <c r="Z12" s="318"/>
      <c r="AA12" s="318"/>
      <c r="AB12" s="318"/>
    </row>
    <row r="13" s="48" customFormat="true" ht="13.15" hidden="false" customHeight="true" outlineLevel="0" collapsed="false">
      <c r="A13" s="166"/>
      <c r="B13" s="155"/>
      <c r="C13" s="155"/>
      <c r="D13" s="155"/>
      <c r="E13" s="155"/>
      <c r="F13" s="155"/>
      <c r="G13" s="155"/>
      <c r="H13" s="155"/>
      <c r="I13" s="155"/>
      <c r="J13" s="155"/>
      <c r="K13" s="156"/>
      <c r="L13" s="16"/>
      <c r="M13" s="318"/>
      <c r="N13" s="318"/>
      <c r="O13" s="318"/>
      <c r="P13" s="318"/>
      <c r="Q13" s="318"/>
      <c r="R13" s="318"/>
      <c r="S13" s="318"/>
      <c r="T13" s="318"/>
      <c r="U13" s="318"/>
      <c r="V13" s="318"/>
      <c r="W13" s="318"/>
      <c r="X13" s="318"/>
      <c r="Y13" s="318"/>
      <c r="Z13" s="318"/>
      <c r="AA13" s="318"/>
      <c r="AB13" s="318"/>
    </row>
    <row r="14" s="48" customFormat="true" ht="15" hidden="false" customHeight="false" outlineLevel="0" collapsed="false">
      <c r="A14" s="314"/>
      <c r="L14" s="16"/>
      <c r="M14" s="318"/>
      <c r="N14" s="318"/>
      <c r="O14" s="318"/>
      <c r="P14" s="318"/>
      <c r="Q14" s="318"/>
      <c r="R14" s="318"/>
      <c r="S14" s="318"/>
      <c r="T14" s="318"/>
      <c r="U14" s="318"/>
      <c r="V14" s="318"/>
      <c r="W14" s="318"/>
      <c r="X14" s="318"/>
      <c r="Y14" s="318"/>
      <c r="Z14" s="318"/>
      <c r="AA14" s="318"/>
      <c r="AB14" s="318"/>
    </row>
    <row r="15" s="48" customFormat="true" ht="15" hidden="false" customHeight="false" outlineLevel="0" collapsed="false">
      <c r="A15" s="131" t="s">
        <v>120</v>
      </c>
      <c r="B15" s="132"/>
      <c r="C15" s="132"/>
      <c r="D15" s="132"/>
      <c r="E15" s="132"/>
      <c r="F15" s="132"/>
      <c r="G15" s="132"/>
      <c r="H15" s="132"/>
      <c r="I15" s="132"/>
      <c r="J15" s="132"/>
      <c r="K15" s="133"/>
      <c r="L15" s="16"/>
      <c r="M15" s="318"/>
      <c r="N15" s="318"/>
      <c r="O15" s="318"/>
      <c r="P15" s="318"/>
      <c r="Q15" s="318"/>
      <c r="R15" s="318"/>
      <c r="S15" s="318"/>
      <c r="T15" s="318"/>
      <c r="U15" s="318"/>
      <c r="V15" s="318"/>
      <c r="W15" s="318"/>
      <c r="X15" s="318"/>
      <c r="Y15" s="318"/>
      <c r="Z15" s="318"/>
      <c r="AA15" s="318"/>
      <c r="AB15" s="318"/>
    </row>
    <row r="16" s="48" customFormat="true" ht="15" hidden="false" customHeight="false" outlineLevel="0" collapsed="false">
      <c r="A16" s="166"/>
      <c r="B16" s="155"/>
      <c r="C16" s="155"/>
      <c r="D16" s="155"/>
      <c r="E16" s="155"/>
      <c r="F16" s="155"/>
      <c r="G16" s="155"/>
      <c r="H16" s="155"/>
      <c r="I16" s="155"/>
      <c r="J16" s="155"/>
      <c r="K16" s="156"/>
      <c r="L16" s="16"/>
      <c r="M16" s="318"/>
      <c r="N16" s="318"/>
      <c r="O16" s="318"/>
      <c r="P16" s="318"/>
      <c r="Q16" s="318"/>
      <c r="R16" s="318"/>
      <c r="S16" s="318"/>
      <c r="T16" s="318"/>
      <c r="U16" s="318"/>
      <c r="V16" s="318"/>
      <c r="W16" s="318"/>
      <c r="X16" s="318"/>
      <c r="Y16" s="318"/>
      <c r="Z16" s="318"/>
      <c r="AA16" s="318"/>
      <c r="AB16" s="318"/>
    </row>
    <row r="17" s="48" customFormat="true" ht="15" hidden="false" customHeight="false" outlineLevel="0" collapsed="false">
      <c r="A17" s="314"/>
      <c r="L17" s="16"/>
      <c r="M17" s="318"/>
      <c r="N17" s="318"/>
      <c r="O17" s="318"/>
      <c r="P17" s="318"/>
      <c r="Q17" s="318"/>
      <c r="R17" s="318"/>
      <c r="S17" s="318"/>
      <c r="T17" s="318"/>
      <c r="U17" s="318"/>
      <c r="V17" s="318"/>
      <c r="W17" s="318"/>
      <c r="X17" s="318"/>
      <c r="Y17" s="318"/>
      <c r="Z17" s="318"/>
      <c r="AA17" s="318"/>
      <c r="AB17" s="318"/>
    </row>
    <row r="18" s="48" customFormat="true" ht="15" hidden="false" customHeight="false" outlineLevel="0" collapsed="false">
      <c r="A18" s="131" t="s">
        <v>253</v>
      </c>
      <c r="B18" s="132"/>
      <c r="C18" s="132"/>
      <c r="D18" s="132"/>
      <c r="E18" s="132"/>
      <c r="F18" s="132"/>
      <c r="G18" s="132"/>
      <c r="H18" s="132"/>
      <c r="I18" s="132"/>
      <c r="J18" s="132"/>
      <c r="K18" s="133"/>
      <c r="L18" s="16"/>
      <c r="M18" s="318"/>
      <c r="N18" s="318"/>
      <c r="O18" s="318"/>
      <c r="P18" s="318"/>
      <c r="Q18" s="318"/>
      <c r="R18" s="318"/>
      <c r="S18" s="318"/>
      <c r="T18" s="318"/>
      <c r="U18" s="318"/>
      <c r="V18" s="318"/>
      <c r="W18" s="318"/>
      <c r="X18" s="318"/>
      <c r="Y18" s="318"/>
      <c r="Z18" s="318"/>
      <c r="AA18" s="318"/>
      <c r="AB18" s="318"/>
    </row>
    <row r="19" s="48" customFormat="true" ht="18" hidden="false" customHeight="false" outlineLevel="0" collapsed="false">
      <c r="A19" s="319"/>
      <c r="B19" s="320"/>
      <c r="C19" s="320"/>
      <c r="D19" s="320"/>
      <c r="E19" s="320"/>
      <c r="F19" s="320"/>
      <c r="G19" s="320"/>
      <c r="H19" s="320"/>
      <c r="I19" s="320"/>
      <c r="J19" s="320"/>
      <c r="K19" s="321"/>
      <c r="L19" s="16"/>
      <c r="M19" s="318"/>
      <c r="N19" s="318"/>
      <c r="O19" s="318"/>
      <c r="P19" s="318"/>
      <c r="Q19" s="318"/>
      <c r="R19" s="318"/>
      <c r="S19" s="318"/>
      <c r="T19" s="318"/>
      <c r="U19" s="318"/>
      <c r="V19" s="318"/>
      <c r="W19" s="318"/>
      <c r="X19" s="318"/>
      <c r="Y19" s="318"/>
      <c r="Z19" s="318"/>
      <c r="AA19" s="318"/>
      <c r="AB19" s="318"/>
    </row>
    <row r="20" s="48" customFormat="true" ht="18" hidden="false" customHeight="false" outlineLevel="0" collapsed="false">
      <c r="A20" s="322"/>
      <c r="B20" s="71"/>
      <c r="C20" s="71"/>
      <c r="D20" s="71"/>
      <c r="E20" s="71"/>
      <c r="F20" s="71"/>
      <c r="G20" s="71"/>
      <c r="H20" s="71"/>
      <c r="I20" s="71"/>
      <c r="J20" s="71"/>
      <c r="K20" s="323"/>
      <c r="L20" s="16"/>
      <c r="M20" s="318"/>
      <c r="N20" s="318"/>
      <c r="O20" s="318"/>
      <c r="P20" s="318"/>
      <c r="Q20" s="318"/>
      <c r="R20" s="318"/>
      <c r="S20" s="318"/>
      <c r="T20" s="318"/>
      <c r="U20" s="318"/>
      <c r="V20" s="318"/>
      <c r="W20" s="318"/>
      <c r="X20" s="318"/>
      <c r="Y20" s="318"/>
      <c r="Z20" s="318"/>
      <c r="AA20" s="318"/>
      <c r="AB20" s="318"/>
    </row>
    <row r="21" s="48" customFormat="true" ht="18" hidden="false" customHeight="false" outlineLevel="0" collapsed="false">
      <c r="A21" s="322"/>
      <c r="B21" s="71"/>
      <c r="C21" s="71"/>
      <c r="D21" s="71"/>
      <c r="E21" s="71"/>
      <c r="F21" s="71"/>
      <c r="G21" s="71"/>
      <c r="H21" s="71"/>
      <c r="I21" s="71"/>
      <c r="J21" s="71"/>
      <c r="K21" s="323"/>
      <c r="L21" s="16"/>
      <c r="M21" s="318"/>
      <c r="N21" s="318"/>
      <c r="O21" s="318"/>
      <c r="P21" s="318"/>
      <c r="Q21" s="318"/>
      <c r="R21" s="318"/>
      <c r="S21" s="318"/>
      <c r="T21" s="318"/>
      <c r="U21" s="318"/>
      <c r="V21" s="318"/>
      <c r="W21" s="318"/>
      <c r="X21" s="318"/>
      <c r="Y21" s="318"/>
      <c r="Z21" s="318"/>
      <c r="AA21" s="318"/>
      <c r="AB21" s="318"/>
    </row>
    <row r="22" s="48" customFormat="true" ht="18" hidden="false" customHeight="false" outlineLevel="0" collapsed="false">
      <c r="A22" s="324"/>
      <c r="B22" s="325"/>
      <c r="C22" s="325"/>
      <c r="D22" s="325"/>
      <c r="E22" s="325"/>
      <c r="F22" s="325"/>
      <c r="G22" s="325"/>
      <c r="H22" s="325"/>
      <c r="I22" s="325"/>
      <c r="J22" s="325"/>
      <c r="K22" s="326"/>
      <c r="L22" s="16"/>
      <c r="M22" s="318"/>
      <c r="N22" s="318"/>
      <c r="O22" s="318"/>
      <c r="P22" s="318"/>
      <c r="Q22" s="318"/>
      <c r="R22" s="318"/>
      <c r="S22" s="318"/>
      <c r="T22" s="318"/>
      <c r="U22" s="318"/>
      <c r="V22" s="318"/>
      <c r="W22" s="318"/>
      <c r="X22" s="318"/>
      <c r="Y22" s="318"/>
      <c r="Z22" s="318"/>
      <c r="AA22" s="318"/>
      <c r="AB22" s="318"/>
    </row>
    <row r="23" s="48" customFormat="true" ht="15" hidden="false" customHeight="false" outlineLevel="0" collapsed="false">
      <c r="A23" s="314"/>
      <c r="L23" s="16"/>
      <c r="M23" s="318"/>
      <c r="N23" s="318"/>
      <c r="O23" s="318"/>
      <c r="P23" s="318"/>
      <c r="Q23" s="318"/>
      <c r="R23" s="318"/>
      <c r="S23" s="318"/>
      <c r="T23" s="318"/>
      <c r="U23" s="318"/>
      <c r="V23" s="318"/>
      <c r="W23" s="318"/>
      <c r="X23" s="318"/>
      <c r="Y23" s="318"/>
      <c r="Z23" s="318"/>
      <c r="AA23" s="318"/>
      <c r="AB23" s="318"/>
    </row>
    <row r="24" s="48" customFormat="true" ht="15" hidden="false" customHeight="false" outlineLevel="0" collapsed="false">
      <c r="A24" s="131" t="s">
        <v>264</v>
      </c>
      <c r="B24" s="132"/>
      <c r="C24" s="132"/>
      <c r="D24" s="132"/>
      <c r="E24" s="132"/>
      <c r="F24" s="132"/>
      <c r="G24" s="132"/>
      <c r="H24" s="132"/>
      <c r="I24" s="132"/>
      <c r="J24" s="132"/>
      <c r="K24" s="133"/>
      <c r="L24" s="16"/>
      <c r="M24" s="318"/>
      <c r="N24" s="318"/>
      <c r="O24" s="318"/>
      <c r="P24" s="318"/>
      <c r="Q24" s="318"/>
      <c r="R24" s="318"/>
      <c r="S24" s="318"/>
      <c r="T24" s="318"/>
      <c r="U24" s="318"/>
      <c r="V24" s="318"/>
      <c r="W24" s="318"/>
      <c r="X24" s="318"/>
      <c r="Y24" s="318"/>
      <c r="Z24" s="318"/>
      <c r="AA24" s="318"/>
      <c r="AB24" s="318"/>
    </row>
    <row r="25" s="48" customFormat="true" ht="18" hidden="false" customHeight="false" outlineLevel="0" collapsed="false">
      <c r="A25" s="319"/>
      <c r="B25" s="320"/>
      <c r="C25" s="320"/>
      <c r="D25" s="320"/>
      <c r="E25" s="320"/>
      <c r="F25" s="320"/>
      <c r="G25" s="320"/>
      <c r="H25" s="320"/>
      <c r="I25" s="320"/>
      <c r="J25" s="320"/>
      <c r="K25" s="321"/>
      <c r="L25" s="16"/>
      <c r="M25" s="318"/>
      <c r="N25" s="318"/>
      <c r="O25" s="318"/>
      <c r="P25" s="318"/>
      <c r="Q25" s="318"/>
      <c r="R25" s="318"/>
      <c r="S25" s="318"/>
      <c r="T25" s="318"/>
      <c r="U25" s="318"/>
      <c r="V25" s="318"/>
      <c r="W25" s="318"/>
      <c r="X25" s="318"/>
      <c r="Y25" s="318"/>
      <c r="Z25" s="318"/>
      <c r="AA25" s="318"/>
      <c r="AB25" s="318"/>
    </row>
    <row r="26" s="48" customFormat="true" ht="18" hidden="false" customHeight="false" outlineLevel="0" collapsed="false">
      <c r="A26" s="322"/>
      <c r="B26" s="71"/>
      <c r="C26" s="71"/>
      <c r="D26" s="71"/>
      <c r="E26" s="71"/>
      <c r="F26" s="71"/>
      <c r="G26" s="71"/>
      <c r="H26" s="71"/>
      <c r="I26" s="71"/>
      <c r="J26" s="71"/>
      <c r="K26" s="323"/>
      <c r="L26" s="16"/>
      <c r="M26" s="318"/>
      <c r="N26" s="318"/>
      <c r="O26" s="318"/>
      <c r="P26" s="318"/>
      <c r="Q26" s="318"/>
      <c r="R26" s="318"/>
      <c r="S26" s="318"/>
      <c r="T26" s="318"/>
      <c r="U26" s="318"/>
      <c r="V26" s="318"/>
      <c r="W26" s="318"/>
      <c r="X26" s="318"/>
      <c r="Y26" s="318"/>
      <c r="Z26" s="318"/>
      <c r="AA26" s="318"/>
      <c r="AB26" s="318"/>
    </row>
    <row r="27" s="48" customFormat="true" ht="18" hidden="false" customHeight="false" outlineLevel="0" collapsed="false">
      <c r="A27" s="322"/>
      <c r="B27" s="71"/>
      <c r="C27" s="71"/>
      <c r="D27" s="71"/>
      <c r="E27" s="71"/>
      <c r="F27" s="71"/>
      <c r="G27" s="71"/>
      <c r="H27" s="71"/>
      <c r="I27" s="71"/>
      <c r="J27" s="71"/>
      <c r="K27" s="323"/>
      <c r="L27" s="16"/>
      <c r="M27" s="318"/>
      <c r="N27" s="318"/>
      <c r="O27" s="318"/>
      <c r="P27" s="318"/>
      <c r="Q27" s="318"/>
      <c r="R27" s="318"/>
      <c r="S27" s="318"/>
      <c r="T27" s="318"/>
      <c r="U27" s="318"/>
      <c r="V27" s="318"/>
      <c r="W27" s="318"/>
      <c r="X27" s="318"/>
      <c r="Y27" s="318"/>
      <c r="Z27" s="318"/>
      <c r="AA27" s="318"/>
      <c r="AB27" s="318"/>
    </row>
    <row r="28" s="48" customFormat="true" ht="18" hidden="false" customHeight="false" outlineLevel="0" collapsed="false">
      <c r="A28" s="324"/>
      <c r="B28" s="325"/>
      <c r="C28" s="325"/>
      <c r="D28" s="325"/>
      <c r="E28" s="325"/>
      <c r="F28" s="325"/>
      <c r="G28" s="325"/>
      <c r="H28" s="325"/>
      <c r="I28" s="325"/>
      <c r="J28" s="325"/>
      <c r="K28" s="326"/>
      <c r="L28" s="16"/>
      <c r="M28" s="318"/>
      <c r="N28" s="318"/>
      <c r="O28" s="318"/>
      <c r="P28" s="318"/>
      <c r="Q28" s="318"/>
      <c r="R28" s="318"/>
      <c r="S28" s="318"/>
      <c r="T28" s="318"/>
      <c r="U28" s="318"/>
      <c r="V28" s="318"/>
      <c r="W28" s="318"/>
      <c r="X28" s="318"/>
      <c r="Y28" s="318"/>
      <c r="Z28" s="318"/>
      <c r="AA28" s="318"/>
      <c r="AB28" s="318"/>
    </row>
    <row r="29" s="48" customFormat="true" ht="15" hidden="false" customHeight="false" outlineLevel="0" collapsed="false">
      <c r="A29" s="314"/>
      <c r="L29" s="16"/>
      <c r="M29" s="318"/>
      <c r="N29" s="318"/>
      <c r="O29" s="318"/>
      <c r="P29" s="318"/>
      <c r="Q29" s="318"/>
      <c r="R29" s="318"/>
      <c r="S29" s="318"/>
      <c r="T29" s="318"/>
      <c r="U29" s="318"/>
      <c r="V29" s="318"/>
      <c r="W29" s="318"/>
      <c r="X29" s="318"/>
      <c r="Y29" s="318"/>
      <c r="Z29" s="318"/>
      <c r="AA29" s="318"/>
      <c r="AB29" s="318"/>
    </row>
    <row r="30" s="86" customFormat="true" ht="15" hidden="false" customHeight="false" outlineLevel="0" collapsed="false">
      <c r="A30" s="131" t="s">
        <v>265</v>
      </c>
      <c r="B30" s="132"/>
      <c r="C30" s="132"/>
      <c r="D30" s="132"/>
      <c r="E30" s="132"/>
      <c r="F30" s="132"/>
      <c r="G30" s="132"/>
      <c r="H30" s="132"/>
      <c r="I30" s="132"/>
      <c r="J30" s="132"/>
      <c r="K30" s="133"/>
      <c r="L30" s="16"/>
      <c r="M30" s="318"/>
      <c r="N30" s="318"/>
      <c r="O30" s="318"/>
      <c r="P30" s="318"/>
      <c r="Q30" s="318"/>
      <c r="R30" s="318"/>
      <c r="S30" s="318"/>
      <c r="T30" s="318"/>
      <c r="U30" s="318"/>
      <c r="V30" s="318"/>
      <c r="W30" s="318"/>
      <c r="X30" s="318"/>
      <c r="Y30" s="318"/>
      <c r="Z30" s="318"/>
      <c r="AA30" s="318"/>
      <c r="AB30" s="318"/>
    </row>
    <row r="31" s="48" customFormat="true" ht="18" hidden="false" customHeight="false" outlineLevel="0" collapsed="false">
      <c r="A31" s="319"/>
      <c r="B31" s="320"/>
      <c r="C31" s="320"/>
      <c r="D31" s="320"/>
      <c r="E31" s="320"/>
      <c r="F31" s="320"/>
      <c r="G31" s="320"/>
      <c r="H31" s="320"/>
      <c r="I31" s="320"/>
      <c r="J31" s="320"/>
      <c r="K31" s="321"/>
      <c r="L31" s="16"/>
      <c r="M31" s="318"/>
      <c r="N31" s="318"/>
      <c r="O31" s="318"/>
      <c r="P31" s="318"/>
      <c r="Q31" s="318"/>
      <c r="R31" s="318"/>
      <c r="S31" s="318"/>
      <c r="T31" s="318"/>
      <c r="U31" s="318"/>
      <c r="V31" s="318"/>
      <c r="W31" s="318"/>
      <c r="X31" s="318"/>
      <c r="Y31" s="318"/>
      <c r="Z31" s="318"/>
      <c r="AA31" s="318"/>
      <c r="AB31" s="318"/>
    </row>
    <row r="32" s="48" customFormat="true" ht="18" hidden="false" customHeight="false" outlineLevel="0" collapsed="false">
      <c r="A32" s="322"/>
      <c r="B32" s="71"/>
      <c r="C32" s="71"/>
      <c r="D32" s="71"/>
      <c r="E32" s="71"/>
      <c r="F32" s="71"/>
      <c r="G32" s="71"/>
      <c r="H32" s="71"/>
      <c r="I32" s="71"/>
      <c r="J32" s="71"/>
      <c r="K32" s="323"/>
      <c r="L32" s="16"/>
      <c r="M32" s="318"/>
      <c r="N32" s="318"/>
      <c r="O32" s="318"/>
      <c r="P32" s="318"/>
      <c r="Q32" s="318"/>
      <c r="R32" s="318"/>
      <c r="S32" s="318"/>
      <c r="T32" s="318"/>
      <c r="U32" s="318"/>
      <c r="V32" s="318"/>
      <c r="W32" s="318"/>
      <c r="X32" s="318"/>
      <c r="Y32" s="318"/>
      <c r="Z32" s="318"/>
      <c r="AA32" s="318"/>
      <c r="AB32" s="318"/>
    </row>
    <row r="33" s="48" customFormat="true" ht="18" hidden="false" customHeight="false" outlineLevel="0" collapsed="false">
      <c r="A33" s="324"/>
      <c r="B33" s="325"/>
      <c r="C33" s="325"/>
      <c r="D33" s="325"/>
      <c r="E33" s="325"/>
      <c r="F33" s="325"/>
      <c r="G33" s="325"/>
      <c r="H33" s="325"/>
      <c r="I33" s="325"/>
      <c r="J33" s="325"/>
      <c r="K33" s="326"/>
      <c r="L33" s="16"/>
      <c r="M33" s="318"/>
      <c r="N33" s="318"/>
      <c r="O33" s="318"/>
      <c r="P33" s="318"/>
      <c r="Q33" s="318"/>
      <c r="R33" s="318"/>
      <c r="S33" s="318"/>
      <c r="T33" s="318"/>
      <c r="U33" s="318"/>
      <c r="V33" s="318"/>
      <c r="W33" s="318"/>
      <c r="X33" s="318"/>
      <c r="Y33" s="318"/>
      <c r="Z33" s="318"/>
      <c r="AA33" s="318"/>
      <c r="AB33" s="318"/>
    </row>
    <row r="34" s="48" customFormat="true" ht="15" hidden="false" customHeight="false" outlineLevel="0" collapsed="false">
      <c r="A34" s="314"/>
      <c r="L34" s="16"/>
      <c r="M34" s="318"/>
      <c r="N34" s="318"/>
      <c r="O34" s="318"/>
      <c r="P34" s="318"/>
      <c r="Q34" s="318"/>
      <c r="R34" s="318"/>
      <c r="S34" s="318"/>
      <c r="T34" s="318"/>
      <c r="U34" s="318"/>
      <c r="V34" s="318"/>
      <c r="W34" s="318"/>
      <c r="X34" s="318"/>
      <c r="Y34" s="318"/>
      <c r="Z34" s="318"/>
      <c r="AA34" s="318"/>
      <c r="AB34" s="318"/>
    </row>
    <row r="35" s="48" customFormat="true" ht="15" hidden="false" customHeight="false" outlineLevel="0" collapsed="false">
      <c r="A35" s="131" t="s">
        <v>266</v>
      </c>
      <c r="B35" s="132"/>
      <c r="C35" s="132"/>
      <c r="D35" s="132"/>
      <c r="E35" s="132"/>
      <c r="F35" s="132"/>
      <c r="G35" s="132"/>
      <c r="H35" s="132"/>
      <c r="I35" s="132"/>
      <c r="J35" s="132"/>
      <c r="K35" s="133"/>
      <c r="L35" s="16"/>
      <c r="M35" s="318"/>
      <c r="N35" s="318"/>
      <c r="O35" s="318"/>
      <c r="P35" s="318"/>
      <c r="Q35" s="318"/>
      <c r="R35" s="318"/>
      <c r="S35" s="318"/>
      <c r="T35" s="318"/>
      <c r="U35" s="318"/>
      <c r="V35" s="318"/>
      <c r="W35" s="318"/>
      <c r="X35" s="318"/>
      <c r="Y35" s="318"/>
      <c r="Z35" s="318"/>
      <c r="AA35" s="318"/>
      <c r="AB35" s="318"/>
    </row>
    <row r="36" s="48" customFormat="true" ht="15" hidden="false" customHeight="false" outlineLevel="0" collapsed="false">
      <c r="A36" s="327"/>
      <c r="B36" s="320"/>
      <c r="C36" s="320"/>
      <c r="D36" s="320"/>
      <c r="E36" s="320"/>
      <c r="F36" s="320"/>
      <c r="G36" s="320"/>
      <c r="H36" s="320"/>
      <c r="I36" s="320"/>
      <c r="J36" s="320"/>
      <c r="K36" s="321"/>
      <c r="L36" s="16"/>
      <c r="M36" s="318"/>
      <c r="N36" s="318"/>
      <c r="O36" s="318"/>
      <c r="P36" s="318"/>
      <c r="Q36" s="318"/>
      <c r="R36" s="318"/>
      <c r="S36" s="318"/>
      <c r="T36" s="318"/>
      <c r="U36" s="318"/>
      <c r="V36" s="318"/>
      <c r="W36" s="318"/>
      <c r="X36" s="318"/>
      <c r="Y36" s="318"/>
      <c r="Z36" s="318"/>
      <c r="AA36" s="318"/>
      <c r="AB36" s="318"/>
    </row>
    <row r="37" s="48" customFormat="true" ht="15" hidden="false" customHeight="false" outlineLevel="0" collapsed="false">
      <c r="A37" s="328"/>
      <c r="B37" s="71"/>
      <c r="C37" s="71"/>
      <c r="D37" s="71"/>
      <c r="E37" s="71"/>
      <c r="F37" s="71"/>
      <c r="G37" s="71"/>
      <c r="H37" s="71"/>
      <c r="I37" s="71"/>
      <c r="J37" s="71"/>
      <c r="K37" s="323"/>
      <c r="L37" s="16"/>
      <c r="M37" s="318"/>
      <c r="N37" s="318"/>
      <c r="O37" s="318"/>
      <c r="P37" s="318"/>
      <c r="Q37" s="318"/>
      <c r="R37" s="318"/>
      <c r="S37" s="318"/>
      <c r="T37" s="318"/>
      <c r="U37" s="318"/>
      <c r="V37" s="318"/>
      <c r="W37" s="318"/>
      <c r="X37" s="318"/>
      <c r="Y37" s="318"/>
      <c r="Z37" s="318"/>
      <c r="AA37" s="318"/>
      <c r="AB37" s="318"/>
    </row>
    <row r="38" s="107" customFormat="true" ht="15" hidden="false" customHeight="false" outlineLevel="0" collapsed="false">
      <c r="A38" s="329"/>
      <c r="B38" s="325"/>
      <c r="C38" s="325"/>
      <c r="D38" s="325"/>
      <c r="E38" s="325"/>
      <c r="F38" s="325"/>
      <c r="G38" s="325"/>
      <c r="H38" s="325"/>
      <c r="I38" s="325"/>
      <c r="J38" s="325"/>
      <c r="K38" s="326"/>
      <c r="L38" s="330"/>
      <c r="M38" s="331"/>
      <c r="N38" s="331"/>
      <c r="O38" s="331"/>
      <c r="P38" s="331"/>
      <c r="Q38" s="331"/>
      <c r="R38" s="331"/>
      <c r="S38" s="331"/>
      <c r="T38" s="331"/>
      <c r="U38" s="331"/>
      <c r="V38" s="331"/>
      <c r="W38" s="331"/>
      <c r="X38" s="331"/>
      <c r="Y38" s="331"/>
      <c r="Z38" s="331"/>
      <c r="AA38" s="331"/>
      <c r="AB38" s="331"/>
    </row>
    <row r="39"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4.xml><?xml version="1.0" encoding="utf-8"?>
<worksheet xmlns="http://schemas.openxmlformats.org/spreadsheetml/2006/main" xmlns:r="http://schemas.openxmlformats.org/officeDocument/2006/relationships">
  <sheetPr filterMode="false">
    <tabColor rgb="FF69FFFF"/>
    <pageSetUpPr fitToPage="true"/>
  </sheetPr>
  <dimension ref="A1:L56"/>
  <sheetViews>
    <sheetView showFormulas="false" showGridLines="false" showRowColHeaders="true" showZeros="true" rightToLeft="false" tabSelected="false" showOutlineSymbols="true" defaultGridColor="true" view="normal" topLeftCell="A34" colorId="64" zoomScale="100" zoomScaleNormal="100" zoomScalePageLayoutView="100" workbookViewId="0">
      <selection pane="topLeft" activeCell="A53" activeCellId="0" sqref="A53"/>
    </sheetView>
  </sheetViews>
  <sheetFormatPr defaultRowHeight="15" zeroHeight="true" outlineLevelRow="0" outlineLevelCol="0"/>
  <cols>
    <col collapsed="false" customWidth="true" hidden="false" outlineLevel="0" max="10" min="1" style="4" width="13.57"/>
    <col collapsed="false" customWidth="false" hidden="false" outlineLevel="0" max="11" min="11" style="4" width="11.57"/>
    <col collapsed="false" customWidth="true" hidden="false" outlineLevel="0" max="12" min="12" style="22" width="1.58"/>
    <col collapsed="false" customWidth="true" hidden="true" outlineLevel="0" max="28" min="13" style="112" width="9.14"/>
    <col collapsed="false" customWidth="true" hidden="true" outlineLevel="0" max="1025" min="29" style="4" width="9.14"/>
  </cols>
  <sheetData>
    <row r="1" customFormat="false" ht="27.75" hidden="false" customHeight="true" outlineLevel="0" collapsed="false">
      <c r="A1" s="113" t="str">
        <f aca="false">'4.0 Organisation &amp; HR'!A1</f>
        <v>Management Summary</v>
      </c>
      <c r="B1" s="114"/>
      <c r="C1" s="114"/>
      <c r="D1" s="114"/>
      <c r="E1" s="114"/>
      <c r="F1" s="114"/>
      <c r="G1" s="114"/>
      <c r="H1" s="114"/>
      <c r="I1" s="114"/>
      <c r="J1" s="114"/>
      <c r="K1" s="115" t="s">
        <v>267</v>
      </c>
    </row>
    <row r="2" customFormat="false" ht="13.15" hidden="false" customHeight="true" outlineLevel="0" collapsed="false">
      <c r="A2" s="52"/>
      <c r="B2" s="116"/>
      <c r="C2" s="117"/>
      <c r="D2" s="86"/>
      <c r="E2" s="118"/>
      <c r="F2" s="48"/>
      <c r="G2" s="48"/>
      <c r="H2" s="119"/>
      <c r="I2" s="86"/>
      <c r="J2" s="86"/>
      <c r="K2" s="120"/>
    </row>
    <row r="3" customFormat="false" ht="13.15" hidden="false" customHeight="true" outlineLevel="0" collapsed="false">
      <c r="A3" s="52" t="s">
        <v>103</v>
      </c>
      <c r="B3" s="116"/>
      <c r="D3" s="67" t="str">
        <f aca="false">'Reference sheet'!C12</f>
        <v>TEST</v>
      </c>
      <c r="E3" s="118"/>
      <c r="F3" s="48"/>
      <c r="G3" s="121" t="s">
        <v>49</v>
      </c>
      <c r="H3" s="313" t="str">
        <f aca="false">'Reference sheet'!C17</f>
        <v>July</v>
      </c>
      <c r="I3" s="123" t="n">
        <f aca="false">'Reference sheet'!D17</f>
        <v>2018</v>
      </c>
      <c r="J3" s="121" t="s">
        <v>46</v>
      </c>
      <c r="K3" s="124" t="n">
        <f aca="false">'Reference sheet'!C15</f>
        <v>1</v>
      </c>
    </row>
    <row r="4" customFormat="false" ht="13.15" hidden="false" customHeight="true" outlineLevel="0" collapsed="false">
      <c r="A4" s="82"/>
      <c r="B4" s="126"/>
      <c r="C4" s="107"/>
      <c r="D4" s="107"/>
      <c r="E4" s="107"/>
      <c r="F4" s="107"/>
      <c r="G4" s="127"/>
      <c r="H4" s="107"/>
      <c r="I4" s="107"/>
      <c r="J4" s="107"/>
      <c r="K4" s="128"/>
    </row>
    <row r="5" customFormat="false" ht="15" hidden="false" customHeight="false" outlineLevel="0" collapsed="false">
      <c r="A5" s="48"/>
      <c r="B5" s="129"/>
      <c r="C5" s="48"/>
      <c r="D5" s="48"/>
      <c r="E5" s="48"/>
      <c r="F5" s="48"/>
      <c r="G5" s="130"/>
      <c r="H5" s="48"/>
      <c r="I5" s="48"/>
      <c r="J5" s="48"/>
      <c r="K5" s="129"/>
    </row>
    <row r="6" s="281" customFormat="true" ht="18" hidden="false" customHeight="false" outlineLevel="0" collapsed="false">
      <c r="A6" s="315" t="s">
        <v>268</v>
      </c>
      <c r="B6" s="332"/>
      <c r="C6" s="132"/>
      <c r="D6" s="132"/>
      <c r="E6" s="132"/>
      <c r="F6" s="132"/>
      <c r="G6" s="132"/>
      <c r="H6" s="132"/>
      <c r="I6" s="132"/>
      <c r="J6" s="132"/>
      <c r="K6" s="133"/>
      <c r="L6" s="22"/>
    </row>
    <row r="7" customFormat="false" ht="18" hidden="false" customHeight="false" outlineLevel="0" collapsed="false">
      <c r="A7" s="333"/>
      <c r="B7" s="155"/>
      <c r="C7" s="155"/>
      <c r="D7" s="155"/>
      <c r="E7" s="155"/>
      <c r="F7" s="155"/>
      <c r="G7" s="155"/>
      <c r="H7" s="155"/>
      <c r="I7" s="155"/>
      <c r="J7" s="155"/>
      <c r="K7" s="156"/>
    </row>
    <row r="8" s="281" customFormat="true" ht="15" hidden="false" customHeight="false" outlineLevel="0" collapsed="false">
      <c r="A8" s="131" t="s">
        <v>263</v>
      </c>
      <c r="B8" s="132"/>
      <c r="C8" s="132"/>
      <c r="D8" s="132"/>
      <c r="E8" s="132"/>
      <c r="F8" s="132"/>
      <c r="G8" s="132"/>
      <c r="H8" s="132"/>
      <c r="I8" s="132"/>
      <c r="J8" s="132"/>
      <c r="K8" s="133"/>
      <c r="L8" s="22"/>
    </row>
    <row r="9" customFormat="false" ht="18" hidden="false" customHeight="false" outlineLevel="0" collapsed="false">
      <c r="A9" s="333"/>
      <c r="B9" s="155"/>
      <c r="C9" s="155"/>
      <c r="D9" s="155"/>
      <c r="E9" s="155"/>
      <c r="F9" s="155"/>
      <c r="G9" s="155"/>
      <c r="H9" s="155"/>
      <c r="I9" s="155"/>
      <c r="J9" s="155"/>
      <c r="K9" s="156"/>
    </row>
    <row r="10" s="281" customFormat="true" ht="15" hidden="false" customHeight="false" outlineLevel="0" collapsed="false">
      <c r="A10" s="131" t="s">
        <v>253</v>
      </c>
      <c r="B10" s="132"/>
      <c r="C10" s="132"/>
      <c r="D10" s="132"/>
      <c r="E10" s="132"/>
      <c r="F10" s="132"/>
      <c r="G10" s="132"/>
      <c r="H10" s="132"/>
      <c r="I10" s="132"/>
      <c r="J10" s="132"/>
      <c r="K10" s="133"/>
      <c r="L10" s="22"/>
    </row>
    <row r="11" customFormat="false" ht="18" hidden="false" customHeight="false" outlineLevel="0" collapsed="false">
      <c r="A11" s="319"/>
      <c r="B11" s="320"/>
      <c r="C11" s="320"/>
      <c r="D11" s="320"/>
      <c r="E11" s="320"/>
      <c r="F11" s="320"/>
      <c r="G11" s="320"/>
      <c r="H11" s="320"/>
      <c r="I11" s="320"/>
      <c r="J11" s="320"/>
      <c r="K11" s="321"/>
    </row>
    <row r="12" customFormat="false" ht="18" hidden="false" customHeight="false" outlineLevel="0" collapsed="false">
      <c r="A12" s="322"/>
      <c r="B12" s="71"/>
      <c r="C12" s="71"/>
      <c r="D12" s="71"/>
      <c r="E12" s="71"/>
      <c r="F12" s="71"/>
      <c r="G12" s="71"/>
      <c r="H12" s="71"/>
      <c r="I12" s="71"/>
      <c r="J12" s="71"/>
      <c r="K12" s="323"/>
    </row>
    <row r="13" customFormat="false" ht="18" hidden="false" customHeight="false" outlineLevel="0" collapsed="false">
      <c r="A13" s="324"/>
      <c r="B13" s="325"/>
      <c r="C13" s="325"/>
      <c r="D13" s="325"/>
      <c r="E13" s="325"/>
      <c r="F13" s="325"/>
      <c r="G13" s="325"/>
      <c r="H13" s="325"/>
      <c r="I13" s="325"/>
      <c r="J13" s="325"/>
      <c r="K13" s="326"/>
    </row>
    <row r="14" s="281" customFormat="true" ht="15" hidden="false" customHeight="false" outlineLevel="0" collapsed="false">
      <c r="A14" s="131" t="s">
        <v>264</v>
      </c>
      <c r="B14" s="132"/>
      <c r="C14" s="132"/>
      <c r="D14" s="132"/>
      <c r="E14" s="132"/>
      <c r="F14" s="132"/>
      <c r="G14" s="132"/>
      <c r="H14" s="132"/>
      <c r="I14" s="132"/>
      <c r="J14" s="132"/>
      <c r="K14" s="133"/>
      <c r="L14" s="22"/>
    </row>
    <row r="15" customFormat="false" ht="18" hidden="false" customHeight="false" outlineLevel="0" collapsed="false">
      <c r="A15" s="319"/>
      <c r="B15" s="320"/>
      <c r="C15" s="320"/>
      <c r="D15" s="320"/>
      <c r="E15" s="320"/>
      <c r="F15" s="320"/>
      <c r="G15" s="320"/>
      <c r="H15" s="320"/>
      <c r="I15" s="320"/>
      <c r="J15" s="320"/>
      <c r="K15" s="321"/>
    </row>
    <row r="16" customFormat="false" ht="18" hidden="false" customHeight="false" outlineLevel="0" collapsed="false">
      <c r="A16" s="322"/>
      <c r="B16" s="71"/>
      <c r="C16" s="71"/>
      <c r="D16" s="71"/>
      <c r="E16" s="71"/>
      <c r="F16" s="71"/>
      <c r="G16" s="71"/>
      <c r="H16" s="71"/>
      <c r="I16" s="71"/>
      <c r="J16" s="71"/>
      <c r="K16" s="323"/>
    </row>
    <row r="17" customFormat="false" ht="18" hidden="false" customHeight="false" outlineLevel="0" collapsed="false">
      <c r="A17" s="324"/>
      <c r="B17" s="325"/>
      <c r="C17" s="325"/>
      <c r="D17" s="325"/>
      <c r="E17" s="325"/>
      <c r="F17" s="325"/>
      <c r="G17" s="325"/>
      <c r="H17" s="325"/>
      <c r="I17" s="325"/>
      <c r="J17" s="325"/>
      <c r="K17" s="326"/>
    </row>
    <row r="18" s="281" customFormat="true" ht="15" hidden="false" customHeight="false" outlineLevel="0" collapsed="false">
      <c r="A18" s="131" t="s">
        <v>266</v>
      </c>
      <c r="B18" s="132"/>
      <c r="C18" s="132"/>
      <c r="D18" s="132"/>
      <c r="E18" s="132"/>
      <c r="F18" s="132"/>
      <c r="G18" s="132"/>
      <c r="H18" s="132"/>
      <c r="I18" s="132"/>
      <c r="J18" s="132"/>
      <c r="K18" s="133"/>
      <c r="L18" s="22"/>
    </row>
    <row r="19" customFormat="false" ht="15" hidden="false" customHeight="false" outlineLevel="0" collapsed="false">
      <c r="A19" s="327"/>
      <c r="B19" s="320"/>
      <c r="C19" s="320"/>
      <c r="D19" s="320"/>
      <c r="E19" s="320"/>
      <c r="F19" s="320"/>
      <c r="G19" s="320"/>
      <c r="H19" s="320"/>
      <c r="I19" s="320"/>
      <c r="J19" s="320"/>
      <c r="K19" s="321"/>
    </row>
    <row r="20" customFormat="false" ht="15" hidden="false" customHeight="false" outlineLevel="0" collapsed="false">
      <c r="A20" s="328"/>
      <c r="B20" s="71"/>
      <c r="C20" s="71"/>
      <c r="D20" s="71"/>
      <c r="E20" s="71"/>
      <c r="F20" s="71"/>
      <c r="G20" s="71"/>
      <c r="H20" s="71"/>
      <c r="I20" s="71"/>
      <c r="J20" s="71"/>
      <c r="K20" s="323"/>
    </row>
    <row r="21" customFormat="false" ht="15" hidden="false" customHeight="false" outlineLevel="0" collapsed="false">
      <c r="A21" s="329"/>
      <c r="B21" s="325"/>
      <c r="C21" s="325"/>
      <c r="D21" s="325"/>
      <c r="E21" s="325"/>
      <c r="F21" s="325"/>
      <c r="G21" s="325"/>
      <c r="H21" s="325"/>
      <c r="I21" s="325"/>
      <c r="J21" s="325"/>
      <c r="K21" s="326"/>
    </row>
    <row r="22" customFormat="false" ht="15" hidden="false" customHeight="false" outlineLevel="0" collapsed="false"/>
    <row r="23" s="281" customFormat="true" ht="18" hidden="false" customHeight="false" outlineLevel="0" collapsed="false">
      <c r="A23" s="315" t="s">
        <v>269</v>
      </c>
      <c r="B23" s="332"/>
      <c r="C23" s="332"/>
      <c r="D23" s="132"/>
      <c r="E23" s="132"/>
      <c r="F23" s="132"/>
      <c r="G23" s="132"/>
      <c r="H23" s="132"/>
      <c r="I23" s="132"/>
      <c r="J23" s="132"/>
      <c r="K23" s="133"/>
      <c r="L23" s="22"/>
    </row>
    <row r="24" customFormat="false" ht="18" hidden="false" customHeight="false" outlineLevel="0" collapsed="false">
      <c r="A24" s="333"/>
      <c r="B24" s="155"/>
      <c r="C24" s="155"/>
      <c r="D24" s="155"/>
      <c r="E24" s="155"/>
      <c r="F24" s="155"/>
      <c r="G24" s="155"/>
      <c r="H24" s="155"/>
      <c r="I24" s="155"/>
      <c r="J24" s="155"/>
      <c r="K24" s="156"/>
    </row>
    <row r="25" s="281" customFormat="true" ht="15" hidden="false" customHeight="false" outlineLevel="0" collapsed="false">
      <c r="A25" s="131" t="s">
        <v>263</v>
      </c>
      <c r="B25" s="132"/>
      <c r="C25" s="132"/>
      <c r="D25" s="132"/>
      <c r="E25" s="132"/>
      <c r="F25" s="132"/>
      <c r="G25" s="132"/>
      <c r="H25" s="132"/>
      <c r="I25" s="132"/>
      <c r="J25" s="132"/>
      <c r="K25" s="133"/>
      <c r="L25" s="22"/>
    </row>
    <row r="26" customFormat="false" ht="18" hidden="false" customHeight="false" outlineLevel="0" collapsed="false">
      <c r="A26" s="333"/>
      <c r="B26" s="155"/>
      <c r="C26" s="155"/>
      <c r="D26" s="155"/>
      <c r="E26" s="155"/>
      <c r="F26" s="155"/>
      <c r="G26" s="155"/>
      <c r="H26" s="155"/>
      <c r="I26" s="155"/>
      <c r="J26" s="155"/>
      <c r="K26" s="156"/>
    </row>
    <row r="27" s="281" customFormat="true" ht="15" hidden="false" customHeight="false" outlineLevel="0" collapsed="false">
      <c r="A27" s="131" t="s">
        <v>253</v>
      </c>
      <c r="B27" s="132"/>
      <c r="C27" s="132"/>
      <c r="D27" s="132"/>
      <c r="E27" s="132"/>
      <c r="F27" s="132"/>
      <c r="G27" s="132"/>
      <c r="H27" s="132"/>
      <c r="I27" s="132"/>
      <c r="J27" s="132"/>
      <c r="K27" s="133"/>
      <c r="L27" s="22"/>
    </row>
    <row r="28" customFormat="false" ht="18" hidden="false" customHeight="false" outlineLevel="0" collapsed="false">
      <c r="A28" s="319"/>
      <c r="B28" s="320"/>
      <c r="C28" s="320"/>
      <c r="D28" s="320"/>
      <c r="E28" s="320"/>
      <c r="F28" s="320"/>
      <c r="G28" s="320"/>
      <c r="H28" s="320"/>
      <c r="I28" s="320"/>
      <c r="J28" s="320"/>
      <c r="K28" s="321"/>
    </row>
    <row r="29" customFormat="false" ht="18" hidden="false" customHeight="false" outlineLevel="0" collapsed="false">
      <c r="A29" s="322"/>
      <c r="B29" s="71"/>
      <c r="C29" s="71"/>
      <c r="D29" s="71"/>
      <c r="E29" s="71"/>
      <c r="F29" s="71"/>
      <c r="G29" s="71"/>
      <c r="H29" s="71"/>
      <c r="I29" s="71"/>
      <c r="J29" s="71"/>
      <c r="K29" s="323"/>
    </row>
    <row r="30" customFormat="false" ht="18" hidden="false" customHeight="false" outlineLevel="0" collapsed="false">
      <c r="A30" s="324"/>
      <c r="B30" s="325"/>
      <c r="C30" s="325"/>
      <c r="D30" s="325"/>
      <c r="E30" s="325"/>
      <c r="F30" s="325"/>
      <c r="G30" s="325"/>
      <c r="H30" s="325"/>
      <c r="I30" s="325"/>
      <c r="J30" s="325"/>
      <c r="K30" s="326"/>
    </row>
    <row r="31" s="281" customFormat="true" ht="15" hidden="false" customHeight="false" outlineLevel="0" collapsed="false">
      <c r="A31" s="131" t="s">
        <v>264</v>
      </c>
      <c r="B31" s="132"/>
      <c r="C31" s="132"/>
      <c r="D31" s="132"/>
      <c r="E31" s="132"/>
      <c r="F31" s="132"/>
      <c r="G31" s="132"/>
      <c r="H31" s="132"/>
      <c r="I31" s="132"/>
      <c r="J31" s="132"/>
      <c r="K31" s="133"/>
      <c r="L31" s="22"/>
    </row>
    <row r="32" customFormat="false" ht="18" hidden="false" customHeight="false" outlineLevel="0" collapsed="false">
      <c r="A32" s="319"/>
      <c r="B32" s="320"/>
      <c r="C32" s="320"/>
      <c r="D32" s="320"/>
      <c r="E32" s="320"/>
      <c r="F32" s="320"/>
      <c r="G32" s="320"/>
      <c r="H32" s="320"/>
      <c r="I32" s="320"/>
      <c r="J32" s="320"/>
      <c r="K32" s="321"/>
    </row>
    <row r="33" customFormat="false" ht="18" hidden="false" customHeight="false" outlineLevel="0" collapsed="false">
      <c r="A33" s="322"/>
      <c r="B33" s="71"/>
      <c r="C33" s="71"/>
      <c r="D33" s="71"/>
      <c r="E33" s="71"/>
      <c r="F33" s="71"/>
      <c r="G33" s="71"/>
      <c r="H33" s="71"/>
      <c r="I33" s="71"/>
      <c r="J33" s="71"/>
      <c r="K33" s="323"/>
    </row>
    <row r="34" customFormat="false" ht="18" hidden="false" customHeight="false" outlineLevel="0" collapsed="false">
      <c r="A34" s="324"/>
      <c r="B34" s="325"/>
      <c r="C34" s="325"/>
      <c r="D34" s="325"/>
      <c r="E34" s="325"/>
      <c r="F34" s="325"/>
      <c r="G34" s="325"/>
      <c r="H34" s="325"/>
      <c r="I34" s="325"/>
      <c r="J34" s="325"/>
      <c r="K34" s="326"/>
    </row>
    <row r="35" s="281" customFormat="true" ht="15" hidden="false" customHeight="false" outlineLevel="0" collapsed="false">
      <c r="A35" s="131" t="s">
        <v>266</v>
      </c>
      <c r="B35" s="132"/>
      <c r="C35" s="132"/>
      <c r="D35" s="132"/>
      <c r="E35" s="132"/>
      <c r="F35" s="132"/>
      <c r="G35" s="132"/>
      <c r="H35" s="132"/>
      <c r="I35" s="132"/>
      <c r="J35" s="132"/>
      <c r="K35" s="133"/>
      <c r="L35" s="22"/>
    </row>
    <row r="36" customFormat="false" ht="15" hidden="false" customHeight="false" outlineLevel="0" collapsed="false">
      <c r="A36" s="327"/>
      <c r="B36" s="320"/>
      <c r="C36" s="320"/>
      <c r="D36" s="320"/>
      <c r="E36" s="320"/>
      <c r="F36" s="320"/>
      <c r="G36" s="320"/>
      <c r="H36" s="320"/>
      <c r="I36" s="320"/>
      <c r="J36" s="320"/>
      <c r="K36" s="321"/>
    </row>
    <row r="37" customFormat="false" ht="15" hidden="false" customHeight="false" outlineLevel="0" collapsed="false">
      <c r="A37" s="328"/>
      <c r="B37" s="71"/>
      <c r="C37" s="71"/>
      <c r="D37" s="71"/>
      <c r="E37" s="71"/>
      <c r="F37" s="71"/>
      <c r="G37" s="71"/>
      <c r="H37" s="71"/>
      <c r="I37" s="71"/>
      <c r="J37" s="71"/>
      <c r="K37" s="323"/>
    </row>
    <row r="38" customFormat="false" ht="15" hidden="false" customHeight="false" outlineLevel="0" collapsed="false">
      <c r="A38" s="329"/>
      <c r="B38" s="325"/>
      <c r="C38" s="325"/>
      <c r="D38" s="325"/>
      <c r="E38" s="325"/>
      <c r="F38" s="325"/>
      <c r="G38" s="325"/>
      <c r="H38" s="325"/>
      <c r="I38" s="325"/>
      <c r="J38" s="325"/>
      <c r="K38" s="326"/>
    </row>
    <row r="39" customFormat="false" ht="15" hidden="false" customHeight="false" outlineLevel="0" collapsed="false"/>
    <row r="40" s="281" customFormat="true" ht="18" hidden="false" customHeight="false" outlineLevel="0" collapsed="false">
      <c r="A40" s="315" t="s">
        <v>270</v>
      </c>
      <c r="B40" s="332"/>
      <c r="C40" s="332"/>
      <c r="D40" s="132"/>
      <c r="E40" s="132"/>
      <c r="F40" s="132"/>
      <c r="G40" s="132"/>
      <c r="H40" s="132"/>
      <c r="I40" s="132"/>
      <c r="J40" s="132"/>
      <c r="K40" s="133"/>
      <c r="L40" s="22"/>
    </row>
    <row r="41" customFormat="false" ht="18" hidden="false" customHeight="false" outlineLevel="0" collapsed="false">
      <c r="A41" s="334"/>
      <c r="B41" s="334"/>
      <c r="C41" s="334"/>
      <c r="D41" s="334"/>
      <c r="E41" s="334"/>
      <c r="F41" s="334"/>
      <c r="G41" s="334"/>
      <c r="H41" s="334"/>
      <c r="I41" s="334"/>
      <c r="J41" s="334"/>
      <c r="K41" s="334"/>
    </row>
    <row r="42" s="281" customFormat="true" ht="15" hidden="false" customHeight="false" outlineLevel="0" collapsed="false">
      <c r="A42" s="131" t="s">
        <v>263</v>
      </c>
      <c r="B42" s="132"/>
      <c r="C42" s="132"/>
      <c r="D42" s="132"/>
      <c r="E42" s="132"/>
      <c r="F42" s="132"/>
      <c r="G42" s="132"/>
      <c r="H42" s="132"/>
      <c r="I42" s="132"/>
      <c r="J42" s="132"/>
      <c r="K42" s="133"/>
      <c r="L42" s="22"/>
    </row>
    <row r="43" customFormat="false" ht="18" hidden="false" customHeight="false" outlineLevel="0" collapsed="false">
      <c r="A43" s="334"/>
      <c r="B43" s="334"/>
      <c r="C43" s="334"/>
      <c r="D43" s="334"/>
      <c r="E43" s="334"/>
      <c r="F43" s="334"/>
      <c r="G43" s="334"/>
      <c r="H43" s="334"/>
      <c r="I43" s="334"/>
      <c r="J43" s="334"/>
      <c r="K43" s="334"/>
    </row>
    <row r="44" s="281" customFormat="true" ht="15" hidden="false" customHeight="false" outlineLevel="0" collapsed="false">
      <c r="A44" s="131" t="s">
        <v>253</v>
      </c>
      <c r="B44" s="132"/>
      <c r="C44" s="132"/>
      <c r="D44" s="132"/>
      <c r="E44" s="132"/>
      <c r="F44" s="132"/>
      <c r="G44" s="132"/>
      <c r="H44" s="132"/>
      <c r="I44" s="132"/>
      <c r="J44" s="132"/>
      <c r="K44" s="133"/>
      <c r="L44" s="22"/>
    </row>
    <row r="45" customFormat="false" ht="15" hidden="false" customHeight="false" outlineLevel="0" collapsed="false">
      <c r="A45" s="335"/>
      <c r="B45" s="335"/>
      <c r="C45" s="335"/>
      <c r="D45" s="335"/>
      <c r="E45" s="335"/>
      <c r="F45" s="335"/>
      <c r="G45" s="335"/>
      <c r="H45" s="335"/>
      <c r="I45" s="335"/>
      <c r="J45" s="335"/>
      <c r="K45" s="335"/>
    </row>
    <row r="46" customFormat="false" ht="15" hidden="false" customHeight="false" outlineLevel="0" collapsed="false">
      <c r="A46" s="335"/>
      <c r="B46" s="335"/>
      <c r="C46" s="335"/>
      <c r="D46" s="335"/>
      <c r="E46" s="335"/>
      <c r="F46" s="335"/>
      <c r="G46" s="335"/>
      <c r="H46" s="335"/>
      <c r="I46" s="335"/>
      <c r="J46" s="335"/>
      <c r="K46" s="335"/>
    </row>
    <row r="47" customFormat="false" ht="15" hidden="false" customHeight="false" outlineLevel="0" collapsed="false">
      <c r="A47" s="335"/>
      <c r="B47" s="335"/>
      <c r="C47" s="335"/>
      <c r="D47" s="335"/>
      <c r="E47" s="335"/>
      <c r="F47" s="335"/>
      <c r="G47" s="335"/>
      <c r="H47" s="335"/>
      <c r="I47" s="335"/>
      <c r="J47" s="335"/>
      <c r="K47" s="335"/>
    </row>
    <row r="48" s="281" customFormat="true" ht="15" hidden="false" customHeight="false" outlineLevel="0" collapsed="false">
      <c r="A48" s="131" t="s">
        <v>264</v>
      </c>
      <c r="B48" s="132"/>
      <c r="C48" s="132"/>
      <c r="D48" s="132"/>
      <c r="E48" s="132"/>
      <c r="F48" s="132"/>
      <c r="G48" s="132"/>
      <c r="H48" s="132"/>
      <c r="I48" s="132"/>
      <c r="J48" s="132"/>
      <c r="K48" s="133"/>
      <c r="L48" s="22"/>
    </row>
    <row r="49" customFormat="false" ht="15" hidden="false" customHeight="false" outlineLevel="0" collapsed="false">
      <c r="A49" s="335"/>
      <c r="B49" s="335"/>
      <c r="C49" s="335"/>
      <c r="D49" s="335"/>
      <c r="E49" s="335"/>
      <c r="F49" s="335"/>
      <c r="G49" s="335"/>
      <c r="H49" s="335"/>
      <c r="I49" s="335"/>
      <c r="J49" s="335"/>
      <c r="K49" s="335"/>
    </row>
    <row r="50" customFormat="false" ht="15" hidden="false" customHeight="false" outlineLevel="0" collapsed="false">
      <c r="A50" s="335"/>
      <c r="B50" s="335"/>
      <c r="C50" s="335"/>
      <c r="D50" s="335"/>
      <c r="E50" s="335"/>
      <c r="F50" s="335"/>
      <c r="G50" s="335"/>
      <c r="H50" s="335"/>
      <c r="I50" s="335"/>
      <c r="J50" s="335"/>
      <c r="K50" s="335"/>
    </row>
    <row r="51" customFormat="false" ht="15" hidden="false" customHeight="false" outlineLevel="0" collapsed="false">
      <c r="A51" s="335"/>
      <c r="B51" s="335"/>
      <c r="C51" s="335"/>
      <c r="D51" s="335"/>
      <c r="E51" s="335"/>
      <c r="F51" s="335"/>
      <c r="G51" s="335"/>
      <c r="H51" s="335"/>
      <c r="I51" s="335"/>
      <c r="J51" s="335"/>
      <c r="K51" s="335"/>
    </row>
    <row r="52" s="281" customFormat="true" ht="15" hidden="false" customHeight="false" outlineLevel="0" collapsed="false">
      <c r="A52" s="131" t="s">
        <v>266</v>
      </c>
      <c r="B52" s="132"/>
      <c r="C52" s="132"/>
      <c r="D52" s="132"/>
      <c r="E52" s="132"/>
      <c r="F52" s="132"/>
      <c r="G52" s="132"/>
      <c r="H52" s="132"/>
      <c r="I52" s="132"/>
      <c r="J52" s="132"/>
      <c r="K52" s="133"/>
      <c r="L52" s="22"/>
    </row>
    <row r="53" customFormat="false" ht="15" hidden="false" customHeight="false" outlineLevel="0" collapsed="false">
      <c r="A53" s="336"/>
      <c r="B53" s="336"/>
      <c r="C53" s="336"/>
      <c r="D53" s="336"/>
      <c r="E53" s="336"/>
      <c r="F53" s="336"/>
      <c r="G53" s="336"/>
      <c r="H53" s="336"/>
      <c r="I53" s="336"/>
      <c r="J53" s="336"/>
      <c r="K53" s="336"/>
    </row>
    <row r="54" customFormat="false" ht="15" hidden="false" customHeight="false" outlineLevel="0" collapsed="false">
      <c r="A54" s="336"/>
      <c r="B54" s="336"/>
      <c r="C54" s="336"/>
      <c r="D54" s="336"/>
      <c r="E54" s="336"/>
      <c r="F54" s="336"/>
      <c r="G54" s="336"/>
      <c r="H54" s="336"/>
      <c r="I54" s="336"/>
      <c r="J54" s="336"/>
      <c r="K54" s="336"/>
    </row>
    <row r="55" customFormat="false" ht="15" hidden="false" customHeight="false" outlineLevel="0" collapsed="false">
      <c r="A55" s="336"/>
      <c r="B55" s="336"/>
      <c r="C55" s="336"/>
      <c r="D55" s="336"/>
      <c r="E55" s="336"/>
      <c r="F55" s="336"/>
      <c r="G55" s="336"/>
      <c r="H55" s="336"/>
      <c r="I55" s="336"/>
      <c r="J55" s="336"/>
      <c r="K55" s="336"/>
    </row>
    <row r="56" customFormat="false" ht="15" hidden="false" customHeight="false" outlineLevel="0" collapsed="false"/>
  </sheetData>
  <mergeCells count="5">
    <mergeCell ref="A41:K41"/>
    <mergeCell ref="A43:K43"/>
    <mergeCell ref="A45:K47"/>
    <mergeCell ref="A49:K51"/>
    <mergeCell ref="A53:K55"/>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5.xml><?xml version="1.0" encoding="utf-8"?>
<worksheet xmlns="http://schemas.openxmlformats.org/spreadsheetml/2006/main" xmlns:r="http://schemas.openxmlformats.org/officeDocument/2006/relationships">
  <sheetPr filterMode="false">
    <tabColor rgb="FF00FF00"/>
    <pageSetUpPr fitToPage="true"/>
  </sheetPr>
  <dimension ref="A1:Y68"/>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D20" activeCellId="0" sqref="D20"/>
    </sheetView>
  </sheetViews>
  <sheetFormatPr defaultRowHeight="15" zeroHeight="true" outlineLevelRow="0" outlineLevelCol="0"/>
  <cols>
    <col collapsed="false" customWidth="true" hidden="false" outlineLevel="0" max="11" min="1" style="4" width="15"/>
    <col collapsed="false" customWidth="true" hidden="false" outlineLevel="0" max="12" min="12" style="22" width="2"/>
    <col collapsed="false" customWidth="true" hidden="true" outlineLevel="0" max="25" min="13" style="112" width="9.14"/>
    <col collapsed="false" customWidth="true" hidden="true" outlineLevel="0" max="1025" min="26" style="4" width="9.14"/>
  </cols>
  <sheetData>
    <row r="1" customFormat="false" ht="28.5" hidden="false" customHeight="false" outlineLevel="0" collapsed="false">
      <c r="A1" s="113" t="s">
        <v>271</v>
      </c>
      <c r="B1" s="114"/>
      <c r="C1" s="114"/>
      <c r="D1" s="114"/>
      <c r="E1" s="114"/>
      <c r="F1" s="114"/>
      <c r="G1" s="114"/>
      <c r="H1" s="114"/>
      <c r="I1" s="114"/>
      <c r="J1" s="114"/>
      <c r="K1" s="115" t="s">
        <v>272</v>
      </c>
    </row>
    <row r="2" customFormat="false" ht="21" hidden="false" customHeight="false" outlineLevel="0" collapsed="false">
      <c r="A2" s="249"/>
      <c r="B2" s="250"/>
      <c r="C2" s="250"/>
      <c r="D2" s="250"/>
      <c r="E2" s="250"/>
      <c r="F2" s="250"/>
      <c r="G2" s="250"/>
      <c r="H2" s="250"/>
      <c r="I2" s="250"/>
      <c r="J2" s="250"/>
      <c r="K2" s="54"/>
    </row>
    <row r="3" customFormat="false" ht="15" hidden="false" customHeight="false" outlineLevel="0" collapsed="false">
      <c r="A3" s="52" t="s">
        <v>103</v>
      </c>
      <c r="B3" s="116"/>
      <c r="C3" s="67" t="str">
        <f aca="false">'Reference sheet'!C12</f>
        <v>TEST</v>
      </c>
      <c r="D3" s="86"/>
      <c r="E3" s="118"/>
      <c r="F3" s="48"/>
      <c r="G3" s="121" t="s">
        <v>49</v>
      </c>
      <c r="H3" s="31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row r="6" customFormat="false" ht="14.25" hidden="false" customHeight="true" outlineLevel="0" collapsed="false">
      <c r="A6" s="131" t="s">
        <v>273</v>
      </c>
      <c r="B6" s="337"/>
      <c r="C6" s="338"/>
      <c r="D6" s="332"/>
      <c r="E6" s="339"/>
      <c r="F6" s="340"/>
      <c r="G6" s="341"/>
      <c r="H6" s="342"/>
      <c r="I6" s="332"/>
      <c r="J6" s="332"/>
      <c r="K6" s="343"/>
    </row>
    <row r="7" customFormat="false" ht="14.25" hidden="false" customHeight="true" outlineLevel="0" collapsed="false">
      <c r="A7" s="327" t="s">
        <v>274</v>
      </c>
      <c r="B7" s="344"/>
      <c r="C7" s="345"/>
      <c r="D7" s="346"/>
      <c r="E7" s="347"/>
      <c r="F7" s="348"/>
      <c r="G7" s="349"/>
      <c r="H7" s="350"/>
      <c r="I7" s="351"/>
      <c r="J7" s="351"/>
      <c r="K7" s="352"/>
    </row>
    <row r="8" customFormat="false" ht="14.25" hidden="false" customHeight="true" outlineLevel="0" collapsed="false">
      <c r="A8" s="353"/>
      <c r="B8" s="354"/>
      <c r="C8" s="355"/>
      <c r="D8" s="73"/>
      <c r="E8" s="356"/>
      <c r="F8" s="357"/>
      <c r="G8" s="358"/>
      <c r="H8" s="359"/>
      <c r="I8" s="360"/>
      <c r="J8" s="360"/>
      <c r="K8" s="361"/>
    </row>
    <row r="9" customFormat="false" ht="14.25" hidden="false" customHeight="true" outlineLevel="0" collapsed="false">
      <c r="A9" s="328" t="s">
        <v>275</v>
      </c>
      <c r="B9" s="354"/>
      <c r="C9" s="355"/>
      <c r="D9" s="73"/>
      <c r="E9" s="356"/>
      <c r="F9" s="357"/>
      <c r="G9" s="358"/>
      <c r="H9" s="359"/>
      <c r="I9" s="360"/>
      <c r="J9" s="360"/>
      <c r="K9" s="361"/>
    </row>
    <row r="10" customFormat="false" ht="14.25" hidden="false" customHeight="true" outlineLevel="0" collapsed="false">
      <c r="A10" s="328"/>
      <c r="B10" s="71"/>
      <c r="C10" s="323"/>
      <c r="D10" s="73"/>
      <c r="E10" s="73"/>
      <c r="F10" s="73"/>
      <c r="G10" s="73"/>
      <c r="H10" s="73"/>
      <c r="I10" s="73"/>
      <c r="J10" s="73"/>
      <c r="K10" s="263"/>
    </row>
    <row r="11" customFormat="false" ht="14.25" hidden="false" customHeight="true" outlineLevel="0" collapsed="false">
      <c r="A11" s="328" t="s">
        <v>276</v>
      </c>
      <c r="B11" s="71"/>
      <c r="C11" s="323"/>
      <c r="D11" s="73"/>
      <c r="E11" s="73"/>
      <c r="F11" s="73"/>
      <c r="G11" s="73"/>
      <c r="H11" s="73"/>
      <c r="I11" s="73"/>
      <c r="J11" s="73"/>
      <c r="K11" s="263"/>
    </row>
    <row r="12" customFormat="false" ht="14.25" hidden="false" customHeight="true" outlineLevel="0" collapsed="false">
      <c r="A12" s="328"/>
      <c r="B12" s="71"/>
      <c r="C12" s="323"/>
      <c r="D12" s="73"/>
      <c r="E12" s="73"/>
      <c r="F12" s="73"/>
      <c r="G12" s="73"/>
      <c r="H12" s="73"/>
      <c r="I12" s="73"/>
      <c r="J12" s="73"/>
      <c r="K12" s="263"/>
    </row>
    <row r="13" customFormat="false" ht="14.25" hidden="false" customHeight="true" outlineLevel="0" collapsed="false">
      <c r="A13" s="328" t="s">
        <v>277</v>
      </c>
      <c r="B13" s="71"/>
      <c r="C13" s="323"/>
      <c r="D13" s="73"/>
      <c r="E13" s="73"/>
      <c r="F13" s="73"/>
      <c r="G13" s="73"/>
      <c r="H13" s="73"/>
      <c r="I13" s="73"/>
      <c r="J13" s="73"/>
      <c r="K13" s="263"/>
    </row>
    <row r="14" customFormat="false" ht="14.25" hidden="false" customHeight="true" outlineLevel="0" collapsed="false">
      <c r="A14" s="328"/>
      <c r="B14" s="71"/>
      <c r="C14" s="323"/>
      <c r="D14" s="73"/>
      <c r="E14" s="73"/>
      <c r="F14" s="73"/>
      <c r="G14" s="73"/>
      <c r="H14" s="73"/>
      <c r="I14" s="73"/>
      <c r="J14" s="73"/>
      <c r="K14" s="263"/>
    </row>
    <row r="15" customFormat="false" ht="14.25" hidden="false" customHeight="true" outlineLevel="0" collapsed="false">
      <c r="A15" s="328" t="s">
        <v>278</v>
      </c>
      <c r="B15" s="71"/>
      <c r="C15" s="323"/>
      <c r="D15" s="73"/>
      <c r="E15" s="73"/>
      <c r="F15" s="73"/>
      <c r="G15" s="73"/>
      <c r="H15" s="73"/>
      <c r="I15" s="73"/>
      <c r="J15" s="73"/>
      <c r="K15" s="263"/>
    </row>
    <row r="16" customFormat="false" ht="14.25" hidden="false" customHeight="true" outlineLevel="0" collapsed="false">
      <c r="A16" s="328"/>
      <c r="B16" s="71"/>
      <c r="C16" s="323"/>
      <c r="D16" s="73"/>
      <c r="E16" s="73"/>
      <c r="F16" s="73"/>
      <c r="G16" s="73"/>
      <c r="H16" s="73"/>
      <c r="I16" s="73"/>
      <c r="J16" s="73"/>
      <c r="K16" s="263"/>
    </row>
    <row r="17" customFormat="false" ht="14.25" hidden="false" customHeight="true" outlineLevel="0" collapsed="false">
      <c r="A17" s="328" t="s">
        <v>279</v>
      </c>
      <c r="B17" s="71"/>
      <c r="C17" s="323"/>
      <c r="D17" s="73"/>
      <c r="E17" s="73"/>
      <c r="F17" s="73"/>
      <c r="G17" s="73"/>
      <c r="H17" s="73"/>
      <c r="I17" s="73"/>
      <c r="J17" s="73"/>
      <c r="K17" s="263"/>
    </row>
    <row r="18" customFormat="false" ht="14.25" hidden="false" customHeight="true" outlineLevel="0" collapsed="false">
      <c r="A18" s="329"/>
      <c r="B18" s="325"/>
      <c r="C18" s="326"/>
      <c r="D18" s="161"/>
      <c r="E18" s="161"/>
      <c r="F18" s="161"/>
      <c r="G18" s="161"/>
      <c r="H18" s="161"/>
      <c r="I18" s="161"/>
      <c r="J18" s="161"/>
      <c r="K18" s="267"/>
    </row>
    <row r="19" customFormat="false" ht="14.25" hidden="false" customHeight="true" outlineLevel="0" collapsed="false">
      <c r="A19" s="362"/>
      <c r="B19" s="363"/>
      <c r="C19" s="364"/>
      <c r="D19" s="365"/>
      <c r="E19" s="366"/>
      <c r="F19" s="367"/>
      <c r="G19" s="368"/>
      <c r="H19" s="369"/>
      <c r="I19" s="365"/>
      <c r="J19" s="365"/>
      <c r="K19" s="370"/>
    </row>
    <row r="20" s="314" customFormat="true" ht="15" hidden="false" customHeight="false" outlineLevel="0" collapsed="false">
      <c r="A20" s="131" t="s">
        <v>280</v>
      </c>
      <c r="B20" s="132"/>
      <c r="C20" s="371"/>
      <c r="D20" s="371"/>
      <c r="E20" s="371"/>
      <c r="F20" s="371"/>
      <c r="G20" s="371"/>
      <c r="H20" s="371"/>
      <c r="I20" s="371"/>
      <c r="J20" s="371"/>
      <c r="K20" s="372"/>
      <c r="L20" s="373"/>
      <c r="M20" s="374"/>
      <c r="N20" s="374"/>
      <c r="O20" s="374"/>
      <c r="P20" s="374"/>
      <c r="Q20" s="374"/>
      <c r="R20" s="374"/>
      <c r="S20" s="374"/>
      <c r="T20" s="374"/>
      <c r="U20" s="374"/>
      <c r="V20" s="374"/>
      <c r="W20" s="374"/>
      <c r="X20" s="374"/>
      <c r="Y20" s="374"/>
    </row>
    <row r="21" customFormat="false" ht="18.75" hidden="false" customHeight="false" outlineLevel="0" collapsed="false">
      <c r="A21" s="375"/>
      <c r="B21" s="320"/>
      <c r="C21" s="376"/>
      <c r="D21" s="376"/>
      <c r="E21" s="376"/>
      <c r="F21" s="376"/>
      <c r="G21" s="376"/>
      <c r="H21" s="376"/>
      <c r="I21" s="376"/>
      <c r="J21" s="376"/>
      <c r="K21" s="377"/>
    </row>
    <row r="22" customFormat="false" ht="15" hidden="false" customHeight="false" outlineLevel="0" collapsed="false">
      <c r="A22" s="353"/>
      <c r="B22" s="71"/>
      <c r="C22" s="378"/>
      <c r="D22" s="378"/>
      <c r="E22" s="378"/>
      <c r="F22" s="378"/>
      <c r="G22" s="378"/>
      <c r="H22" s="378"/>
      <c r="I22" s="378"/>
      <c r="J22" s="378"/>
      <c r="K22" s="379"/>
    </row>
    <row r="23" customFormat="false" ht="15" hidden="false" customHeight="false" outlineLevel="0" collapsed="false">
      <c r="A23" s="353"/>
      <c r="B23" s="71"/>
      <c r="C23" s="378"/>
      <c r="D23" s="378"/>
      <c r="E23" s="378"/>
      <c r="F23" s="378"/>
      <c r="G23" s="378"/>
      <c r="H23" s="378"/>
      <c r="I23" s="378"/>
      <c r="J23" s="378"/>
      <c r="K23" s="379"/>
    </row>
    <row r="24" customFormat="false" ht="15" hidden="false" customHeight="false" outlineLevel="0" collapsed="false">
      <c r="A24" s="353"/>
      <c r="B24" s="71"/>
      <c r="C24" s="378"/>
      <c r="D24" s="380"/>
      <c r="E24" s="378"/>
      <c r="F24" s="378"/>
      <c r="G24" s="378"/>
      <c r="H24" s="378"/>
      <c r="I24" s="378"/>
      <c r="J24" s="378"/>
      <c r="K24" s="379"/>
    </row>
    <row r="25" customFormat="false" ht="15" hidden="false" customHeight="false" outlineLevel="0" collapsed="false">
      <c r="A25" s="328"/>
      <c r="B25" s="71"/>
      <c r="C25" s="71"/>
      <c r="D25" s="71"/>
      <c r="E25" s="71"/>
      <c r="F25" s="71"/>
      <c r="G25" s="71"/>
      <c r="H25" s="71"/>
      <c r="I25" s="71"/>
      <c r="J25" s="71"/>
      <c r="K25" s="323"/>
    </row>
    <row r="26" customFormat="false" ht="15" hidden="false" customHeight="false" outlineLevel="0" collapsed="false">
      <c r="A26" s="328"/>
      <c r="B26" s="71"/>
      <c r="C26" s="71"/>
      <c r="D26" s="71"/>
      <c r="E26" s="71"/>
      <c r="F26" s="71"/>
      <c r="G26" s="71"/>
      <c r="H26" s="71"/>
      <c r="I26" s="71"/>
      <c r="J26" s="71"/>
      <c r="K26" s="323"/>
    </row>
    <row r="27" customFormat="false" ht="15" hidden="false" customHeight="false" outlineLevel="0" collapsed="false">
      <c r="A27" s="328"/>
      <c r="B27" s="71"/>
      <c r="C27" s="71"/>
      <c r="D27" s="71"/>
      <c r="E27" s="71"/>
      <c r="F27" s="71"/>
      <c r="G27" s="71"/>
      <c r="H27" s="71"/>
      <c r="I27" s="71"/>
      <c r="J27" s="71"/>
      <c r="K27" s="323"/>
    </row>
    <row r="28" customFormat="false" ht="15" hidden="false" customHeight="false" outlineLevel="0" collapsed="false">
      <c r="A28" s="328"/>
      <c r="B28" s="71"/>
      <c r="C28" s="71"/>
      <c r="D28" s="71"/>
      <c r="E28" s="71"/>
      <c r="F28" s="71"/>
      <c r="G28" s="71"/>
      <c r="H28" s="71"/>
      <c r="I28" s="71"/>
      <c r="J28" s="71"/>
      <c r="K28" s="323"/>
    </row>
    <row r="29" customFormat="false" ht="15" hidden="false" customHeight="false" outlineLevel="0" collapsed="false">
      <c r="A29" s="328"/>
      <c r="B29" s="71"/>
      <c r="C29" s="71"/>
      <c r="D29" s="71"/>
      <c r="E29" s="71"/>
      <c r="F29" s="71"/>
      <c r="G29" s="71"/>
      <c r="H29" s="71"/>
      <c r="I29" s="71"/>
      <c r="J29" s="71"/>
      <c r="K29" s="323"/>
    </row>
    <row r="30" customFormat="false" ht="15" hidden="false" customHeight="false" outlineLevel="0" collapsed="false">
      <c r="A30" s="329"/>
      <c r="B30" s="325"/>
      <c r="C30" s="325"/>
      <c r="D30" s="325"/>
      <c r="E30" s="325"/>
      <c r="F30" s="325"/>
      <c r="G30" s="325"/>
      <c r="H30" s="325"/>
      <c r="I30" s="325"/>
      <c r="J30" s="325"/>
      <c r="K30" s="326"/>
    </row>
    <row r="31" customFormat="false" ht="15" hidden="false" customHeight="false" outlineLevel="0" collapsed="false">
      <c r="K31" s="257"/>
    </row>
    <row r="32" customFormat="false" ht="15" hidden="false" customHeight="false" outlineLevel="0" collapsed="false">
      <c r="A32" s="131" t="s">
        <v>281</v>
      </c>
      <c r="B32" s="132"/>
      <c r="C32" s="132"/>
      <c r="D32" s="132"/>
      <c r="E32" s="132"/>
      <c r="F32" s="132"/>
      <c r="G32" s="132"/>
      <c r="H32" s="132"/>
      <c r="I32" s="132"/>
      <c r="J32" s="132"/>
      <c r="K32" s="133"/>
    </row>
    <row r="33" customFormat="false" ht="15" hidden="false" customHeight="false" outlineLevel="0" collapsed="false">
      <c r="A33" s="327"/>
      <c r="B33" s="320"/>
      <c r="C33" s="320"/>
      <c r="D33" s="320"/>
      <c r="E33" s="320"/>
      <c r="F33" s="320"/>
      <c r="G33" s="320"/>
      <c r="H33" s="320"/>
      <c r="I33" s="320"/>
      <c r="J33" s="320"/>
      <c r="K33" s="321"/>
    </row>
    <row r="34" customFormat="false" ht="15" hidden="false" customHeight="false" outlineLevel="0" collapsed="false">
      <c r="A34" s="328"/>
      <c r="B34" s="71"/>
      <c r="C34" s="71"/>
      <c r="D34" s="71"/>
      <c r="E34" s="71"/>
      <c r="F34" s="71"/>
      <c r="G34" s="71"/>
      <c r="H34" s="71"/>
      <c r="I34" s="71"/>
      <c r="J34" s="71"/>
      <c r="K34" s="323"/>
    </row>
    <row r="35" customFormat="false" ht="15" hidden="false" customHeight="false" outlineLevel="0" collapsed="false">
      <c r="A35" s="328"/>
      <c r="B35" s="71"/>
      <c r="C35" s="71"/>
      <c r="D35" s="71"/>
      <c r="E35" s="71"/>
      <c r="F35" s="71"/>
      <c r="G35" s="71"/>
      <c r="H35" s="71"/>
      <c r="I35" s="71"/>
      <c r="J35" s="71"/>
      <c r="K35" s="323"/>
    </row>
    <row r="36" customFormat="false" ht="15" hidden="false" customHeight="false" outlineLevel="0" collapsed="false">
      <c r="A36" s="329"/>
      <c r="B36" s="325"/>
      <c r="C36" s="325"/>
      <c r="D36" s="325"/>
      <c r="E36" s="325"/>
      <c r="F36" s="325"/>
      <c r="G36" s="325"/>
      <c r="H36" s="325"/>
      <c r="I36" s="325"/>
      <c r="J36" s="325"/>
      <c r="K36" s="326"/>
    </row>
    <row r="37" customFormat="false" ht="15" hidden="false" customHeight="false" outlineLevel="0" collapsed="false">
      <c r="K37" s="257"/>
    </row>
    <row r="38" s="281" customFormat="true" ht="15" hidden="false" customHeight="false" outlineLevel="0" collapsed="false">
      <c r="A38" s="131" t="s">
        <v>282</v>
      </c>
      <c r="B38" s="132"/>
      <c r="C38" s="132"/>
      <c r="D38" s="132"/>
      <c r="E38" s="132"/>
      <c r="F38" s="132"/>
      <c r="G38" s="132"/>
      <c r="H38" s="132"/>
      <c r="I38" s="132"/>
      <c r="J38" s="132"/>
      <c r="K38" s="133"/>
      <c r="L38" s="22"/>
    </row>
    <row r="39" customFormat="false" ht="15" hidden="false" customHeight="false" outlineLevel="0" collapsed="false">
      <c r="A39" s="327"/>
      <c r="B39" s="320"/>
      <c r="C39" s="320"/>
      <c r="D39" s="320"/>
      <c r="E39" s="320"/>
      <c r="F39" s="320"/>
      <c r="G39" s="320"/>
      <c r="H39" s="320"/>
      <c r="I39" s="320"/>
      <c r="J39" s="320"/>
      <c r="K39" s="321"/>
    </row>
    <row r="40" customFormat="false" ht="15" hidden="false" customHeight="false" outlineLevel="0" collapsed="false">
      <c r="A40" s="328"/>
      <c r="B40" s="71"/>
      <c r="C40" s="71"/>
      <c r="D40" s="71"/>
      <c r="E40" s="71"/>
      <c r="F40" s="71"/>
      <c r="G40" s="71"/>
      <c r="H40" s="71"/>
      <c r="I40" s="71"/>
      <c r="J40" s="71"/>
      <c r="K40" s="323"/>
    </row>
    <row r="41" customFormat="false" ht="15" hidden="false" customHeight="false" outlineLevel="0" collapsed="false">
      <c r="A41" s="328"/>
      <c r="B41" s="71"/>
      <c r="C41" s="71"/>
      <c r="D41" s="71"/>
      <c r="E41" s="71"/>
      <c r="F41" s="71"/>
      <c r="G41" s="71"/>
      <c r="H41" s="71"/>
      <c r="I41" s="71"/>
      <c r="J41" s="71"/>
      <c r="K41" s="323"/>
    </row>
    <row r="42" customFormat="false" ht="15" hidden="false" customHeight="false" outlineLevel="0" collapsed="false">
      <c r="A42" s="329"/>
      <c r="B42" s="325"/>
      <c r="C42" s="325"/>
      <c r="D42" s="325"/>
      <c r="E42" s="325"/>
      <c r="F42" s="325"/>
      <c r="G42" s="325"/>
      <c r="H42" s="325"/>
      <c r="I42" s="325"/>
      <c r="J42" s="325"/>
      <c r="K42" s="326"/>
    </row>
    <row r="43" customFormat="false" ht="15" hidden="false" customHeight="false" outlineLevel="0" collapsed="false"/>
    <row r="44" customFormat="false" ht="15" hidden="false" customHeight="false" outlineLevel="0" collapsed="false">
      <c r="A44" s="131" t="s">
        <v>283</v>
      </c>
      <c r="B44" s="132"/>
      <c r="C44" s="132"/>
      <c r="D44" s="132"/>
      <c r="E44" s="132"/>
      <c r="F44" s="132"/>
      <c r="G44" s="132"/>
      <c r="H44" s="132"/>
      <c r="I44" s="132"/>
      <c r="J44" s="132"/>
      <c r="K44" s="133"/>
    </row>
    <row r="45" customFormat="false" ht="15" hidden="false" customHeight="false" outlineLevel="0" collapsed="false">
      <c r="A45" s="327"/>
      <c r="B45" s="320"/>
      <c r="C45" s="320"/>
      <c r="D45" s="320"/>
      <c r="E45" s="320"/>
      <c r="F45" s="320"/>
      <c r="G45" s="320"/>
      <c r="H45" s="320"/>
      <c r="I45" s="320"/>
      <c r="J45" s="320"/>
      <c r="K45" s="321"/>
    </row>
    <row r="46" customFormat="false" ht="15" hidden="false" customHeight="false" outlineLevel="0" collapsed="false">
      <c r="A46" s="328"/>
      <c r="B46" s="71"/>
      <c r="C46" s="71"/>
      <c r="D46" s="71"/>
      <c r="E46" s="71"/>
      <c r="F46" s="71"/>
      <c r="G46" s="71"/>
      <c r="H46" s="71"/>
      <c r="I46" s="71"/>
      <c r="J46" s="71"/>
      <c r="K46" s="323"/>
    </row>
    <row r="47" customFormat="false" ht="15" hidden="false" customHeight="false" outlineLevel="0" collapsed="false">
      <c r="A47" s="328"/>
      <c r="B47" s="71"/>
      <c r="C47" s="71"/>
      <c r="D47" s="71"/>
      <c r="E47" s="71"/>
      <c r="F47" s="71"/>
      <c r="G47" s="71"/>
      <c r="H47" s="71"/>
      <c r="I47" s="71"/>
      <c r="J47" s="71"/>
      <c r="K47" s="323"/>
    </row>
    <row r="48" customFormat="false" ht="15" hidden="false" customHeight="false" outlineLevel="0" collapsed="false">
      <c r="A48" s="328"/>
      <c r="B48" s="71"/>
      <c r="C48" s="71"/>
      <c r="D48" s="71"/>
      <c r="E48" s="71"/>
      <c r="F48" s="71"/>
      <c r="G48" s="71"/>
      <c r="H48" s="71"/>
      <c r="I48" s="71"/>
      <c r="J48" s="71"/>
      <c r="K48" s="323"/>
    </row>
    <row r="49" customFormat="false" ht="15" hidden="false" customHeight="false" outlineLevel="0" collapsed="false">
      <c r="A49" s="328"/>
      <c r="B49" s="71"/>
      <c r="C49" s="71"/>
      <c r="D49" s="71"/>
      <c r="E49" s="71"/>
      <c r="F49" s="71"/>
      <c r="G49" s="71"/>
      <c r="H49" s="71"/>
      <c r="I49" s="71"/>
      <c r="J49" s="71"/>
      <c r="K49" s="323"/>
    </row>
    <row r="50" customFormat="false" ht="15" hidden="false" customHeight="false" outlineLevel="0" collapsed="false">
      <c r="A50" s="328"/>
      <c r="B50" s="71"/>
      <c r="C50" s="71"/>
      <c r="D50" s="71"/>
      <c r="E50" s="71"/>
      <c r="F50" s="71"/>
      <c r="G50" s="71"/>
      <c r="H50" s="71"/>
      <c r="I50" s="71"/>
      <c r="J50" s="71"/>
      <c r="K50" s="323"/>
    </row>
    <row r="51" customFormat="false" ht="15" hidden="false" customHeight="false" outlineLevel="0" collapsed="false">
      <c r="A51" s="328"/>
      <c r="B51" s="71"/>
      <c r="C51" s="71"/>
      <c r="D51" s="71"/>
      <c r="E51" s="71"/>
      <c r="F51" s="71"/>
      <c r="G51" s="71"/>
      <c r="H51" s="71"/>
      <c r="I51" s="71"/>
      <c r="J51" s="71"/>
      <c r="K51" s="323"/>
    </row>
    <row r="52" customFormat="false" ht="15" hidden="false" customHeight="false" outlineLevel="0" collapsed="false">
      <c r="A52" s="328"/>
      <c r="B52" s="71"/>
      <c r="C52" s="71"/>
      <c r="D52" s="71"/>
      <c r="E52" s="71"/>
      <c r="F52" s="71"/>
      <c r="G52" s="71"/>
      <c r="H52" s="71"/>
      <c r="I52" s="71"/>
      <c r="J52" s="71"/>
      <c r="K52" s="323"/>
    </row>
    <row r="53" customFormat="false" ht="15" hidden="false" customHeight="false" outlineLevel="0" collapsed="false">
      <c r="A53" s="328"/>
      <c r="B53" s="71"/>
      <c r="C53" s="71"/>
      <c r="D53" s="71"/>
      <c r="E53" s="71"/>
      <c r="F53" s="71"/>
      <c r="G53" s="71"/>
      <c r="H53" s="71"/>
      <c r="I53" s="71"/>
      <c r="J53" s="71"/>
      <c r="K53" s="323"/>
    </row>
    <row r="54" customFormat="false" ht="15" hidden="false" customHeight="false" outlineLevel="0" collapsed="false">
      <c r="A54" s="328"/>
      <c r="B54" s="71"/>
      <c r="C54" s="71"/>
      <c r="D54" s="71"/>
      <c r="E54" s="71"/>
      <c r="F54" s="71"/>
      <c r="G54" s="71"/>
      <c r="H54" s="71"/>
      <c r="I54" s="71"/>
      <c r="J54" s="71"/>
      <c r="K54" s="323"/>
    </row>
    <row r="55" customFormat="false" ht="15" hidden="false" customHeight="false" outlineLevel="0" collapsed="false">
      <c r="A55" s="328"/>
      <c r="B55" s="71"/>
      <c r="C55" s="71"/>
      <c r="D55" s="71"/>
      <c r="E55" s="71"/>
      <c r="F55" s="71"/>
      <c r="G55" s="71"/>
      <c r="H55" s="71"/>
      <c r="I55" s="71"/>
      <c r="J55" s="71"/>
      <c r="K55" s="323"/>
    </row>
    <row r="56" customFormat="false" ht="15" hidden="false" customHeight="false" outlineLevel="0" collapsed="false">
      <c r="A56" s="328"/>
      <c r="B56" s="71"/>
      <c r="C56" s="71"/>
      <c r="D56" s="71"/>
      <c r="E56" s="71"/>
      <c r="F56" s="71"/>
      <c r="G56" s="71"/>
      <c r="H56" s="71"/>
      <c r="I56" s="71"/>
      <c r="J56" s="71"/>
      <c r="K56" s="323"/>
    </row>
    <row r="57" customFormat="false" ht="15" hidden="false" customHeight="false" outlineLevel="0" collapsed="false">
      <c r="A57" s="328"/>
      <c r="B57" s="71"/>
      <c r="C57" s="71"/>
      <c r="D57" s="71"/>
      <c r="E57" s="71"/>
      <c r="F57" s="71"/>
      <c r="G57" s="71"/>
      <c r="H57" s="71"/>
      <c r="I57" s="71"/>
      <c r="J57" s="71"/>
      <c r="K57" s="323"/>
    </row>
    <row r="58" customFormat="false" ht="15" hidden="false" customHeight="false" outlineLevel="0" collapsed="false">
      <c r="A58" s="328"/>
      <c r="B58" s="71"/>
      <c r="C58" s="71"/>
      <c r="D58" s="71"/>
      <c r="E58" s="71"/>
      <c r="F58" s="71"/>
      <c r="G58" s="71"/>
      <c r="H58" s="71"/>
      <c r="I58" s="71"/>
      <c r="J58" s="71"/>
      <c r="K58" s="323"/>
    </row>
    <row r="59" customFormat="false" ht="15" hidden="false" customHeight="false" outlineLevel="0" collapsed="false">
      <c r="A59" s="328"/>
      <c r="B59" s="71"/>
      <c r="C59" s="71"/>
      <c r="D59" s="71"/>
      <c r="E59" s="71"/>
      <c r="F59" s="71"/>
      <c r="G59" s="71"/>
      <c r="H59" s="71"/>
      <c r="I59" s="71"/>
      <c r="J59" s="71"/>
      <c r="K59" s="323"/>
    </row>
    <row r="60" customFormat="false" ht="15" hidden="false" customHeight="false" outlineLevel="0" collapsed="false">
      <c r="A60" s="328"/>
      <c r="B60" s="71"/>
      <c r="C60" s="71"/>
      <c r="D60" s="71"/>
      <c r="E60" s="71"/>
      <c r="F60" s="71"/>
      <c r="G60" s="71"/>
      <c r="H60" s="71"/>
      <c r="I60" s="71"/>
      <c r="J60" s="71"/>
      <c r="K60" s="323"/>
    </row>
    <row r="61" customFormat="false" ht="15" hidden="false" customHeight="false" outlineLevel="0" collapsed="false">
      <c r="A61" s="328"/>
      <c r="B61" s="71"/>
      <c r="C61" s="71"/>
      <c r="D61" s="71"/>
      <c r="E61" s="71"/>
      <c r="F61" s="71"/>
      <c r="G61" s="71"/>
      <c r="H61" s="71"/>
      <c r="I61" s="71"/>
      <c r="J61" s="71"/>
      <c r="K61" s="323"/>
    </row>
    <row r="62" customFormat="false" ht="15" hidden="false" customHeight="false" outlineLevel="0" collapsed="false">
      <c r="A62" s="328"/>
      <c r="B62" s="71"/>
      <c r="C62" s="71"/>
      <c r="D62" s="71"/>
      <c r="E62" s="71"/>
      <c r="F62" s="71"/>
      <c r="G62" s="71"/>
      <c r="H62" s="71"/>
      <c r="I62" s="71"/>
      <c r="J62" s="71"/>
      <c r="K62" s="323"/>
    </row>
    <row r="63" customFormat="false" ht="15" hidden="false" customHeight="false" outlineLevel="0" collapsed="false">
      <c r="A63" s="328"/>
      <c r="B63" s="71"/>
      <c r="C63" s="71"/>
      <c r="D63" s="71"/>
      <c r="E63" s="71"/>
      <c r="F63" s="71"/>
      <c r="G63" s="71"/>
      <c r="H63" s="71"/>
      <c r="I63" s="71"/>
      <c r="J63" s="71"/>
      <c r="K63" s="323"/>
    </row>
    <row r="64" customFormat="false" ht="15" hidden="false" customHeight="false" outlineLevel="0" collapsed="false">
      <c r="A64" s="328"/>
      <c r="B64" s="71"/>
      <c r="C64" s="71"/>
      <c r="D64" s="71"/>
      <c r="E64" s="71"/>
      <c r="F64" s="71"/>
      <c r="G64" s="71"/>
      <c r="H64" s="71"/>
      <c r="I64" s="71"/>
      <c r="J64" s="71"/>
      <c r="K64" s="323"/>
    </row>
    <row r="65" customFormat="false" ht="15" hidden="false" customHeight="false" outlineLevel="0" collapsed="false">
      <c r="A65" s="329"/>
      <c r="B65" s="325"/>
      <c r="C65" s="325"/>
      <c r="D65" s="325"/>
      <c r="E65" s="325"/>
      <c r="F65" s="325"/>
      <c r="G65" s="325"/>
      <c r="H65" s="325"/>
      <c r="I65" s="325"/>
      <c r="J65" s="325"/>
      <c r="K65" s="326"/>
    </row>
    <row r="68"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true"/>
  </sheetPr>
  <dimension ref="A1:X111"/>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K21" activeCellId="0" sqref="K21"/>
    </sheetView>
  </sheetViews>
  <sheetFormatPr defaultRowHeight="15" zeroHeight="true" outlineLevelRow="0" outlineLevelCol="0"/>
  <cols>
    <col collapsed="false" customWidth="true" hidden="false" outlineLevel="0" max="1" min="1" style="52" width="2.71"/>
    <col collapsed="false" customWidth="false" hidden="false" outlineLevel="0" max="2" min="2" style="48" width="11.57"/>
    <col collapsed="false" customWidth="true" hidden="false" outlineLevel="0" max="4" min="3" style="16" width="2.71"/>
    <col collapsed="false" customWidth="true" hidden="false" outlineLevel="0" max="20" min="5" style="48" width="7.29"/>
    <col collapsed="false" customWidth="true" hidden="false" outlineLevel="0" max="21" min="21" style="48" width="10.99"/>
    <col collapsed="false" customWidth="true" hidden="false" outlineLevel="0" max="22" min="22" style="48" width="5.14"/>
    <col collapsed="false" customWidth="true" hidden="false" outlineLevel="0" max="23" min="23" style="54" width="3.42"/>
    <col collapsed="false" customWidth="true" hidden="false" outlineLevel="0" max="24" min="24" style="4" width="0.42"/>
    <col collapsed="false" customWidth="true" hidden="true" outlineLevel="0" max="250" min="25" style="4" width="9.14"/>
    <col collapsed="false" customWidth="false" hidden="true" outlineLevel="0" max="1025" min="251" style="4" width="11.52"/>
  </cols>
  <sheetData>
    <row r="1" customFormat="false" ht="15" hidden="false" customHeight="false" outlineLevel="0" collapsed="false">
      <c r="A1" s="381"/>
      <c r="B1" s="93"/>
      <c r="C1" s="93"/>
      <c r="D1" s="93"/>
      <c r="E1" s="93"/>
      <c r="F1" s="93"/>
      <c r="G1" s="93"/>
      <c r="H1" s="93"/>
      <c r="I1" s="93"/>
      <c r="J1" s="93"/>
      <c r="K1" s="93"/>
      <c r="L1" s="93"/>
      <c r="M1" s="93"/>
      <c r="N1" s="93"/>
      <c r="O1" s="93"/>
      <c r="P1" s="93"/>
      <c r="Q1" s="93"/>
      <c r="R1" s="93"/>
      <c r="S1" s="93"/>
      <c r="T1" s="93"/>
      <c r="U1" s="93"/>
      <c r="V1" s="93"/>
      <c r="W1" s="94"/>
      <c r="X1" s="22"/>
    </row>
    <row r="2" customFormat="false" ht="34.5" hidden="false" customHeight="true" outlineLevel="0" collapsed="false">
      <c r="A2" s="104"/>
      <c r="B2" s="105"/>
      <c r="C2" s="105"/>
      <c r="D2" s="105"/>
      <c r="E2" s="105"/>
      <c r="F2" s="105"/>
      <c r="G2" s="105"/>
      <c r="H2" s="105"/>
      <c r="I2" s="105"/>
      <c r="J2" s="105"/>
      <c r="K2" s="105"/>
      <c r="L2" s="105"/>
      <c r="M2" s="105"/>
      <c r="N2" s="105"/>
      <c r="O2" s="105"/>
      <c r="P2" s="105"/>
      <c r="Q2" s="105"/>
      <c r="R2" s="105"/>
      <c r="S2" s="105"/>
      <c r="T2" s="105"/>
      <c r="U2" s="382"/>
      <c r="V2" s="105"/>
      <c r="W2" s="108"/>
      <c r="X2" s="22"/>
    </row>
    <row r="3" customFormat="false" ht="28.5" hidden="false" customHeight="false" outlineLevel="0" collapsed="false">
      <c r="A3" s="383" t="s">
        <v>284</v>
      </c>
      <c r="B3" s="384"/>
      <c r="C3" s="384"/>
      <c r="D3" s="384"/>
      <c r="E3" s="384"/>
      <c r="F3" s="384"/>
      <c r="G3" s="384"/>
      <c r="H3" s="384"/>
      <c r="I3" s="384"/>
      <c r="J3" s="384"/>
      <c r="K3" s="384"/>
      <c r="L3" s="384"/>
      <c r="M3" s="384"/>
      <c r="N3" s="384"/>
      <c r="O3" s="384"/>
      <c r="P3" s="384"/>
      <c r="Q3" s="384"/>
      <c r="R3" s="384"/>
      <c r="S3" s="384"/>
      <c r="T3" s="384"/>
      <c r="U3" s="385"/>
      <c r="V3" s="386" t="s">
        <v>285</v>
      </c>
      <c r="W3" s="387"/>
      <c r="X3" s="22"/>
    </row>
    <row r="4" customFormat="false" ht="15" hidden="false" customHeight="true" outlineLevel="0" collapsed="false">
      <c r="X4" s="22"/>
    </row>
    <row r="5" s="314" customFormat="true" ht="18.75" hidden="false" customHeight="false" outlineLevel="0" collapsed="false">
      <c r="A5" s="388"/>
      <c r="B5" s="389" t="s">
        <v>286</v>
      </c>
      <c r="C5" s="390"/>
      <c r="D5" s="390"/>
      <c r="E5" s="390"/>
      <c r="F5" s="390"/>
      <c r="G5" s="390"/>
      <c r="H5" s="390"/>
      <c r="I5" s="390"/>
      <c r="J5" s="389"/>
      <c r="K5" s="390"/>
      <c r="L5" s="391"/>
      <c r="M5" s="391"/>
      <c r="N5" s="391"/>
      <c r="O5" s="392"/>
      <c r="P5" s="392"/>
      <c r="Q5" s="392"/>
      <c r="R5" s="392"/>
      <c r="S5" s="392"/>
      <c r="T5" s="392"/>
      <c r="U5" s="392"/>
      <c r="V5" s="392"/>
      <c r="W5" s="393"/>
      <c r="X5" s="373"/>
    </row>
    <row r="6" s="48" customFormat="true" ht="18.75" hidden="false" customHeight="false" outlineLevel="0" collapsed="false">
      <c r="A6" s="134"/>
      <c r="B6" s="394"/>
      <c r="C6" s="395"/>
      <c r="D6" s="395"/>
      <c r="E6" s="395"/>
      <c r="F6" s="395"/>
      <c r="G6" s="395"/>
      <c r="H6" s="395"/>
      <c r="I6" s="395"/>
      <c r="J6" s="394"/>
      <c r="K6" s="395"/>
      <c r="L6" s="396"/>
      <c r="M6" s="396"/>
      <c r="N6" s="396"/>
      <c r="O6" s="86"/>
      <c r="P6" s="86"/>
      <c r="Q6" s="86"/>
      <c r="R6" s="86"/>
      <c r="S6" s="86"/>
      <c r="T6" s="86"/>
      <c r="U6" s="86"/>
      <c r="V6" s="86"/>
      <c r="W6" s="80"/>
      <c r="X6" s="16"/>
    </row>
    <row r="7" customFormat="false" ht="15" hidden="false" customHeight="false" outlineLevel="0" collapsed="false">
      <c r="E7" s="397" t="s">
        <v>287</v>
      </c>
      <c r="F7" s="397"/>
      <c r="G7" s="397"/>
      <c r="H7" s="397"/>
      <c r="I7" s="397"/>
      <c r="J7" s="397"/>
      <c r="K7" s="397"/>
      <c r="L7" s="397"/>
      <c r="M7" s="397"/>
      <c r="N7" s="397"/>
      <c r="O7" s="397"/>
      <c r="P7" s="397"/>
      <c r="Q7" s="397"/>
      <c r="R7" s="397"/>
      <c r="S7" s="397"/>
      <c r="T7" s="397"/>
      <c r="X7" s="22"/>
    </row>
    <row r="8" customFormat="false" ht="15" hidden="false" customHeight="false" outlineLevel="0" collapsed="false">
      <c r="B8" s="398"/>
      <c r="C8" s="399"/>
      <c r="D8" s="48"/>
      <c r="E8" s="400" t="s">
        <v>288</v>
      </c>
      <c r="F8" s="400"/>
      <c r="G8" s="400"/>
      <c r="H8" s="400"/>
      <c r="I8" s="400"/>
      <c r="J8" s="400"/>
      <c r="K8" s="401" t="s">
        <v>289</v>
      </c>
      <c r="L8" s="401"/>
      <c r="M8" s="401"/>
      <c r="N8" s="401"/>
      <c r="O8" s="401"/>
      <c r="P8" s="401"/>
      <c r="Q8" s="401"/>
      <c r="R8" s="401"/>
      <c r="S8" s="401"/>
      <c r="T8" s="401"/>
      <c r="X8" s="22"/>
    </row>
    <row r="9" customFormat="false" ht="15" hidden="false" customHeight="false" outlineLevel="0" collapsed="false">
      <c r="B9" s="402" t="s">
        <v>290</v>
      </c>
      <c r="C9" s="403"/>
      <c r="D9" s="48"/>
      <c r="E9" s="404" t="n">
        <f aca="false">G9-1</f>
        <v>2017</v>
      </c>
      <c r="F9" s="404"/>
      <c r="G9" s="404" t="n">
        <f aca="false">I9-1</f>
        <v>2018</v>
      </c>
      <c r="H9" s="404"/>
      <c r="I9" s="404" t="n">
        <f aca="false">K9-1</f>
        <v>2019</v>
      </c>
      <c r="J9" s="404"/>
      <c r="K9" s="405" t="n">
        <v>2020</v>
      </c>
      <c r="L9" s="405"/>
      <c r="M9" s="405" t="n">
        <f aca="false">K9+1</f>
        <v>2021</v>
      </c>
      <c r="N9" s="405" t="n">
        <f aca="false">K9+1</f>
        <v>2021</v>
      </c>
      <c r="O9" s="405" t="n">
        <f aca="false">M9+1</f>
        <v>2022</v>
      </c>
      <c r="P9" s="405" t="n">
        <f aca="false">M9+1</f>
        <v>2022</v>
      </c>
      <c r="Q9" s="405" t="n">
        <f aca="false">O9+1</f>
        <v>2023</v>
      </c>
      <c r="R9" s="405" t="n">
        <f aca="false">O9+1</f>
        <v>2023</v>
      </c>
      <c r="S9" s="405" t="n">
        <f aca="false">Q9+1</f>
        <v>2024</v>
      </c>
      <c r="T9" s="405" t="n">
        <f aca="false">Q9+1</f>
        <v>2024</v>
      </c>
      <c r="X9" s="22"/>
    </row>
    <row r="10" customFormat="false" ht="15" hidden="false" customHeight="false" outlineLevel="0" collapsed="false">
      <c r="B10" s="406" t="s">
        <v>291</v>
      </c>
      <c r="C10" s="98"/>
      <c r="D10" s="48"/>
      <c r="E10" s="407" t="n">
        <v>0</v>
      </c>
      <c r="F10" s="407"/>
      <c r="G10" s="407" t="n">
        <v>0</v>
      </c>
      <c r="H10" s="407"/>
      <c r="I10" s="407" t="n">
        <v>0</v>
      </c>
      <c r="J10" s="407"/>
      <c r="K10" s="407" t="n">
        <v>0</v>
      </c>
      <c r="L10" s="407"/>
      <c r="M10" s="407" t="n">
        <v>0</v>
      </c>
      <c r="N10" s="407"/>
      <c r="O10" s="407" t="n">
        <v>0</v>
      </c>
      <c r="P10" s="407"/>
      <c r="Q10" s="407" t="n">
        <v>0</v>
      </c>
      <c r="R10" s="407"/>
      <c r="S10" s="407" t="n">
        <v>0</v>
      </c>
      <c r="T10" s="407"/>
      <c r="X10" s="22"/>
    </row>
    <row r="11" customFormat="false" ht="15" hidden="false" customHeight="false" outlineLevel="0" collapsed="false">
      <c r="B11" s="408" t="s">
        <v>292</v>
      </c>
      <c r="C11" s="98"/>
      <c r="D11" s="48"/>
      <c r="E11" s="409" t="n">
        <v>0</v>
      </c>
      <c r="F11" s="409"/>
      <c r="G11" s="409" t="n">
        <v>0</v>
      </c>
      <c r="H11" s="409"/>
      <c r="I11" s="409" t="n">
        <v>0</v>
      </c>
      <c r="J11" s="409"/>
      <c r="K11" s="409" t="n">
        <v>0</v>
      </c>
      <c r="L11" s="409"/>
      <c r="M11" s="409" t="n">
        <v>0</v>
      </c>
      <c r="N11" s="409"/>
      <c r="O11" s="409" t="n">
        <v>0</v>
      </c>
      <c r="P11" s="409"/>
      <c r="Q11" s="409" t="n">
        <v>0</v>
      </c>
      <c r="R11" s="409"/>
      <c r="S11" s="409" t="n">
        <v>0</v>
      </c>
      <c r="T11" s="409"/>
      <c r="X11" s="22"/>
    </row>
    <row r="12" customFormat="false" ht="15" hidden="false" customHeight="false" outlineLevel="0" collapsed="false">
      <c r="B12" s="410" t="s">
        <v>293</v>
      </c>
      <c r="C12" s="98"/>
      <c r="D12" s="48"/>
      <c r="E12" s="411" t="n">
        <f aca="false">SUM(E10:E11)</f>
        <v>0</v>
      </c>
      <c r="F12" s="411"/>
      <c r="G12" s="411" t="n">
        <f aca="false">SUM(G10:G11)</f>
        <v>0</v>
      </c>
      <c r="H12" s="411"/>
      <c r="I12" s="411" t="n">
        <f aca="false">SUM(I10:I11)</f>
        <v>0</v>
      </c>
      <c r="J12" s="411"/>
      <c r="K12" s="411" t="n">
        <f aca="false">SUM(K10:K11)</f>
        <v>0</v>
      </c>
      <c r="L12" s="411"/>
      <c r="M12" s="411" t="n">
        <f aca="false">SUM(M10:M11)</f>
        <v>0</v>
      </c>
      <c r="N12" s="411"/>
      <c r="O12" s="411" t="n">
        <f aca="false">SUM(O10:O11)</f>
        <v>0</v>
      </c>
      <c r="P12" s="411"/>
      <c r="Q12" s="411" t="n">
        <f aca="false">SUM(Q10:Q11)</f>
        <v>0</v>
      </c>
      <c r="R12" s="411"/>
      <c r="S12" s="411" t="n">
        <f aca="false">SUM(S10:S11)</f>
        <v>0</v>
      </c>
      <c r="T12" s="411"/>
      <c r="X12" s="22"/>
    </row>
    <row r="13" customFormat="false" ht="15" hidden="false" customHeight="false" outlineLevel="0" collapsed="false">
      <c r="X13" s="22"/>
    </row>
    <row r="14" customFormat="false" ht="18.75" hidden="false" customHeight="false" outlineLevel="0" collapsed="false">
      <c r="A14" s="388"/>
      <c r="B14" s="389" t="s">
        <v>294</v>
      </c>
      <c r="C14" s="390"/>
      <c r="D14" s="390"/>
      <c r="E14" s="390"/>
      <c r="F14" s="390"/>
      <c r="G14" s="390"/>
      <c r="H14" s="390"/>
      <c r="I14" s="390"/>
      <c r="J14" s="389"/>
      <c r="K14" s="390"/>
      <c r="L14" s="391"/>
      <c r="M14" s="391"/>
      <c r="N14" s="391"/>
      <c r="O14" s="392"/>
      <c r="P14" s="392"/>
      <c r="Q14" s="392"/>
      <c r="R14" s="392"/>
      <c r="S14" s="392"/>
      <c r="T14" s="392"/>
      <c r="U14" s="392"/>
      <c r="V14" s="392"/>
      <c r="W14" s="393"/>
      <c r="X14" s="22"/>
    </row>
    <row r="15" customFormat="false" ht="18.75" hidden="false" customHeight="false" outlineLevel="0" collapsed="false">
      <c r="A15" s="134"/>
      <c r="B15" s="394"/>
      <c r="C15" s="395"/>
      <c r="D15" s="395"/>
      <c r="E15" s="395"/>
      <c r="F15" s="395"/>
      <c r="G15" s="395"/>
      <c r="H15" s="395"/>
      <c r="I15" s="395"/>
      <c r="J15" s="394"/>
      <c r="K15" s="395"/>
      <c r="L15" s="396"/>
      <c r="M15" s="396"/>
      <c r="N15" s="396"/>
      <c r="O15" s="86"/>
      <c r="P15" s="86"/>
      <c r="Q15" s="86"/>
      <c r="R15" s="86"/>
      <c r="S15" s="86"/>
      <c r="T15" s="86"/>
      <c r="U15" s="86"/>
      <c r="V15" s="86"/>
      <c r="W15" s="80"/>
      <c r="X15" s="22"/>
    </row>
    <row r="16" customFormat="false" ht="15" hidden="false" customHeight="false" outlineLevel="0" collapsed="false">
      <c r="E16" s="397" t="s">
        <v>287</v>
      </c>
      <c r="F16" s="397"/>
      <c r="G16" s="397"/>
      <c r="H16" s="397"/>
      <c r="I16" s="397"/>
      <c r="J16" s="397"/>
      <c r="K16" s="397"/>
      <c r="L16" s="397"/>
      <c r="M16" s="397"/>
      <c r="N16" s="397"/>
      <c r="O16" s="397"/>
      <c r="P16" s="397"/>
      <c r="Q16" s="397"/>
      <c r="R16" s="397"/>
      <c r="S16" s="397"/>
      <c r="T16" s="397"/>
      <c r="X16" s="22"/>
    </row>
    <row r="17" customFormat="false" ht="15" hidden="false" customHeight="false" outlineLevel="0" collapsed="false">
      <c r="B17" s="398"/>
      <c r="C17" s="399"/>
      <c r="D17" s="48"/>
      <c r="E17" s="400" t="s">
        <v>288</v>
      </c>
      <c r="F17" s="400"/>
      <c r="G17" s="400"/>
      <c r="H17" s="400"/>
      <c r="I17" s="400"/>
      <c r="J17" s="400"/>
      <c r="K17" s="401" t="s">
        <v>295</v>
      </c>
      <c r="L17" s="401"/>
      <c r="M17" s="401"/>
      <c r="N17" s="401"/>
      <c r="O17" s="401"/>
      <c r="P17" s="401"/>
      <c r="Q17" s="401"/>
      <c r="R17" s="401"/>
      <c r="S17" s="401"/>
      <c r="T17" s="401"/>
      <c r="X17" s="22"/>
    </row>
    <row r="18" customFormat="false" ht="15" hidden="false" customHeight="false" outlineLevel="0" collapsed="false">
      <c r="B18" s="402" t="s">
        <v>290</v>
      </c>
      <c r="C18" s="403"/>
      <c r="D18" s="48"/>
      <c r="E18" s="404" t="n">
        <f aca="false">G18-1</f>
        <v>2017</v>
      </c>
      <c r="F18" s="404"/>
      <c r="G18" s="404" t="n">
        <f aca="false">I18-1</f>
        <v>2018</v>
      </c>
      <c r="H18" s="404"/>
      <c r="I18" s="404" t="n">
        <f aca="false">K18-1</f>
        <v>2019</v>
      </c>
      <c r="J18" s="404"/>
      <c r="K18" s="405" t="n">
        <v>2020</v>
      </c>
      <c r="L18" s="405"/>
      <c r="M18" s="405" t="n">
        <f aca="false">K18+1</f>
        <v>2021</v>
      </c>
      <c r="N18" s="405" t="n">
        <f aca="false">K18+1</f>
        <v>2021</v>
      </c>
      <c r="O18" s="405" t="n">
        <f aca="false">M18+1</f>
        <v>2022</v>
      </c>
      <c r="P18" s="405" t="n">
        <f aca="false">M18+1</f>
        <v>2022</v>
      </c>
      <c r="Q18" s="405" t="n">
        <f aca="false">O18+1</f>
        <v>2023</v>
      </c>
      <c r="R18" s="405" t="n">
        <f aca="false">O18+1</f>
        <v>2023</v>
      </c>
      <c r="S18" s="405" t="n">
        <f aca="false">Q18+1</f>
        <v>2024</v>
      </c>
      <c r="T18" s="405" t="n">
        <f aca="false">Q18+1</f>
        <v>2024</v>
      </c>
      <c r="X18" s="22"/>
    </row>
    <row r="19" customFormat="false" ht="15" hidden="false" customHeight="false" outlineLevel="0" collapsed="false">
      <c r="B19" s="406" t="s">
        <v>291</v>
      </c>
      <c r="C19" s="98"/>
      <c r="D19" s="48"/>
      <c r="E19" s="407" t="n">
        <v>0</v>
      </c>
      <c r="F19" s="407"/>
      <c r="G19" s="407" t="n">
        <v>0</v>
      </c>
      <c r="H19" s="407"/>
      <c r="I19" s="407" t="n">
        <v>0</v>
      </c>
      <c r="J19" s="407"/>
      <c r="K19" s="407" t="n">
        <v>0</v>
      </c>
      <c r="L19" s="407"/>
      <c r="M19" s="407" t="n">
        <v>0</v>
      </c>
      <c r="N19" s="407"/>
      <c r="O19" s="407" t="n">
        <v>0</v>
      </c>
      <c r="P19" s="407"/>
      <c r="Q19" s="407" t="n">
        <v>0</v>
      </c>
      <c r="R19" s="407"/>
      <c r="S19" s="407" t="n">
        <v>0</v>
      </c>
      <c r="T19" s="407"/>
      <c r="X19" s="22"/>
    </row>
    <row r="20" customFormat="false" ht="15" hidden="false" customHeight="false" outlineLevel="0" collapsed="false">
      <c r="B20" s="408" t="s">
        <v>292</v>
      </c>
      <c r="C20" s="98"/>
      <c r="D20" s="48"/>
      <c r="E20" s="409" t="n">
        <v>0</v>
      </c>
      <c r="F20" s="409"/>
      <c r="G20" s="409" t="n">
        <v>0</v>
      </c>
      <c r="H20" s="409"/>
      <c r="I20" s="409" t="n">
        <v>0</v>
      </c>
      <c r="J20" s="409"/>
      <c r="K20" s="409" t="n">
        <v>100</v>
      </c>
      <c r="L20" s="409"/>
      <c r="M20" s="409" t="n">
        <v>0</v>
      </c>
      <c r="N20" s="409"/>
      <c r="O20" s="409" t="n">
        <v>0</v>
      </c>
      <c r="P20" s="409"/>
      <c r="Q20" s="409" t="n">
        <v>0</v>
      </c>
      <c r="R20" s="409"/>
      <c r="S20" s="409" t="n">
        <v>0</v>
      </c>
      <c r="T20" s="409"/>
      <c r="X20" s="22"/>
    </row>
    <row r="21" customFormat="false" ht="15" hidden="false" customHeight="false" outlineLevel="0" collapsed="false">
      <c r="B21" s="410" t="s">
        <v>293</v>
      </c>
      <c r="C21" s="98"/>
      <c r="D21" s="48"/>
      <c r="E21" s="411" t="n">
        <f aca="false">SUM(E19:E20)</f>
        <v>0</v>
      </c>
      <c r="F21" s="411"/>
      <c r="G21" s="411" t="n">
        <f aca="false">SUM(G19:G20)</f>
        <v>0</v>
      </c>
      <c r="H21" s="411"/>
      <c r="I21" s="411" t="n">
        <f aca="false">SUM(I19:I20)</f>
        <v>0</v>
      </c>
      <c r="J21" s="411"/>
      <c r="K21" s="411" t="n">
        <f aca="false">SUM(K19:K20)</f>
        <v>100</v>
      </c>
      <c r="L21" s="411"/>
      <c r="M21" s="411" t="n">
        <f aca="false">SUM(M19:M20)</f>
        <v>0</v>
      </c>
      <c r="N21" s="411"/>
      <c r="O21" s="411" t="n">
        <f aca="false">SUM(O19:O20)</f>
        <v>0</v>
      </c>
      <c r="P21" s="411"/>
      <c r="Q21" s="411" t="n">
        <f aca="false">SUM(Q19:Q20)</f>
        <v>0</v>
      </c>
      <c r="R21" s="411"/>
      <c r="S21" s="411" t="n">
        <f aca="false">SUM(S19:S20)</f>
        <v>0</v>
      </c>
      <c r="T21" s="411"/>
      <c r="X21" s="22"/>
    </row>
    <row r="22" customFormat="false" ht="15" hidden="false" customHeight="false" outlineLevel="0" collapsed="false">
      <c r="X22" s="22"/>
    </row>
    <row r="23" customFormat="false" ht="18.75" hidden="false" customHeight="false" outlineLevel="0" collapsed="false">
      <c r="A23" s="388"/>
      <c r="B23" s="389" t="s">
        <v>296</v>
      </c>
      <c r="C23" s="390"/>
      <c r="D23" s="390"/>
      <c r="E23" s="390"/>
      <c r="F23" s="390"/>
      <c r="G23" s="390"/>
      <c r="H23" s="390"/>
      <c r="I23" s="390"/>
      <c r="J23" s="389"/>
      <c r="K23" s="390"/>
      <c r="L23" s="391"/>
      <c r="M23" s="391"/>
      <c r="N23" s="391"/>
      <c r="O23" s="392"/>
      <c r="P23" s="392"/>
      <c r="Q23" s="392"/>
      <c r="R23" s="392"/>
      <c r="S23" s="392"/>
      <c r="T23" s="392"/>
      <c r="U23" s="392"/>
      <c r="V23" s="392"/>
      <c r="W23" s="393"/>
      <c r="X23" s="22"/>
    </row>
    <row r="24" customFormat="false" ht="15" hidden="false" customHeight="false" outlineLevel="0" collapsed="false">
      <c r="A24" s="412" t="s">
        <v>297</v>
      </c>
      <c r="B24" s="412"/>
      <c r="C24" s="412"/>
      <c r="D24" s="412"/>
      <c r="E24" s="412"/>
      <c r="F24" s="412"/>
      <c r="G24" s="412"/>
      <c r="H24" s="412"/>
      <c r="I24" s="412"/>
      <c r="J24" s="412"/>
      <c r="K24" s="412"/>
      <c r="L24" s="412"/>
      <c r="M24" s="412"/>
      <c r="N24" s="412"/>
      <c r="O24" s="412"/>
      <c r="P24" s="412"/>
      <c r="Q24" s="412"/>
      <c r="R24" s="412"/>
      <c r="S24" s="412"/>
      <c r="T24" s="412"/>
      <c r="U24" s="412"/>
      <c r="V24" s="412"/>
      <c r="W24" s="412"/>
      <c r="X24" s="22"/>
    </row>
    <row r="25" customFormat="false" ht="15" hidden="false" customHeight="false" outlineLevel="0" collapsed="false">
      <c r="A25" s="90"/>
      <c r="B25" s="398" t="s">
        <v>174</v>
      </c>
      <c r="C25" s="413"/>
      <c r="D25" s="414"/>
      <c r="E25" s="398" t="n">
        <f aca="false">'Reference sheet'!C18-1</f>
        <v>2017</v>
      </c>
      <c r="F25" s="415" t="n">
        <f aca="false">E25-1</f>
        <v>2016</v>
      </c>
      <c r="G25" s="415" t="n">
        <f aca="false">F25-1</f>
        <v>2015</v>
      </c>
      <c r="H25" s="415" t="n">
        <f aca="false">G25-1</f>
        <v>2014</v>
      </c>
      <c r="I25" s="415" t="n">
        <f aca="false">H25-1</f>
        <v>2013</v>
      </c>
      <c r="J25" s="415" t="n">
        <f aca="false">I25-1</f>
        <v>2012</v>
      </c>
      <c r="K25" s="415" t="n">
        <f aca="false">J25-1</f>
        <v>2011</v>
      </c>
      <c r="L25" s="415" t="n">
        <f aca="false">K25-1</f>
        <v>2010</v>
      </c>
      <c r="M25" s="415" t="n">
        <f aca="false">L25-1</f>
        <v>2009</v>
      </c>
      <c r="N25" s="415" t="n">
        <f aca="false">M25-1</f>
        <v>2008</v>
      </c>
      <c r="O25" s="415" t="n">
        <f aca="false">N25-1</f>
        <v>2007</v>
      </c>
      <c r="P25" s="415" t="n">
        <f aca="false">O25-1</f>
        <v>2006</v>
      </c>
      <c r="Q25" s="415" t="n">
        <f aca="false">P25-1</f>
        <v>2005</v>
      </c>
      <c r="R25" s="415" t="n">
        <f aca="false">Q25-1</f>
        <v>2004</v>
      </c>
      <c r="S25" s="415" t="n">
        <f aca="false">R25-1</f>
        <v>2003</v>
      </c>
      <c r="T25" s="416"/>
      <c r="U25" s="91"/>
      <c r="V25" s="91"/>
      <c r="W25" s="96"/>
      <c r="X25" s="22"/>
    </row>
    <row r="26" customFormat="false" ht="15" hidden="false" customHeight="false" outlineLevel="0" collapsed="false">
      <c r="A26" s="90"/>
      <c r="B26" s="402" t="s">
        <v>298</v>
      </c>
      <c r="C26" s="403"/>
      <c r="D26" s="403"/>
      <c r="E26" s="402" t="s">
        <v>299</v>
      </c>
      <c r="F26" s="402" t="s">
        <v>300</v>
      </c>
      <c r="G26" s="402" t="s">
        <v>301</v>
      </c>
      <c r="H26" s="402" t="s">
        <v>302</v>
      </c>
      <c r="I26" s="402" t="s">
        <v>303</v>
      </c>
      <c r="J26" s="402" t="s">
        <v>304</v>
      </c>
      <c r="K26" s="402" t="s">
        <v>305</v>
      </c>
      <c r="L26" s="402" t="s">
        <v>306</v>
      </c>
      <c r="M26" s="402" t="s">
        <v>307</v>
      </c>
      <c r="N26" s="402" t="s">
        <v>308</v>
      </c>
      <c r="O26" s="402" t="s">
        <v>309</v>
      </c>
      <c r="P26" s="402" t="s">
        <v>310</v>
      </c>
      <c r="Q26" s="402" t="s">
        <v>311</v>
      </c>
      <c r="R26" s="402" t="s">
        <v>312</v>
      </c>
      <c r="S26" s="402" t="s">
        <v>313</v>
      </c>
      <c r="T26" s="417" t="s">
        <v>293</v>
      </c>
      <c r="U26" s="91"/>
      <c r="V26" s="91"/>
      <c r="W26" s="96"/>
      <c r="X26" s="22"/>
    </row>
    <row r="27" customFormat="false" ht="15" hidden="false" customHeight="false" outlineLevel="0" collapsed="false">
      <c r="A27" s="90"/>
      <c r="B27" s="418" t="n">
        <v>45</v>
      </c>
      <c r="C27" s="98"/>
      <c r="D27" s="98"/>
      <c r="E27" s="409" t="n">
        <v>0</v>
      </c>
      <c r="F27" s="409" t="n">
        <v>0</v>
      </c>
      <c r="G27" s="409" t="n">
        <v>0</v>
      </c>
      <c r="H27" s="409" t="n">
        <v>0</v>
      </c>
      <c r="I27" s="409" t="n">
        <v>0</v>
      </c>
      <c r="J27" s="409" t="n">
        <v>0</v>
      </c>
      <c r="K27" s="409" t="n">
        <v>0</v>
      </c>
      <c r="L27" s="409" t="n">
        <v>0</v>
      </c>
      <c r="M27" s="409" t="n">
        <v>0</v>
      </c>
      <c r="N27" s="409" t="n">
        <v>0</v>
      </c>
      <c r="O27" s="409" t="n">
        <v>0</v>
      </c>
      <c r="P27" s="409" t="n">
        <v>0</v>
      </c>
      <c r="Q27" s="409" t="n">
        <v>0</v>
      </c>
      <c r="R27" s="409" t="n">
        <v>0</v>
      </c>
      <c r="S27" s="409" t="n">
        <v>0</v>
      </c>
      <c r="T27" s="419" t="n">
        <f aca="false">SUM(E27:S27)</f>
        <v>0</v>
      </c>
      <c r="U27" s="91"/>
      <c r="V27" s="91"/>
      <c r="W27" s="96"/>
      <c r="X27" s="22"/>
    </row>
    <row r="28" customFormat="false" ht="15" hidden="false" customHeight="false" outlineLevel="0" collapsed="false">
      <c r="A28" s="90"/>
      <c r="B28" s="408" t="n">
        <v>55</v>
      </c>
      <c r="C28" s="99"/>
      <c r="D28" s="98"/>
      <c r="E28" s="409" t="n">
        <v>0</v>
      </c>
      <c r="F28" s="409" t="n">
        <v>0</v>
      </c>
      <c r="G28" s="409" t="n">
        <v>0</v>
      </c>
      <c r="H28" s="409" t="n">
        <v>0</v>
      </c>
      <c r="I28" s="409" t="n">
        <v>0</v>
      </c>
      <c r="J28" s="409" t="n">
        <v>0</v>
      </c>
      <c r="K28" s="409" t="n">
        <v>0</v>
      </c>
      <c r="L28" s="409" t="n">
        <v>0</v>
      </c>
      <c r="M28" s="409" t="n">
        <v>0</v>
      </c>
      <c r="N28" s="409" t="n">
        <v>0</v>
      </c>
      <c r="O28" s="409" t="n">
        <v>0</v>
      </c>
      <c r="P28" s="409" t="n">
        <v>0</v>
      </c>
      <c r="Q28" s="409" t="n">
        <v>0</v>
      </c>
      <c r="R28" s="409" t="n">
        <v>0</v>
      </c>
      <c r="S28" s="409" t="n">
        <v>0</v>
      </c>
      <c r="T28" s="419" t="n">
        <f aca="false">SUM(E28:S28)</f>
        <v>0</v>
      </c>
      <c r="U28" s="91"/>
      <c r="V28" s="91"/>
      <c r="W28" s="96"/>
      <c r="X28" s="22"/>
    </row>
    <row r="29" customFormat="false" ht="15.75" hidden="false" customHeight="true" outlineLevel="0" collapsed="false">
      <c r="A29" s="90"/>
      <c r="B29" s="420" t="n">
        <v>65</v>
      </c>
      <c r="C29" s="99"/>
      <c r="D29" s="98"/>
      <c r="E29" s="409" t="n">
        <v>0</v>
      </c>
      <c r="F29" s="409" t="n">
        <v>0</v>
      </c>
      <c r="G29" s="409" t="n">
        <v>0</v>
      </c>
      <c r="H29" s="409" t="n">
        <v>0</v>
      </c>
      <c r="I29" s="409" t="n">
        <v>0</v>
      </c>
      <c r="J29" s="409" t="n">
        <v>0</v>
      </c>
      <c r="K29" s="409" t="n">
        <v>0</v>
      </c>
      <c r="L29" s="409" t="n">
        <v>0</v>
      </c>
      <c r="M29" s="409" t="n">
        <v>0</v>
      </c>
      <c r="N29" s="409" t="n">
        <v>0</v>
      </c>
      <c r="O29" s="409" t="n">
        <v>0</v>
      </c>
      <c r="P29" s="409" t="n">
        <v>0</v>
      </c>
      <c r="Q29" s="409" t="n">
        <v>0</v>
      </c>
      <c r="R29" s="409" t="n">
        <v>0</v>
      </c>
      <c r="S29" s="409" t="n">
        <v>0</v>
      </c>
      <c r="T29" s="419" t="n">
        <f aca="false">SUM(E29:S29)</f>
        <v>0</v>
      </c>
      <c r="U29" s="91"/>
      <c r="V29" s="91"/>
      <c r="W29" s="96"/>
      <c r="X29" s="22"/>
    </row>
    <row r="30" customFormat="false" ht="15" hidden="false" customHeight="false" outlineLevel="0" collapsed="false">
      <c r="A30" s="90"/>
      <c r="B30" s="408" t="n">
        <v>75</v>
      </c>
      <c r="C30" s="99"/>
      <c r="D30" s="98"/>
      <c r="E30" s="409" t="n">
        <v>0</v>
      </c>
      <c r="F30" s="409" t="n">
        <v>0</v>
      </c>
      <c r="G30" s="409" t="n">
        <v>0</v>
      </c>
      <c r="H30" s="409" t="n">
        <v>0</v>
      </c>
      <c r="I30" s="409" t="n">
        <v>0</v>
      </c>
      <c r="J30" s="409" t="n">
        <v>0</v>
      </c>
      <c r="K30" s="409" t="n">
        <v>0</v>
      </c>
      <c r="L30" s="409" t="n">
        <v>0</v>
      </c>
      <c r="M30" s="409" t="n">
        <v>0</v>
      </c>
      <c r="N30" s="409" t="n">
        <v>0</v>
      </c>
      <c r="O30" s="409" t="n">
        <v>0</v>
      </c>
      <c r="P30" s="409" t="n">
        <v>0</v>
      </c>
      <c r="Q30" s="409" t="n">
        <v>0</v>
      </c>
      <c r="R30" s="409" t="n">
        <v>0</v>
      </c>
      <c r="S30" s="409" t="n">
        <v>0</v>
      </c>
      <c r="T30" s="419" t="n">
        <f aca="false">SUM(E30:S30)</f>
        <v>0</v>
      </c>
      <c r="U30" s="91"/>
      <c r="V30" s="91"/>
      <c r="W30" s="96"/>
    </row>
    <row r="31" customFormat="false" ht="15" hidden="false" customHeight="false" outlineLevel="0" collapsed="false">
      <c r="A31" s="90"/>
      <c r="B31" s="408" t="n">
        <v>85</v>
      </c>
      <c r="C31" s="99"/>
      <c r="D31" s="98"/>
      <c r="E31" s="409" t="n">
        <v>0</v>
      </c>
      <c r="F31" s="409" t="n">
        <v>0</v>
      </c>
      <c r="G31" s="409" t="n">
        <v>0</v>
      </c>
      <c r="H31" s="409" t="n">
        <v>0</v>
      </c>
      <c r="I31" s="409" t="n">
        <v>0</v>
      </c>
      <c r="J31" s="409" t="n">
        <v>0</v>
      </c>
      <c r="K31" s="409" t="n">
        <v>0</v>
      </c>
      <c r="L31" s="409" t="n">
        <v>0</v>
      </c>
      <c r="M31" s="409" t="n">
        <v>0</v>
      </c>
      <c r="N31" s="409" t="n">
        <v>0</v>
      </c>
      <c r="O31" s="409" t="n">
        <v>0</v>
      </c>
      <c r="P31" s="409" t="n">
        <v>0</v>
      </c>
      <c r="Q31" s="409" t="n">
        <v>0</v>
      </c>
      <c r="R31" s="409" t="n">
        <v>0</v>
      </c>
      <c r="S31" s="409" t="n">
        <v>0</v>
      </c>
      <c r="T31" s="419" t="n">
        <f aca="false">SUM(E31:S31)</f>
        <v>0</v>
      </c>
      <c r="U31" s="91"/>
      <c r="V31" s="91"/>
      <c r="W31" s="96"/>
    </row>
    <row r="32" customFormat="false" ht="15" hidden="false" customHeight="false" outlineLevel="0" collapsed="false">
      <c r="A32" s="90"/>
      <c r="B32" s="408" t="n">
        <v>95</v>
      </c>
      <c r="C32" s="99"/>
      <c r="D32" s="98"/>
      <c r="E32" s="409" t="n">
        <v>0</v>
      </c>
      <c r="F32" s="409" t="n">
        <v>0</v>
      </c>
      <c r="G32" s="409" t="n">
        <v>0</v>
      </c>
      <c r="H32" s="409" t="n">
        <v>0</v>
      </c>
      <c r="I32" s="409" t="n">
        <v>0</v>
      </c>
      <c r="J32" s="409" t="n">
        <v>0</v>
      </c>
      <c r="K32" s="409" t="n">
        <v>0</v>
      </c>
      <c r="L32" s="409" t="n">
        <v>0</v>
      </c>
      <c r="M32" s="409" t="n">
        <v>0</v>
      </c>
      <c r="N32" s="409" t="n">
        <v>0</v>
      </c>
      <c r="O32" s="409" t="n">
        <v>0</v>
      </c>
      <c r="P32" s="409" t="n">
        <v>0</v>
      </c>
      <c r="Q32" s="409" t="n">
        <v>0</v>
      </c>
      <c r="R32" s="409" t="n">
        <v>0</v>
      </c>
      <c r="S32" s="409" t="n">
        <v>0</v>
      </c>
      <c r="T32" s="419" t="n">
        <f aca="false">SUM(E32:S32)</f>
        <v>0</v>
      </c>
      <c r="U32" s="91"/>
      <c r="V32" s="91"/>
      <c r="W32" s="96"/>
    </row>
    <row r="33" customFormat="false" ht="15" hidden="false" customHeight="false" outlineLevel="0" collapsed="false">
      <c r="A33" s="90"/>
      <c r="B33" s="408" t="n">
        <v>105</v>
      </c>
      <c r="C33" s="99"/>
      <c r="D33" s="98"/>
      <c r="E33" s="409" t="n">
        <v>0</v>
      </c>
      <c r="F33" s="409" t="n">
        <v>0</v>
      </c>
      <c r="G33" s="409" t="n">
        <v>0</v>
      </c>
      <c r="H33" s="409" t="n">
        <v>0</v>
      </c>
      <c r="I33" s="409" t="n">
        <v>0</v>
      </c>
      <c r="J33" s="409" t="n">
        <v>0</v>
      </c>
      <c r="K33" s="409" t="n">
        <v>0</v>
      </c>
      <c r="L33" s="409" t="n">
        <v>0</v>
      </c>
      <c r="M33" s="409" t="n">
        <v>0</v>
      </c>
      <c r="N33" s="409" t="n">
        <v>0</v>
      </c>
      <c r="O33" s="409" t="n">
        <v>0</v>
      </c>
      <c r="P33" s="409" t="n">
        <v>0</v>
      </c>
      <c r="Q33" s="409" t="n">
        <v>0</v>
      </c>
      <c r="R33" s="409" t="n">
        <v>0</v>
      </c>
      <c r="S33" s="409" t="n">
        <v>0</v>
      </c>
      <c r="T33" s="419" t="n">
        <f aca="false">SUM(E33:S33)</f>
        <v>0</v>
      </c>
      <c r="U33" s="91"/>
      <c r="V33" s="91"/>
      <c r="W33" s="96"/>
    </row>
    <row r="34" customFormat="false" ht="15" hidden="false" customHeight="false" outlineLevel="0" collapsed="false">
      <c r="A34" s="90"/>
      <c r="B34" s="421"/>
      <c r="C34" s="105"/>
      <c r="D34" s="105"/>
      <c r="E34" s="411" t="n">
        <f aca="false">SUM(E27:E33)</f>
        <v>0</v>
      </c>
      <c r="F34" s="411" t="n">
        <f aca="false">SUM(F27:F33)</f>
        <v>0</v>
      </c>
      <c r="G34" s="411" t="n">
        <f aca="false">SUM(G27:G33)</f>
        <v>0</v>
      </c>
      <c r="H34" s="411" t="n">
        <f aca="false">SUM(H27:H33)</f>
        <v>0</v>
      </c>
      <c r="I34" s="411" t="n">
        <f aca="false">SUM(I27:I33)</f>
        <v>0</v>
      </c>
      <c r="J34" s="411" t="n">
        <f aca="false">SUM(J27:J33)</f>
        <v>0</v>
      </c>
      <c r="K34" s="411" t="n">
        <f aca="false">SUM(K27:K33)</f>
        <v>0</v>
      </c>
      <c r="L34" s="411" t="n">
        <f aca="false">SUM(L27:L33)</f>
        <v>0</v>
      </c>
      <c r="M34" s="411" t="n">
        <f aca="false">SUM(M27:M33)</f>
        <v>0</v>
      </c>
      <c r="N34" s="411" t="n">
        <f aca="false">SUM(N27:N33)</f>
        <v>0</v>
      </c>
      <c r="O34" s="411" t="n">
        <f aca="false">SUM(O27:O33)</f>
        <v>0</v>
      </c>
      <c r="P34" s="411" t="n">
        <f aca="false">SUM(P27:P33)</f>
        <v>0</v>
      </c>
      <c r="Q34" s="411" t="n">
        <f aca="false">SUM(Q27:Q33)</f>
        <v>0</v>
      </c>
      <c r="R34" s="411" t="n">
        <f aca="false">SUM(R27:R33)</f>
        <v>0</v>
      </c>
      <c r="S34" s="411" t="n">
        <f aca="false">SUM(S27:S33)</f>
        <v>0</v>
      </c>
      <c r="T34" s="411" t="n">
        <f aca="false">SUM(E27:S33)</f>
        <v>0</v>
      </c>
      <c r="U34" s="91"/>
      <c r="V34" s="91"/>
      <c r="W34" s="96"/>
    </row>
    <row r="35" customFormat="false" ht="15" hidden="false" customHeight="false" outlineLevel="0" collapsed="false">
      <c r="A35" s="90"/>
      <c r="B35" s="91"/>
      <c r="C35" s="91"/>
      <c r="D35" s="91"/>
      <c r="E35" s="91"/>
      <c r="F35" s="91"/>
      <c r="G35" s="91"/>
      <c r="H35" s="91"/>
      <c r="I35" s="91"/>
      <c r="J35" s="91"/>
      <c r="K35" s="91"/>
      <c r="L35" s="91"/>
      <c r="M35" s="91"/>
      <c r="N35" s="91"/>
      <c r="O35" s="91"/>
      <c r="P35" s="91"/>
      <c r="Q35" s="91"/>
      <c r="R35" s="91"/>
      <c r="S35" s="91"/>
      <c r="T35" s="91"/>
      <c r="U35" s="91"/>
      <c r="V35" s="91"/>
      <c r="W35" s="96"/>
    </row>
    <row r="36" customFormat="false" ht="18.75" hidden="false" customHeight="false" outlineLevel="0" collapsed="false">
      <c r="A36" s="388"/>
      <c r="B36" s="389" t="s">
        <v>314</v>
      </c>
      <c r="C36" s="390"/>
      <c r="D36" s="390"/>
      <c r="E36" s="390"/>
      <c r="F36" s="390"/>
      <c r="G36" s="390"/>
      <c r="H36" s="390"/>
      <c r="I36" s="390"/>
      <c r="J36" s="389"/>
      <c r="K36" s="390"/>
      <c r="L36" s="391"/>
      <c r="M36" s="391"/>
      <c r="N36" s="391"/>
      <c r="O36" s="392"/>
      <c r="P36" s="392"/>
      <c r="Q36" s="392"/>
      <c r="R36" s="392"/>
      <c r="S36" s="392"/>
      <c r="T36" s="392"/>
      <c r="U36" s="392"/>
      <c r="V36" s="392"/>
      <c r="W36" s="393"/>
      <c r="X36" s="22"/>
    </row>
    <row r="37" customFormat="false" ht="18.75" hidden="false" customHeight="false" outlineLevel="0" collapsed="false">
      <c r="A37" s="134"/>
      <c r="B37" s="394"/>
      <c r="C37" s="395"/>
      <c r="D37" s="395"/>
      <c r="E37" s="395"/>
      <c r="F37" s="395"/>
      <c r="G37" s="395"/>
      <c r="H37" s="395"/>
      <c r="I37" s="395"/>
      <c r="J37" s="394"/>
      <c r="K37" s="395"/>
      <c r="L37" s="396"/>
      <c r="M37" s="396"/>
      <c r="N37" s="396"/>
      <c r="O37" s="86"/>
      <c r="P37" s="86"/>
      <c r="Q37" s="86"/>
      <c r="R37" s="86"/>
      <c r="S37" s="86"/>
      <c r="T37" s="86"/>
      <c r="U37" s="86"/>
      <c r="V37" s="86"/>
      <c r="W37" s="80"/>
      <c r="X37" s="22"/>
    </row>
    <row r="38" customFormat="false" ht="15" hidden="false" customHeight="false" outlineLevel="0" collapsed="false">
      <c r="A38" s="90"/>
      <c r="B38" s="91"/>
      <c r="C38" s="91"/>
      <c r="D38" s="91"/>
      <c r="E38" s="397" t="s">
        <v>315</v>
      </c>
      <c r="F38" s="397"/>
      <c r="G38" s="397"/>
      <c r="H38" s="397"/>
      <c r="I38" s="397"/>
      <c r="J38" s="397"/>
      <c r="K38" s="397"/>
      <c r="L38" s="397"/>
      <c r="M38" s="397"/>
      <c r="N38" s="397"/>
      <c r="O38" s="397"/>
      <c r="P38" s="397"/>
      <c r="Q38" s="397"/>
      <c r="R38" s="397"/>
      <c r="S38" s="397"/>
      <c r="T38" s="397"/>
      <c r="U38" s="91"/>
      <c r="V38" s="91"/>
      <c r="W38" s="96"/>
    </row>
    <row r="39" customFormat="false" ht="15" hidden="false" customHeight="false" outlineLevel="0" collapsed="false">
      <c r="A39" s="90"/>
      <c r="B39" s="398"/>
      <c r="C39" s="399"/>
      <c r="D39" s="48"/>
      <c r="E39" s="400" t="s">
        <v>288</v>
      </c>
      <c r="F39" s="400"/>
      <c r="G39" s="400"/>
      <c r="H39" s="400"/>
      <c r="I39" s="400"/>
      <c r="J39" s="400"/>
      <c r="K39" s="401" t="s">
        <v>316</v>
      </c>
      <c r="L39" s="401"/>
      <c r="M39" s="401"/>
      <c r="N39" s="401"/>
      <c r="O39" s="401"/>
      <c r="P39" s="401"/>
      <c r="Q39" s="401"/>
      <c r="R39" s="401"/>
      <c r="S39" s="401"/>
      <c r="T39" s="401"/>
      <c r="U39" s="91"/>
      <c r="V39" s="91"/>
      <c r="W39" s="96"/>
    </row>
    <row r="40" customFormat="false" ht="15" hidden="false" customHeight="false" outlineLevel="0" collapsed="false">
      <c r="A40" s="90"/>
      <c r="B40" s="402" t="s">
        <v>290</v>
      </c>
      <c r="C40" s="403"/>
      <c r="D40" s="48"/>
      <c r="E40" s="404" t="n">
        <f aca="false">G40-1</f>
        <v>2015</v>
      </c>
      <c r="F40" s="404"/>
      <c r="G40" s="404" t="n">
        <f aca="false">I40-1</f>
        <v>2016</v>
      </c>
      <c r="H40" s="404"/>
      <c r="I40" s="404" t="n">
        <f aca="false">K40-1</f>
        <v>2017</v>
      </c>
      <c r="J40" s="404"/>
      <c r="K40" s="405" t="n">
        <f aca="false">'Reference sheet'!C18</f>
        <v>2018</v>
      </c>
      <c r="L40" s="405"/>
      <c r="M40" s="405" t="n">
        <f aca="false">K40+1</f>
        <v>2019</v>
      </c>
      <c r="N40" s="405" t="n">
        <f aca="false">K40+1</f>
        <v>2019</v>
      </c>
      <c r="O40" s="405" t="n">
        <f aca="false">M40+1</f>
        <v>2020</v>
      </c>
      <c r="P40" s="405" t="n">
        <f aca="false">M40+1</f>
        <v>2020</v>
      </c>
      <c r="Q40" s="405" t="n">
        <f aca="false">O40+1</f>
        <v>2021</v>
      </c>
      <c r="R40" s="405" t="n">
        <f aca="false">O40+1</f>
        <v>2021</v>
      </c>
      <c r="S40" s="405" t="n">
        <f aca="false">Q40+1</f>
        <v>2022</v>
      </c>
      <c r="T40" s="405" t="n">
        <f aca="false">Q40+1</f>
        <v>2022</v>
      </c>
      <c r="U40" s="91"/>
      <c r="V40" s="91"/>
      <c r="W40" s="96"/>
    </row>
    <row r="41" customFormat="false" ht="15" hidden="false" customHeight="false" outlineLevel="0" collapsed="false">
      <c r="A41" s="274"/>
      <c r="B41" s="406" t="s">
        <v>291</v>
      </c>
      <c r="C41" s="98"/>
      <c r="D41" s="48"/>
      <c r="E41" s="407" t="n">
        <v>0</v>
      </c>
      <c r="F41" s="407"/>
      <c r="G41" s="407" t="n">
        <v>0</v>
      </c>
      <c r="H41" s="407"/>
      <c r="I41" s="407" t="n">
        <v>0</v>
      </c>
      <c r="J41" s="407"/>
      <c r="K41" s="407" t="n">
        <v>0</v>
      </c>
      <c r="L41" s="407"/>
      <c r="M41" s="407" t="n">
        <v>0</v>
      </c>
      <c r="N41" s="407"/>
      <c r="O41" s="407" t="n">
        <v>0</v>
      </c>
      <c r="P41" s="407"/>
      <c r="Q41" s="407" t="n">
        <v>0</v>
      </c>
      <c r="R41" s="407"/>
      <c r="S41" s="407" t="n">
        <v>0</v>
      </c>
      <c r="T41" s="407"/>
      <c r="U41" s="91"/>
      <c r="V41" s="16"/>
      <c r="W41" s="422"/>
    </row>
    <row r="42" customFormat="false" ht="15" hidden="false" customHeight="false" outlineLevel="0" collapsed="false">
      <c r="A42" s="330"/>
      <c r="B42" s="408" t="s">
        <v>292</v>
      </c>
      <c r="C42" s="98"/>
      <c r="D42" s="48"/>
      <c r="E42" s="407" t="n">
        <v>0</v>
      </c>
      <c r="F42" s="407"/>
      <c r="G42" s="407" t="n">
        <v>0</v>
      </c>
      <c r="H42" s="407"/>
      <c r="I42" s="407" t="n">
        <v>0</v>
      </c>
      <c r="J42" s="407"/>
      <c r="K42" s="407" t="n">
        <v>0</v>
      </c>
      <c r="L42" s="407"/>
      <c r="M42" s="407" t="n">
        <v>0</v>
      </c>
      <c r="N42" s="407"/>
      <c r="O42" s="407" t="n">
        <v>0</v>
      </c>
      <c r="P42" s="407"/>
      <c r="Q42" s="407" t="n">
        <v>0</v>
      </c>
      <c r="R42" s="407"/>
      <c r="S42" s="407" t="n">
        <v>0</v>
      </c>
      <c r="T42" s="407"/>
      <c r="U42" s="91"/>
      <c r="V42" s="16"/>
      <c r="W42" s="422"/>
    </row>
    <row r="43" customFormat="false" ht="15" hidden="false" customHeight="false" outlineLevel="0" collapsed="false">
      <c r="A43" s="330"/>
      <c r="B43" s="410" t="s">
        <v>293</v>
      </c>
      <c r="C43" s="98"/>
      <c r="D43" s="48"/>
      <c r="E43" s="423" t="n">
        <f aca="false">SUM(E41:E42)</f>
        <v>0</v>
      </c>
      <c r="F43" s="423"/>
      <c r="G43" s="423" t="n">
        <f aca="false">SUM(G41:G42)</f>
        <v>0</v>
      </c>
      <c r="H43" s="423"/>
      <c r="I43" s="423" t="n">
        <f aca="false">SUM(I41:I42)</f>
        <v>0</v>
      </c>
      <c r="J43" s="423"/>
      <c r="K43" s="411" t="n">
        <f aca="false">SUM(K41:K42)</f>
        <v>0</v>
      </c>
      <c r="L43" s="411"/>
      <c r="M43" s="411" t="n">
        <f aca="false">SUM(M41:M42)</f>
        <v>0</v>
      </c>
      <c r="N43" s="411"/>
      <c r="O43" s="411" t="n">
        <f aca="false">SUM(O41:O42)</f>
        <v>0</v>
      </c>
      <c r="P43" s="411"/>
      <c r="Q43" s="411" t="n">
        <f aca="false">SUM(Q41:Q42)</f>
        <v>0</v>
      </c>
      <c r="R43" s="411"/>
      <c r="S43" s="411" t="n">
        <f aca="false">SUM(S41:S42)</f>
        <v>0</v>
      </c>
      <c r="T43" s="411"/>
      <c r="U43" s="16"/>
      <c r="V43" s="16"/>
      <c r="W43" s="422"/>
    </row>
    <row r="44" customFormat="false" ht="15" hidden="false" customHeight="false" outlineLevel="0" collapsed="false">
      <c r="A44" s="330"/>
      <c r="B44" s="100"/>
      <c r="C44" s="98"/>
      <c r="D44" s="48"/>
      <c r="E44" s="424"/>
      <c r="F44" s="424"/>
      <c r="G44" s="424"/>
      <c r="H44" s="424"/>
      <c r="I44" s="424"/>
      <c r="J44" s="424"/>
      <c r="K44" s="424"/>
      <c r="L44" s="424"/>
      <c r="M44" s="424"/>
      <c r="N44" s="424"/>
      <c r="O44" s="424"/>
      <c r="P44" s="424"/>
      <c r="Q44" s="424"/>
      <c r="R44" s="424"/>
      <c r="S44" s="424"/>
      <c r="T44" s="425"/>
      <c r="U44" s="16"/>
      <c r="V44" s="16"/>
      <c r="W44" s="422"/>
    </row>
    <row r="45" customFormat="false" ht="18.75" hidden="false" customHeight="false" outlineLevel="0" collapsed="false">
      <c r="A45" s="388"/>
      <c r="B45" s="389" t="s">
        <v>317</v>
      </c>
      <c r="C45" s="390"/>
      <c r="D45" s="390"/>
      <c r="E45" s="390"/>
      <c r="F45" s="390"/>
      <c r="G45" s="390"/>
      <c r="H45" s="390"/>
      <c r="I45" s="390"/>
      <c r="J45" s="389"/>
      <c r="K45" s="390"/>
      <c r="L45" s="391"/>
      <c r="M45" s="391"/>
      <c r="N45" s="391"/>
      <c r="O45" s="392"/>
      <c r="P45" s="392"/>
      <c r="Q45" s="392"/>
      <c r="R45" s="392"/>
      <c r="S45" s="392"/>
      <c r="T45" s="392"/>
      <c r="U45" s="392"/>
      <c r="V45" s="392"/>
      <c r="W45" s="393"/>
      <c r="X45" s="22"/>
    </row>
    <row r="46" customFormat="false" ht="18.75" hidden="false" customHeight="false" outlineLevel="0" collapsed="false">
      <c r="A46" s="134"/>
      <c r="B46" s="394"/>
      <c r="C46" s="395"/>
      <c r="D46" s="395"/>
      <c r="E46" s="395"/>
      <c r="F46" s="395"/>
      <c r="G46" s="395"/>
      <c r="H46" s="395"/>
      <c r="I46" s="395"/>
      <c r="J46" s="394"/>
      <c r="K46" s="395"/>
      <c r="L46" s="396"/>
      <c r="M46" s="396"/>
      <c r="N46" s="396"/>
      <c r="O46" s="86"/>
      <c r="P46" s="86"/>
      <c r="Q46" s="86"/>
      <c r="R46" s="86"/>
      <c r="S46" s="86"/>
      <c r="T46" s="86"/>
      <c r="U46" s="86"/>
      <c r="V46" s="86"/>
      <c r="W46" s="80"/>
      <c r="X46" s="22"/>
    </row>
    <row r="47" customFormat="false" ht="15" hidden="false" customHeight="false" outlineLevel="0" collapsed="false">
      <c r="A47" s="330"/>
      <c r="B47" s="426"/>
      <c r="C47" s="426"/>
      <c r="D47" s="48"/>
      <c r="E47" s="398" t="s">
        <v>318</v>
      </c>
      <c r="F47" s="398"/>
      <c r="G47" s="398"/>
      <c r="H47" s="398"/>
      <c r="I47" s="398"/>
      <c r="J47" s="398"/>
      <c r="K47" s="398"/>
      <c r="L47" s="398"/>
      <c r="M47" s="398"/>
      <c r="N47" s="398"/>
      <c r="O47" s="398"/>
      <c r="P47" s="398"/>
      <c r="Q47" s="398"/>
      <c r="R47" s="398"/>
      <c r="S47" s="398"/>
      <c r="T47" s="398"/>
      <c r="U47" s="16"/>
      <c r="V47" s="16"/>
      <c r="W47" s="422"/>
    </row>
    <row r="48" customFormat="false" ht="15" hidden="false" customHeight="false" outlineLevel="0" collapsed="false">
      <c r="A48" s="330"/>
      <c r="B48" s="427" t="s">
        <v>319</v>
      </c>
      <c r="C48" s="98"/>
      <c r="D48" s="48"/>
      <c r="E48" s="400" t="s">
        <v>288</v>
      </c>
      <c r="F48" s="400"/>
      <c r="G48" s="400"/>
      <c r="H48" s="400"/>
      <c r="I48" s="400"/>
      <c r="J48" s="400"/>
      <c r="K48" s="401" t="s">
        <v>316</v>
      </c>
      <c r="L48" s="401"/>
      <c r="M48" s="401"/>
      <c r="N48" s="401"/>
      <c r="O48" s="401"/>
      <c r="P48" s="401"/>
      <c r="Q48" s="401"/>
      <c r="R48" s="401"/>
      <c r="S48" s="401"/>
      <c r="T48" s="401"/>
      <c r="U48" s="16"/>
      <c r="V48" s="16"/>
      <c r="W48" s="422"/>
    </row>
    <row r="49" customFormat="false" ht="15" hidden="false" customHeight="false" outlineLevel="0" collapsed="false">
      <c r="A49" s="330"/>
      <c r="B49" s="427"/>
      <c r="C49" s="98"/>
      <c r="D49" s="48"/>
      <c r="E49" s="404" t="n">
        <f aca="false">G49-1</f>
        <v>2015</v>
      </c>
      <c r="F49" s="404"/>
      <c r="G49" s="404" t="n">
        <f aca="false">I49-1</f>
        <v>2016</v>
      </c>
      <c r="H49" s="404"/>
      <c r="I49" s="404" t="n">
        <f aca="false">K49-1</f>
        <v>2017</v>
      </c>
      <c r="J49" s="404"/>
      <c r="K49" s="405" t="n">
        <f aca="false">'Reference sheet'!C18</f>
        <v>2018</v>
      </c>
      <c r="L49" s="405"/>
      <c r="M49" s="405" t="n">
        <f aca="false">K49+1</f>
        <v>2019</v>
      </c>
      <c r="N49" s="405" t="n">
        <f aca="false">K49+1</f>
        <v>2019</v>
      </c>
      <c r="O49" s="405" t="n">
        <f aca="false">M49+1</f>
        <v>2020</v>
      </c>
      <c r="P49" s="405" t="n">
        <f aca="false">M49+1</f>
        <v>2020</v>
      </c>
      <c r="Q49" s="405" t="n">
        <f aca="false">O49+1</f>
        <v>2021</v>
      </c>
      <c r="R49" s="405" t="n">
        <f aca="false">O49+1</f>
        <v>2021</v>
      </c>
      <c r="S49" s="405" t="n">
        <f aca="false">Q49+1</f>
        <v>2022</v>
      </c>
      <c r="T49" s="405" t="n">
        <f aca="false">Q49+1</f>
        <v>2022</v>
      </c>
      <c r="U49" s="16"/>
      <c r="V49" s="16"/>
      <c r="W49" s="422"/>
    </row>
    <row r="50" customFormat="false" ht="15" hidden="false" customHeight="false" outlineLevel="0" collapsed="false">
      <c r="A50" s="330"/>
      <c r="B50" s="408" t="s">
        <v>319</v>
      </c>
      <c r="C50" s="98"/>
      <c r="D50" s="48"/>
      <c r="E50" s="407" t="n">
        <v>0</v>
      </c>
      <c r="F50" s="407"/>
      <c r="G50" s="407" t="n">
        <v>0</v>
      </c>
      <c r="H50" s="407"/>
      <c r="I50" s="407" t="n">
        <v>0</v>
      </c>
      <c r="J50" s="407"/>
      <c r="K50" s="407" t="n">
        <v>0</v>
      </c>
      <c r="L50" s="407"/>
      <c r="M50" s="407" t="n">
        <v>0</v>
      </c>
      <c r="N50" s="407"/>
      <c r="O50" s="407" t="n">
        <v>0</v>
      </c>
      <c r="P50" s="407"/>
      <c r="Q50" s="407" t="n">
        <v>0</v>
      </c>
      <c r="R50" s="407"/>
      <c r="S50" s="407" t="n">
        <v>0</v>
      </c>
      <c r="T50" s="407"/>
      <c r="U50" s="16"/>
      <c r="V50" s="16"/>
      <c r="W50" s="422"/>
    </row>
    <row r="51" customFormat="false" ht="15" hidden="false" customHeight="false" outlineLevel="0" collapsed="false">
      <c r="A51" s="330"/>
      <c r="B51" s="408" t="s">
        <v>320</v>
      </c>
      <c r="C51" s="98"/>
      <c r="D51" s="48"/>
      <c r="E51" s="409" t="n">
        <v>0</v>
      </c>
      <c r="F51" s="409"/>
      <c r="G51" s="409" t="n">
        <v>0</v>
      </c>
      <c r="H51" s="409"/>
      <c r="I51" s="409" t="n">
        <v>0</v>
      </c>
      <c r="J51" s="409"/>
      <c r="K51" s="409" t="n">
        <v>0</v>
      </c>
      <c r="L51" s="409"/>
      <c r="M51" s="409" t="n">
        <v>0</v>
      </c>
      <c r="N51" s="409"/>
      <c r="O51" s="409" t="n">
        <v>0</v>
      </c>
      <c r="P51" s="409"/>
      <c r="Q51" s="409" t="n">
        <v>0</v>
      </c>
      <c r="R51" s="409"/>
      <c r="S51" s="409" t="n">
        <v>0</v>
      </c>
      <c r="T51" s="409"/>
      <c r="U51" s="16"/>
      <c r="V51" s="16"/>
      <c r="W51" s="422"/>
    </row>
    <row r="52" customFormat="false" ht="15" hidden="false" customHeight="false" outlineLevel="0" collapsed="false">
      <c r="A52" s="330"/>
      <c r="B52" s="410" t="s">
        <v>293</v>
      </c>
      <c r="C52" s="98"/>
      <c r="D52" s="48"/>
      <c r="E52" s="423" t="n">
        <f aca="false">SUM(E50:E51)</f>
        <v>0</v>
      </c>
      <c r="F52" s="423"/>
      <c r="G52" s="423" t="n">
        <f aca="false">SUM(G50:G51)</f>
        <v>0</v>
      </c>
      <c r="H52" s="423"/>
      <c r="I52" s="423" t="n">
        <f aca="false">SUM(I50:I51)</f>
        <v>0</v>
      </c>
      <c r="J52" s="423"/>
      <c r="K52" s="411" t="n">
        <f aca="false">SUM(K50:K51)</f>
        <v>0</v>
      </c>
      <c r="L52" s="411"/>
      <c r="M52" s="411" t="n">
        <f aca="false">SUM(M50:M51)</f>
        <v>0</v>
      </c>
      <c r="N52" s="411"/>
      <c r="O52" s="411" t="n">
        <f aca="false">SUM(O50:O51)</f>
        <v>0</v>
      </c>
      <c r="P52" s="411"/>
      <c r="Q52" s="411" t="n">
        <f aca="false">SUM(Q50:Q51)</f>
        <v>0</v>
      </c>
      <c r="R52" s="411"/>
      <c r="S52" s="411" t="n">
        <f aca="false">SUM(S50:S51)</f>
        <v>0</v>
      </c>
      <c r="T52" s="411"/>
      <c r="U52" s="16"/>
      <c r="V52" s="16"/>
      <c r="W52" s="422"/>
    </row>
    <row r="53" customFormat="false" ht="15" hidden="false" customHeight="false" outlineLevel="0" collapsed="false">
      <c r="A53" s="82"/>
      <c r="B53" s="107"/>
      <c r="C53" s="106"/>
      <c r="D53" s="106"/>
      <c r="E53" s="107"/>
      <c r="F53" s="107"/>
      <c r="G53" s="107"/>
      <c r="H53" s="107"/>
      <c r="I53" s="107"/>
      <c r="J53" s="107"/>
      <c r="K53" s="107"/>
      <c r="L53" s="107"/>
      <c r="M53" s="107"/>
      <c r="N53" s="107"/>
      <c r="O53" s="107"/>
      <c r="P53" s="107"/>
      <c r="Q53" s="107"/>
      <c r="R53" s="107"/>
      <c r="S53" s="107"/>
      <c r="T53" s="107"/>
      <c r="U53" s="107"/>
      <c r="V53" s="107"/>
      <c r="W53" s="84"/>
    </row>
    <row r="54" s="429" customFormat="true" ht="18.75" hidden="false" customHeight="false" outlineLevel="0" collapsed="false">
      <c r="A54" s="428"/>
      <c r="B54" s="389" t="s">
        <v>321</v>
      </c>
      <c r="C54" s="390"/>
      <c r="D54" s="390"/>
      <c r="E54" s="390"/>
      <c r="F54" s="390"/>
      <c r="G54" s="390"/>
      <c r="H54" s="390"/>
      <c r="I54" s="390"/>
      <c r="J54" s="389"/>
      <c r="K54" s="390"/>
      <c r="L54" s="391"/>
      <c r="M54" s="391"/>
      <c r="N54" s="391"/>
      <c r="O54" s="392"/>
      <c r="P54" s="392"/>
      <c r="Q54" s="392"/>
      <c r="R54" s="392"/>
      <c r="S54" s="392"/>
      <c r="T54" s="392"/>
      <c r="U54" s="392"/>
      <c r="V54" s="392"/>
      <c r="W54" s="393"/>
      <c r="X54" s="392"/>
    </row>
    <row r="55" customFormat="false" ht="15" hidden="false" customHeight="false" outlineLevel="0" collapsed="false"/>
    <row r="56" customFormat="false" ht="15" hidden="false" customHeight="false" outlineLevel="0" collapsed="false">
      <c r="B56" s="410" t="s">
        <v>322</v>
      </c>
      <c r="C56" s="410"/>
      <c r="D56" s="410"/>
      <c r="E56" s="410"/>
      <c r="F56" s="410"/>
      <c r="G56" s="410"/>
      <c r="H56" s="430" t="n">
        <v>0</v>
      </c>
    </row>
    <row r="57" customFormat="false" ht="15" hidden="false" customHeight="false" outlineLevel="0" collapsed="false">
      <c r="A57" s="82"/>
      <c r="B57" s="107"/>
      <c r="C57" s="107"/>
      <c r="D57" s="107"/>
      <c r="E57" s="107"/>
      <c r="F57" s="107"/>
      <c r="G57" s="107"/>
      <c r="H57" s="107"/>
      <c r="I57" s="107"/>
      <c r="J57" s="107"/>
      <c r="K57" s="107"/>
      <c r="L57" s="107"/>
      <c r="M57" s="107"/>
      <c r="N57" s="107"/>
      <c r="O57" s="107"/>
      <c r="P57" s="107"/>
      <c r="Q57" s="107"/>
      <c r="R57" s="107"/>
      <c r="S57" s="107"/>
      <c r="T57" s="107"/>
      <c r="U57" s="107"/>
      <c r="V57" s="107"/>
      <c r="W57" s="84"/>
    </row>
    <row r="58" s="429" customFormat="true" ht="18.75" hidden="true" customHeight="false" outlineLevel="0" collapsed="false">
      <c r="A58" s="428"/>
      <c r="B58" s="389" t="s">
        <v>323</v>
      </c>
      <c r="C58" s="390"/>
      <c r="D58" s="390"/>
      <c r="E58" s="390"/>
      <c r="F58" s="390"/>
      <c r="G58" s="390"/>
      <c r="H58" s="390"/>
      <c r="I58" s="390"/>
      <c r="J58" s="389"/>
      <c r="K58" s="390"/>
      <c r="L58" s="391"/>
      <c r="M58" s="391"/>
      <c r="N58" s="391"/>
      <c r="O58" s="392"/>
      <c r="P58" s="392"/>
      <c r="Q58" s="392"/>
      <c r="R58" s="392"/>
      <c r="S58" s="392"/>
      <c r="T58" s="392"/>
      <c r="U58" s="392"/>
      <c r="V58" s="392"/>
      <c r="W58" s="393"/>
      <c r="X58" s="392"/>
    </row>
    <row r="59" customFormat="false" ht="15" hidden="true" customHeight="false" outlineLevel="0" collapsed="false">
      <c r="C59" s="48"/>
      <c r="D59" s="48"/>
    </row>
    <row r="60" customFormat="false" ht="12.75" hidden="true" customHeight="true" outlineLevel="0" collapsed="false">
      <c r="A60" s="90"/>
      <c r="B60" s="398" t="s">
        <v>324</v>
      </c>
      <c r="C60" s="399"/>
      <c r="D60" s="48"/>
      <c r="E60" s="398" t="s">
        <v>325</v>
      </c>
      <c r="F60" s="398"/>
      <c r="G60" s="398"/>
      <c r="H60" s="398"/>
      <c r="I60" s="398"/>
      <c r="J60" s="398"/>
      <c r="K60" s="398"/>
      <c r="L60" s="398"/>
      <c r="M60" s="398"/>
      <c r="N60" s="398"/>
      <c r="O60" s="398"/>
      <c r="P60" s="398"/>
      <c r="Q60" s="398"/>
      <c r="R60" s="398"/>
      <c r="S60" s="398"/>
      <c r="T60" s="398"/>
      <c r="U60" s="91"/>
      <c r="V60" s="91"/>
      <c r="W60" s="96"/>
    </row>
    <row r="61" customFormat="false" ht="15" hidden="true" customHeight="false" outlineLevel="0" collapsed="false">
      <c r="A61" s="90"/>
      <c r="B61" s="402" t="s">
        <v>290</v>
      </c>
      <c r="C61" s="403"/>
      <c r="D61" s="48"/>
      <c r="E61" s="431" t="s">
        <v>299</v>
      </c>
      <c r="F61" s="432" t="s">
        <v>300</v>
      </c>
      <c r="G61" s="432" t="s">
        <v>301</v>
      </c>
      <c r="H61" s="432" t="s">
        <v>302</v>
      </c>
      <c r="I61" s="432" t="s">
        <v>303</v>
      </c>
      <c r="J61" s="432" t="s">
        <v>304</v>
      </c>
      <c r="K61" s="432" t="s">
        <v>305</v>
      </c>
      <c r="L61" s="432" t="s">
        <v>306</v>
      </c>
      <c r="M61" s="432" t="s">
        <v>307</v>
      </c>
      <c r="N61" s="432" t="s">
        <v>308</v>
      </c>
      <c r="O61" s="432" t="s">
        <v>309</v>
      </c>
      <c r="P61" s="432" t="s">
        <v>310</v>
      </c>
      <c r="Q61" s="432" t="s">
        <v>311</v>
      </c>
      <c r="R61" s="432" t="s">
        <v>312</v>
      </c>
      <c r="S61" s="432" t="s">
        <v>313</v>
      </c>
      <c r="T61" s="417" t="s">
        <v>293</v>
      </c>
      <c r="U61" s="91"/>
      <c r="V61" s="91"/>
      <c r="W61" s="96"/>
    </row>
    <row r="62" customFormat="false" ht="15" hidden="true" customHeight="false" outlineLevel="0" collapsed="false">
      <c r="A62" s="90"/>
      <c r="B62" s="406" t="s">
        <v>291</v>
      </c>
      <c r="C62" s="98"/>
      <c r="D62" s="48"/>
      <c r="E62" s="433" t="n">
        <v>0</v>
      </c>
      <c r="F62" s="433" t="n">
        <v>0</v>
      </c>
      <c r="G62" s="433" t="n">
        <v>0</v>
      </c>
      <c r="H62" s="433" t="n">
        <v>0</v>
      </c>
      <c r="I62" s="433" t="n">
        <v>0</v>
      </c>
      <c r="J62" s="433" t="n">
        <v>0</v>
      </c>
      <c r="K62" s="433" t="n">
        <v>0</v>
      </c>
      <c r="L62" s="433" t="n">
        <v>0</v>
      </c>
      <c r="M62" s="433" t="n">
        <v>0</v>
      </c>
      <c r="N62" s="433" t="n">
        <v>0</v>
      </c>
      <c r="O62" s="433" t="n">
        <v>0</v>
      </c>
      <c r="P62" s="433" t="n">
        <v>0</v>
      </c>
      <c r="Q62" s="433" t="n">
        <v>0</v>
      </c>
      <c r="R62" s="433" t="n">
        <v>0</v>
      </c>
      <c r="S62" s="433" t="n">
        <v>0</v>
      </c>
      <c r="T62" s="419" t="n">
        <f aca="false">SUM(E62:S62)</f>
        <v>0</v>
      </c>
      <c r="U62" s="91"/>
      <c r="V62" s="91"/>
      <c r="W62" s="96"/>
    </row>
    <row r="63" customFormat="false" ht="15" hidden="true" customHeight="false" outlineLevel="0" collapsed="false">
      <c r="A63" s="90"/>
      <c r="B63" s="408" t="s">
        <v>292</v>
      </c>
      <c r="C63" s="98"/>
      <c r="D63" s="48"/>
      <c r="E63" s="433" t="n">
        <v>0</v>
      </c>
      <c r="F63" s="433" t="n">
        <v>0</v>
      </c>
      <c r="G63" s="433" t="n">
        <v>0</v>
      </c>
      <c r="H63" s="433" t="n">
        <v>0</v>
      </c>
      <c r="I63" s="433" t="n">
        <v>0</v>
      </c>
      <c r="J63" s="433" t="n">
        <v>0</v>
      </c>
      <c r="K63" s="433" t="n">
        <v>0</v>
      </c>
      <c r="L63" s="433" t="n">
        <v>0</v>
      </c>
      <c r="M63" s="433" t="n">
        <v>0</v>
      </c>
      <c r="N63" s="433" t="n">
        <v>0</v>
      </c>
      <c r="O63" s="433" t="n">
        <v>0</v>
      </c>
      <c r="P63" s="433" t="n">
        <v>0</v>
      </c>
      <c r="Q63" s="433" t="n">
        <v>0</v>
      </c>
      <c r="R63" s="433" t="n">
        <v>0</v>
      </c>
      <c r="S63" s="433" t="n">
        <v>0</v>
      </c>
      <c r="T63" s="419" t="n">
        <f aca="false">SUM(E63:S63)</f>
        <v>0</v>
      </c>
      <c r="U63" s="91"/>
      <c r="V63" s="91"/>
      <c r="W63" s="96"/>
    </row>
    <row r="64" customFormat="false" ht="15" hidden="true" customHeight="false" outlineLevel="0" collapsed="false">
      <c r="A64" s="90"/>
      <c r="B64" s="434"/>
      <c r="C64" s="98"/>
      <c r="D64" s="48"/>
      <c r="E64" s="435" t="n">
        <f aca="false">SUM(E62:E63)</f>
        <v>0</v>
      </c>
      <c r="F64" s="435" t="n">
        <f aca="false">SUM(F62:F63)</f>
        <v>0</v>
      </c>
      <c r="G64" s="435" t="n">
        <f aca="false">SUM(G62:G63)</f>
        <v>0</v>
      </c>
      <c r="H64" s="435" t="n">
        <f aca="false">SUM(H62:H63)</f>
        <v>0</v>
      </c>
      <c r="I64" s="435" t="n">
        <f aca="false">SUM(I62:I63)</f>
        <v>0</v>
      </c>
      <c r="J64" s="435" t="n">
        <f aca="false">SUM(J62:J63)</f>
        <v>0</v>
      </c>
      <c r="K64" s="435" t="n">
        <f aca="false">SUM(K62:K63)</f>
        <v>0</v>
      </c>
      <c r="L64" s="435" t="n">
        <f aca="false">SUM(L62:L63)</f>
        <v>0</v>
      </c>
      <c r="M64" s="435" t="n">
        <f aca="false">SUM(M62:M63)</f>
        <v>0</v>
      </c>
      <c r="N64" s="435" t="n">
        <f aca="false">SUM(N62:N63)</f>
        <v>0</v>
      </c>
      <c r="O64" s="435" t="n">
        <f aca="false">SUM(O62:O63)</f>
        <v>0</v>
      </c>
      <c r="P64" s="435" t="n">
        <f aca="false">SUM(P62:P63)</f>
        <v>0</v>
      </c>
      <c r="Q64" s="435" t="n">
        <f aca="false">SUM(Q62:Q63)</f>
        <v>0</v>
      </c>
      <c r="R64" s="435" t="n">
        <f aca="false">SUM(R62:R63)</f>
        <v>0</v>
      </c>
      <c r="S64" s="435" t="n">
        <f aca="false">SUM(S62:S63)</f>
        <v>0</v>
      </c>
      <c r="T64" s="435" t="n">
        <f aca="false">SUM(E62:S63)</f>
        <v>0</v>
      </c>
      <c r="U64" s="91"/>
      <c r="V64" s="91"/>
      <c r="W64" s="96"/>
    </row>
    <row r="65" customFormat="false" ht="15" hidden="true" customHeight="false" outlineLevel="0" collapsed="false">
      <c r="A65" s="90"/>
      <c r="B65" s="100"/>
      <c r="C65" s="98"/>
      <c r="D65" s="48"/>
      <c r="E65" s="424"/>
      <c r="F65" s="424"/>
      <c r="G65" s="424"/>
      <c r="H65" s="424"/>
      <c r="I65" s="424"/>
      <c r="J65" s="424"/>
      <c r="K65" s="424"/>
      <c r="L65" s="424"/>
      <c r="M65" s="424"/>
      <c r="N65" s="424"/>
      <c r="O65" s="424"/>
      <c r="P65" s="424"/>
      <c r="Q65" s="424"/>
      <c r="R65" s="424"/>
      <c r="S65" s="424"/>
      <c r="T65" s="425"/>
      <c r="U65" s="91"/>
      <c r="V65" s="91"/>
      <c r="W65" s="96"/>
    </row>
    <row r="66" customFormat="false" ht="18.75" hidden="true" customHeight="false" outlineLevel="0" collapsed="false">
      <c r="A66" s="428"/>
      <c r="B66" s="389" t="s">
        <v>326</v>
      </c>
      <c r="C66" s="390"/>
      <c r="D66" s="390"/>
      <c r="E66" s="390"/>
      <c r="F66" s="390"/>
      <c r="G66" s="390"/>
      <c r="H66" s="390"/>
      <c r="I66" s="390"/>
      <c r="J66" s="389"/>
      <c r="K66" s="390"/>
      <c r="L66" s="391"/>
      <c r="M66" s="391"/>
      <c r="N66" s="391"/>
      <c r="O66" s="392"/>
      <c r="P66" s="392"/>
      <c r="Q66" s="392"/>
      <c r="R66" s="392"/>
      <c r="S66" s="392"/>
      <c r="T66" s="392"/>
      <c r="U66" s="392"/>
      <c r="V66" s="392"/>
      <c r="W66" s="393"/>
    </row>
    <row r="67" customFormat="false" ht="15" hidden="true" customHeight="false" outlineLevel="0" collapsed="false">
      <c r="A67" s="90"/>
      <c r="B67" s="426"/>
      <c r="C67" s="426"/>
      <c r="D67" s="48"/>
      <c r="E67" s="426"/>
      <c r="F67" s="426"/>
      <c r="G67" s="426"/>
      <c r="H67" s="426"/>
      <c r="I67" s="426"/>
      <c r="J67" s="426"/>
      <c r="K67" s="426"/>
      <c r="L67" s="426"/>
      <c r="M67" s="426"/>
      <c r="N67" s="426"/>
      <c r="O67" s="426"/>
      <c r="P67" s="426"/>
      <c r="Q67" s="426"/>
      <c r="R67" s="426"/>
      <c r="S67" s="426"/>
      <c r="T67" s="426"/>
      <c r="U67" s="91"/>
      <c r="V67" s="91"/>
      <c r="W67" s="96"/>
    </row>
    <row r="68" customFormat="false" ht="15" hidden="true" customHeight="false" outlineLevel="0" collapsed="false">
      <c r="A68" s="90"/>
      <c r="B68" s="398" t="s">
        <v>319</v>
      </c>
      <c r="C68" s="98"/>
      <c r="D68" s="48"/>
      <c r="E68" s="398" t="s">
        <v>318</v>
      </c>
      <c r="F68" s="398"/>
      <c r="G68" s="398"/>
      <c r="H68" s="398"/>
      <c r="I68" s="398"/>
      <c r="J68" s="398"/>
      <c r="K68" s="398"/>
      <c r="L68" s="398"/>
      <c r="M68" s="398"/>
      <c r="N68" s="398"/>
      <c r="O68" s="398"/>
      <c r="P68" s="398"/>
      <c r="Q68" s="398"/>
      <c r="R68" s="398"/>
      <c r="S68" s="398"/>
      <c r="T68" s="398"/>
      <c r="U68" s="91"/>
      <c r="V68" s="91"/>
      <c r="W68" s="96"/>
    </row>
    <row r="69" customFormat="false" ht="15" hidden="true" customHeight="false" outlineLevel="0" collapsed="false">
      <c r="A69" s="90"/>
      <c r="B69" s="402"/>
      <c r="C69" s="98"/>
      <c r="D69" s="48"/>
      <c r="E69" s="431" t="s">
        <v>299</v>
      </c>
      <c r="F69" s="432" t="s">
        <v>300</v>
      </c>
      <c r="G69" s="432" t="s">
        <v>301</v>
      </c>
      <c r="H69" s="432" t="s">
        <v>302</v>
      </c>
      <c r="I69" s="432" t="s">
        <v>303</v>
      </c>
      <c r="J69" s="432" t="s">
        <v>304</v>
      </c>
      <c r="K69" s="432" t="s">
        <v>305</v>
      </c>
      <c r="L69" s="432" t="s">
        <v>306</v>
      </c>
      <c r="M69" s="432" t="s">
        <v>307</v>
      </c>
      <c r="N69" s="432" t="s">
        <v>308</v>
      </c>
      <c r="O69" s="432" t="s">
        <v>309</v>
      </c>
      <c r="P69" s="432" t="s">
        <v>310</v>
      </c>
      <c r="Q69" s="432" t="s">
        <v>311</v>
      </c>
      <c r="R69" s="432" t="s">
        <v>312</v>
      </c>
      <c r="S69" s="432" t="s">
        <v>313</v>
      </c>
      <c r="T69" s="417" t="s">
        <v>293</v>
      </c>
      <c r="U69" s="91"/>
      <c r="V69" s="91"/>
      <c r="W69" s="96"/>
    </row>
    <row r="70" customFormat="false" ht="15" hidden="true" customHeight="false" outlineLevel="0" collapsed="false">
      <c r="A70" s="90"/>
      <c r="B70" s="408" t="s">
        <v>319</v>
      </c>
      <c r="C70" s="98"/>
      <c r="D70" s="48"/>
      <c r="E70" s="433" t="n">
        <v>0</v>
      </c>
      <c r="F70" s="433" t="n">
        <v>0</v>
      </c>
      <c r="G70" s="433" t="n">
        <v>0</v>
      </c>
      <c r="H70" s="433" t="n">
        <v>0</v>
      </c>
      <c r="I70" s="433" t="n">
        <v>0</v>
      </c>
      <c r="J70" s="433" t="n">
        <v>0</v>
      </c>
      <c r="K70" s="433" t="n">
        <v>0</v>
      </c>
      <c r="L70" s="433" t="n">
        <v>0</v>
      </c>
      <c r="M70" s="433" t="n">
        <v>0</v>
      </c>
      <c r="N70" s="433" t="n">
        <v>0</v>
      </c>
      <c r="O70" s="433" t="n">
        <v>0</v>
      </c>
      <c r="P70" s="433" t="n">
        <v>0</v>
      </c>
      <c r="Q70" s="433" t="n">
        <v>0</v>
      </c>
      <c r="R70" s="433" t="n">
        <v>0</v>
      </c>
      <c r="S70" s="433" t="n">
        <v>0</v>
      </c>
      <c r="T70" s="419" t="n">
        <f aca="false">SUM(E70:S70)</f>
        <v>0</v>
      </c>
      <c r="U70" s="91"/>
      <c r="V70" s="91"/>
      <c r="W70" s="96"/>
    </row>
    <row r="71" customFormat="false" ht="15" hidden="true" customHeight="false" outlineLevel="0" collapsed="false">
      <c r="A71" s="90"/>
      <c r="B71" s="408" t="s">
        <v>320</v>
      </c>
      <c r="C71" s="98"/>
      <c r="D71" s="48"/>
      <c r="E71" s="433" t="n">
        <v>0</v>
      </c>
      <c r="F71" s="433" t="n">
        <v>0</v>
      </c>
      <c r="G71" s="433" t="n">
        <v>0</v>
      </c>
      <c r="H71" s="433" t="n">
        <v>0</v>
      </c>
      <c r="I71" s="433" t="n">
        <v>0</v>
      </c>
      <c r="J71" s="433" t="n">
        <v>0</v>
      </c>
      <c r="K71" s="433" t="n">
        <v>0</v>
      </c>
      <c r="L71" s="433" t="n">
        <v>0</v>
      </c>
      <c r="M71" s="433" t="n">
        <v>0</v>
      </c>
      <c r="N71" s="433" t="n">
        <v>0</v>
      </c>
      <c r="O71" s="433" t="n">
        <v>0</v>
      </c>
      <c r="P71" s="433" t="n">
        <v>0</v>
      </c>
      <c r="Q71" s="433" t="n">
        <v>0</v>
      </c>
      <c r="R71" s="433" t="n">
        <v>0</v>
      </c>
      <c r="S71" s="433" t="n">
        <v>0</v>
      </c>
      <c r="T71" s="419" t="n">
        <f aca="false">SUM(E71:S71)</f>
        <v>0</v>
      </c>
      <c r="U71" s="91"/>
      <c r="V71" s="91"/>
      <c r="W71" s="96"/>
    </row>
    <row r="72" customFormat="false" ht="15" hidden="true" customHeight="false" outlineLevel="0" collapsed="false">
      <c r="A72" s="90"/>
      <c r="B72" s="434"/>
      <c r="C72" s="98"/>
      <c r="D72" s="48"/>
      <c r="E72" s="411" t="n">
        <f aca="false">SUM(E70:E71)</f>
        <v>0</v>
      </c>
      <c r="F72" s="411" t="n">
        <f aca="false">SUM(F70:F71)</f>
        <v>0</v>
      </c>
      <c r="G72" s="411" t="n">
        <f aca="false">SUM(G70:G71)</f>
        <v>0</v>
      </c>
      <c r="H72" s="411" t="n">
        <f aca="false">SUM(H70:H71)</f>
        <v>0</v>
      </c>
      <c r="I72" s="411" t="n">
        <f aca="false">SUM(I70:I71)</f>
        <v>0</v>
      </c>
      <c r="J72" s="411" t="n">
        <f aca="false">SUM(J70:J71)</f>
        <v>0</v>
      </c>
      <c r="K72" s="411" t="n">
        <f aca="false">SUM(K70:K71)</f>
        <v>0</v>
      </c>
      <c r="L72" s="411" t="n">
        <f aca="false">SUM(L70:L71)</f>
        <v>0</v>
      </c>
      <c r="M72" s="411" t="n">
        <f aca="false">SUM(M70:M71)</f>
        <v>0</v>
      </c>
      <c r="N72" s="411" t="n">
        <f aca="false">SUM(N70:N71)</f>
        <v>0</v>
      </c>
      <c r="O72" s="411" t="n">
        <f aca="false">SUM(O70:O71)</f>
        <v>0</v>
      </c>
      <c r="P72" s="411" t="n">
        <f aca="false">SUM(P70:P71)</f>
        <v>0</v>
      </c>
      <c r="Q72" s="411" t="n">
        <f aca="false">SUM(Q70:Q71)</f>
        <v>0</v>
      </c>
      <c r="R72" s="411" t="n">
        <f aca="false">SUM(R70:R71)</f>
        <v>0</v>
      </c>
      <c r="S72" s="411" t="n">
        <f aca="false">SUM(S70:S71)</f>
        <v>0</v>
      </c>
      <c r="T72" s="411" t="n">
        <f aca="false">SUM(E70:S71)</f>
        <v>0</v>
      </c>
      <c r="U72" s="91"/>
      <c r="V72" s="91"/>
      <c r="W72" s="96"/>
    </row>
    <row r="73" customFormat="false" ht="15" hidden="true" customHeight="false" outlineLevel="0" collapsed="false">
      <c r="C73" s="48"/>
      <c r="D73" s="48"/>
    </row>
    <row r="74" customFormat="false" ht="15" hidden="true" customHeight="false" outlineLevel="0" collapsed="false">
      <c r="C74" s="48"/>
      <c r="D74" s="48"/>
    </row>
    <row r="75" customFormat="false" ht="15" hidden="true" customHeight="false" outlineLevel="0" collapsed="false">
      <c r="C75" s="48"/>
      <c r="D75" s="48"/>
      <c r="U75" s="101"/>
      <c r="V75" s="101"/>
      <c r="W75" s="436"/>
    </row>
    <row r="76" customFormat="false" ht="15" hidden="true" customHeight="false" outlineLevel="0" collapsed="false">
      <c r="C76" s="48"/>
      <c r="D76" s="48"/>
      <c r="U76" s="101"/>
      <c r="W76" s="436"/>
    </row>
    <row r="77" customFormat="false" ht="15" hidden="true" customHeight="false" outlineLevel="0" collapsed="false">
      <c r="U77" s="101"/>
      <c r="V77" s="101"/>
      <c r="W77" s="436"/>
    </row>
    <row r="78" customFormat="false" ht="15" hidden="true" customHeight="false" outlineLevel="0" collapsed="false">
      <c r="U78" s="101"/>
      <c r="V78" s="101"/>
      <c r="W78" s="436"/>
    </row>
    <row r="88" customFormat="false" ht="15" hidden="true" customHeight="false" outlineLevel="0" collapsed="false">
      <c r="A88" s="90"/>
      <c r="B88" s="91"/>
      <c r="C88" s="91"/>
      <c r="D88" s="91"/>
      <c r="E88" s="91"/>
      <c r="F88" s="91"/>
      <c r="G88" s="91"/>
      <c r="H88" s="91"/>
      <c r="I88" s="91"/>
      <c r="J88" s="91"/>
      <c r="K88" s="91"/>
      <c r="L88" s="91"/>
      <c r="M88" s="91"/>
      <c r="N88" s="91"/>
      <c r="O88" s="91"/>
      <c r="P88" s="91"/>
      <c r="Q88" s="91"/>
      <c r="R88" s="91"/>
      <c r="S88" s="91"/>
      <c r="T88" s="91"/>
      <c r="U88" s="91"/>
      <c r="V88" s="91"/>
      <c r="W88" s="96"/>
    </row>
    <row r="89" customFormat="false" ht="15" hidden="true" customHeight="false" outlineLevel="0" collapsed="false">
      <c r="A89" s="90"/>
      <c r="B89" s="91"/>
      <c r="C89" s="91"/>
      <c r="D89" s="91"/>
      <c r="E89" s="91"/>
      <c r="F89" s="91"/>
      <c r="G89" s="91"/>
      <c r="H89" s="91"/>
      <c r="I89" s="91"/>
      <c r="J89" s="91"/>
      <c r="K89" s="91"/>
      <c r="L89" s="91"/>
      <c r="M89" s="91"/>
      <c r="N89" s="91"/>
      <c r="O89" s="91"/>
      <c r="P89" s="91"/>
      <c r="Q89" s="91"/>
      <c r="R89" s="91"/>
      <c r="S89" s="91"/>
      <c r="T89" s="91"/>
      <c r="U89" s="91"/>
      <c r="V89" s="91"/>
      <c r="W89" s="96"/>
    </row>
    <row r="90" customFormat="false" ht="15" hidden="true" customHeight="false" outlineLevel="0" collapsed="false">
      <c r="A90" s="90"/>
      <c r="B90" s="91"/>
      <c r="C90" s="91"/>
      <c r="D90" s="91"/>
      <c r="E90" s="91"/>
      <c r="F90" s="91"/>
      <c r="G90" s="91"/>
      <c r="H90" s="91"/>
      <c r="I90" s="91"/>
      <c r="J90" s="91"/>
      <c r="K90" s="91"/>
      <c r="L90" s="91"/>
      <c r="M90" s="91"/>
      <c r="N90" s="91"/>
      <c r="O90" s="91"/>
      <c r="P90" s="91"/>
      <c r="Q90" s="91"/>
      <c r="R90" s="91"/>
      <c r="S90" s="91"/>
      <c r="T90" s="91"/>
      <c r="U90" s="91"/>
      <c r="V90" s="91"/>
      <c r="W90" s="96"/>
    </row>
    <row r="91" customFormat="false" ht="15" hidden="true" customHeight="false" outlineLevel="0" collapsed="false">
      <c r="A91" s="90"/>
      <c r="B91" s="91"/>
      <c r="C91" s="91"/>
      <c r="D91" s="91"/>
      <c r="E91" s="91"/>
      <c r="F91" s="91"/>
      <c r="G91" s="91"/>
      <c r="H91" s="91"/>
      <c r="I91" s="91"/>
      <c r="J91" s="91"/>
      <c r="K91" s="91"/>
      <c r="L91" s="91"/>
      <c r="M91" s="91"/>
      <c r="N91" s="91"/>
      <c r="O91" s="91"/>
      <c r="P91" s="91"/>
      <c r="Q91" s="91"/>
      <c r="R91" s="91"/>
      <c r="S91" s="91"/>
      <c r="T91" s="91"/>
      <c r="U91" s="91"/>
      <c r="V91" s="91"/>
      <c r="W91" s="96"/>
    </row>
    <row r="92" customFormat="false" ht="15" hidden="true" customHeight="false" outlineLevel="0" collapsed="false">
      <c r="A92" s="90"/>
      <c r="B92" s="91"/>
      <c r="C92" s="91"/>
      <c r="D92" s="91"/>
      <c r="E92" s="91"/>
      <c r="F92" s="91"/>
      <c r="G92" s="91"/>
      <c r="H92" s="91"/>
      <c r="I92" s="91"/>
      <c r="J92" s="91"/>
      <c r="K92" s="91"/>
      <c r="L92" s="91"/>
      <c r="M92" s="91"/>
      <c r="N92" s="91"/>
      <c r="O92" s="91"/>
      <c r="P92" s="91"/>
      <c r="Q92" s="91"/>
      <c r="R92" s="91"/>
      <c r="S92" s="91"/>
      <c r="T92" s="91"/>
      <c r="U92" s="91"/>
      <c r="V92" s="91"/>
      <c r="W92" s="96"/>
    </row>
    <row r="93" customFormat="false" ht="15" hidden="true" customHeight="false" outlineLevel="0" collapsed="false">
      <c r="A93" s="90"/>
      <c r="B93" s="91"/>
      <c r="C93" s="91"/>
      <c r="D93" s="91"/>
      <c r="E93" s="91"/>
      <c r="F93" s="91"/>
      <c r="G93" s="91"/>
      <c r="H93" s="91"/>
      <c r="I93" s="91"/>
      <c r="J93" s="91"/>
      <c r="K93" s="91"/>
      <c r="L93" s="91"/>
      <c r="M93" s="91"/>
      <c r="N93" s="91"/>
      <c r="O93" s="91"/>
      <c r="P93" s="91"/>
      <c r="Q93" s="91"/>
      <c r="R93" s="91"/>
      <c r="S93" s="91"/>
      <c r="T93" s="91"/>
      <c r="U93" s="91"/>
      <c r="V93" s="91"/>
      <c r="W93" s="96"/>
    </row>
    <row r="94" customFormat="false" ht="15" hidden="true" customHeight="false" outlineLevel="0" collapsed="false">
      <c r="A94" s="90"/>
      <c r="B94" s="91"/>
      <c r="C94" s="91"/>
      <c r="D94" s="91"/>
      <c r="E94" s="91"/>
      <c r="F94" s="91"/>
      <c r="G94" s="91"/>
      <c r="H94" s="91"/>
      <c r="I94" s="91"/>
      <c r="J94" s="91"/>
      <c r="K94" s="91"/>
      <c r="L94" s="91"/>
      <c r="M94" s="91"/>
      <c r="N94" s="91"/>
      <c r="O94" s="91"/>
      <c r="P94" s="91"/>
      <c r="Q94" s="91"/>
      <c r="R94" s="91"/>
      <c r="S94" s="91"/>
      <c r="T94" s="91"/>
      <c r="U94" s="91"/>
      <c r="V94" s="91"/>
      <c r="W94" s="96"/>
    </row>
    <row r="95" customFormat="false" ht="15" hidden="true" customHeight="false" outlineLevel="0" collapsed="false">
      <c r="A95" s="90"/>
      <c r="B95" s="91"/>
      <c r="C95" s="91"/>
      <c r="D95" s="91"/>
      <c r="E95" s="91"/>
      <c r="F95" s="91"/>
      <c r="G95" s="91"/>
      <c r="H95" s="91"/>
      <c r="I95" s="91"/>
      <c r="J95" s="91"/>
      <c r="K95" s="91"/>
      <c r="L95" s="91"/>
      <c r="M95" s="91"/>
      <c r="N95" s="91"/>
      <c r="O95" s="91"/>
      <c r="P95" s="91"/>
      <c r="Q95" s="91"/>
      <c r="R95" s="91"/>
      <c r="S95" s="91"/>
      <c r="T95" s="91"/>
      <c r="U95" s="91"/>
      <c r="V95" s="91"/>
      <c r="W95" s="96"/>
    </row>
    <row r="96" customFormat="false" ht="15" hidden="true" customHeight="false" outlineLevel="0" collapsed="false">
      <c r="W96" s="96"/>
    </row>
    <row r="97" customFormat="false" ht="15" hidden="true" customHeight="false" outlineLevel="0" collapsed="false">
      <c r="W97" s="96"/>
    </row>
    <row r="98" customFormat="false" ht="15" hidden="true" customHeight="false" outlineLevel="0" collapsed="false">
      <c r="W98" s="422"/>
    </row>
    <row r="99" customFormat="false" ht="15" hidden="true" customHeight="false" outlineLevel="0" collapsed="false">
      <c r="W99" s="422"/>
    </row>
    <row r="100" customFormat="false" ht="15" hidden="true" customHeight="false" outlineLevel="0" collapsed="false">
      <c r="W100" s="422"/>
    </row>
    <row r="101" customFormat="false" ht="15" hidden="true" customHeight="false" outlineLevel="0" collapsed="false">
      <c r="W101" s="422"/>
    </row>
    <row r="102" customFormat="false" ht="15" hidden="true" customHeight="false" outlineLevel="0" collapsed="false">
      <c r="W102" s="422"/>
    </row>
    <row r="103" customFormat="false" ht="15" hidden="true" customHeight="false" outlineLevel="0" collapsed="false">
      <c r="W103" s="422"/>
    </row>
    <row r="104" customFormat="false" ht="15" hidden="true" customHeight="false" outlineLevel="0" collapsed="false">
      <c r="W104" s="422"/>
    </row>
    <row r="105" customFormat="false" ht="15" hidden="true" customHeight="false" outlineLevel="0" collapsed="false">
      <c r="W105" s="422"/>
    </row>
    <row r="106" customFormat="false" ht="15" hidden="true" customHeight="false" outlineLevel="0" collapsed="false">
      <c r="W106" s="422"/>
    </row>
    <row r="107" customFormat="false" ht="15" hidden="true" customHeight="false" outlineLevel="0" collapsed="false">
      <c r="W107" s="422"/>
    </row>
    <row r="108" customFormat="false" ht="15" hidden="true" customHeight="false" outlineLevel="0" collapsed="false">
      <c r="W108" s="422"/>
    </row>
    <row r="109" customFormat="false" ht="15" hidden="true" customHeight="false" outlineLevel="0" collapsed="false">
      <c r="W109" s="422"/>
    </row>
    <row r="111" customFormat="false" ht="15" hidden="true" customHeight="false" outlineLevel="0" collapsed="false">
      <c r="W111" s="84"/>
    </row>
  </sheetData>
  <mergeCells count="145">
    <mergeCell ref="E7:T7"/>
    <mergeCell ref="E8:J8"/>
    <mergeCell ref="K8:T8"/>
    <mergeCell ref="E9:F9"/>
    <mergeCell ref="G9:H9"/>
    <mergeCell ref="I9:J9"/>
    <mergeCell ref="K9:L9"/>
    <mergeCell ref="M9:N9"/>
    <mergeCell ref="O9:P9"/>
    <mergeCell ref="Q9:R9"/>
    <mergeCell ref="S9:T9"/>
    <mergeCell ref="E10:F10"/>
    <mergeCell ref="G10:H10"/>
    <mergeCell ref="I10:J10"/>
    <mergeCell ref="K10:L10"/>
    <mergeCell ref="M10:N10"/>
    <mergeCell ref="O10:P10"/>
    <mergeCell ref="Q10:R10"/>
    <mergeCell ref="S10:T10"/>
    <mergeCell ref="E11:F11"/>
    <mergeCell ref="G11:H11"/>
    <mergeCell ref="I11:J11"/>
    <mergeCell ref="K11:L11"/>
    <mergeCell ref="M11:N11"/>
    <mergeCell ref="O11:P11"/>
    <mergeCell ref="Q11:R11"/>
    <mergeCell ref="S11:T11"/>
    <mergeCell ref="E12:F12"/>
    <mergeCell ref="G12:H12"/>
    <mergeCell ref="I12:J12"/>
    <mergeCell ref="K12:L12"/>
    <mergeCell ref="M12:N12"/>
    <mergeCell ref="O12:P12"/>
    <mergeCell ref="Q12:R12"/>
    <mergeCell ref="S12:T12"/>
    <mergeCell ref="E16:T16"/>
    <mergeCell ref="E17:J17"/>
    <mergeCell ref="K17:T17"/>
    <mergeCell ref="E18:F18"/>
    <mergeCell ref="G18:H18"/>
    <mergeCell ref="I18:J18"/>
    <mergeCell ref="K18:L18"/>
    <mergeCell ref="M18:N18"/>
    <mergeCell ref="O18:P18"/>
    <mergeCell ref="Q18:R18"/>
    <mergeCell ref="S18:T18"/>
    <mergeCell ref="E19:F19"/>
    <mergeCell ref="G19:H19"/>
    <mergeCell ref="I19:J19"/>
    <mergeCell ref="K19:L19"/>
    <mergeCell ref="M19:N19"/>
    <mergeCell ref="O19:P19"/>
    <mergeCell ref="Q19:R19"/>
    <mergeCell ref="S19:T19"/>
    <mergeCell ref="E20:F20"/>
    <mergeCell ref="G20:H20"/>
    <mergeCell ref="I20:J20"/>
    <mergeCell ref="K20:L20"/>
    <mergeCell ref="M20:N20"/>
    <mergeCell ref="O20:P20"/>
    <mergeCell ref="Q20:R20"/>
    <mergeCell ref="S20:T20"/>
    <mergeCell ref="E21:F21"/>
    <mergeCell ref="G21:H21"/>
    <mergeCell ref="I21:J21"/>
    <mergeCell ref="K21:L21"/>
    <mergeCell ref="M21:N21"/>
    <mergeCell ref="O21:P21"/>
    <mergeCell ref="Q21:R21"/>
    <mergeCell ref="S21:T21"/>
    <mergeCell ref="A24:W24"/>
    <mergeCell ref="E38:T38"/>
    <mergeCell ref="E39:J39"/>
    <mergeCell ref="K39:T39"/>
    <mergeCell ref="E40:F40"/>
    <mergeCell ref="G40:H40"/>
    <mergeCell ref="I40:J40"/>
    <mergeCell ref="K40:L40"/>
    <mergeCell ref="M40:N40"/>
    <mergeCell ref="O40:P40"/>
    <mergeCell ref="Q40:R40"/>
    <mergeCell ref="S40:T40"/>
    <mergeCell ref="E41:F41"/>
    <mergeCell ref="G41:H41"/>
    <mergeCell ref="I41:J41"/>
    <mergeCell ref="K41:L41"/>
    <mergeCell ref="M41:N41"/>
    <mergeCell ref="O41:P41"/>
    <mergeCell ref="Q41:R41"/>
    <mergeCell ref="S41:T41"/>
    <mergeCell ref="E42:F42"/>
    <mergeCell ref="G42:H42"/>
    <mergeCell ref="I42:J42"/>
    <mergeCell ref="K42:L42"/>
    <mergeCell ref="M42:N42"/>
    <mergeCell ref="O42:P42"/>
    <mergeCell ref="Q42:R42"/>
    <mergeCell ref="S42:T42"/>
    <mergeCell ref="E43:F43"/>
    <mergeCell ref="G43:H43"/>
    <mergeCell ref="I43:J43"/>
    <mergeCell ref="K43:L43"/>
    <mergeCell ref="M43:N43"/>
    <mergeCell ref="O43:P43"/>
    <mergeCell ref="Q43:R43"/>
    <mergeCell ref="S43:T43"/>
    <mergeCell ref="E47:T47"/>
    <mergeCell ref="B48:B49"/>
    <mergeCell ref="E48:J48"/>
    <mergeCell ref="K48:T48"/>
    <mergeCell ref="E49:F49"/>
    <mergeCell ref="G49:H49"/>
    <mergeCell ref="I49:J49"/>
    <mergeCell ref="K49:L49"/>
    <mergeCell ref="M49:N49"/>
    <mergeCell ref="O49:P49"/>
    <mergeCell ref="Q49:R49"/>
    <mergeCell ref="S49:T49"/>
    <mergeCell ref="E50:F50"/>
    <mergeCell ref="G50:H50"/>
    <mergeCell ref="I50:J50"/>
    <mergeCell ref="K50:L50"/>
    <mergeCell ref="M50:N50"/>
    <mergeCell ref="O50:P50"/>
    <mergeCell ref="Q50:R50"/>
    <mergeCell ref="S50:T50"/>
    <mergeCell ref="E51:F51"/>
    <mergeCell ref="G51:H51"/>
    <mergeCell ref="I51:J51"/>
    <mergeCell ref="K51:L51"/>
    <mergeCell ref="M51:N51"/>
    <mergeCell ref="O51:P51"/>
    <mergeCell ref="Q51:R51"/>
    <mergeCell ref="S51:T51"/>
    <mergeCell ref="E52:F52"/>
    <mergeCell ref="G52:H52"/>
    <mergeCell ref="I52:J52"/>
    <mergeCell ref="K52:L52"/>
    <mergeCell ref="M52:N52"/>
    <mergeCell ref="O52:P52"/>
    <mergeCell ref="Q52:R52"/>
    <mergeCell ref="S52:T52"/>
    <mergeCell ref="B56:G56"/>
    <mergeCell ref="E60:T60"/>
    <mergeCell ref="E68:T68"/>
  </mergeCells>
  <conditionalFormatting sqref="H56">
    <cfRule type="cellIs" priority="2" operator="equal" aboveAverage="0" equalAverage="0" bottom="0" percent="0" rank="0" text="" dxfId="0">
      <formula>0</formula>
    </cfRule>
  </conditionalFormatting>
  <dataValidations count="1">
    <dataValidation allowBlank="true" operator="between" showDropDown="false" showErrorMessage="true" showInputMessage="true" sqref="E10:T11 E19:T20 E27:S33 E41:T42 E50:T51 H56" type="decimal">
      <formula1>0</formula1>
      <formula2>10000000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7.xml><?xml version="1.0" encoding="utf-8"?>
<worksheet xmlns="http://schemas.openxmlformats.org/spreadsheetml/2006/main" xmlns:r="http://schemas.openxmlformats.org/officeDocument/2006/relationships">
  <sheetPr filterMode="false">
    <tabColor rgb="FF00FF00"/>
    <pageSetUpPr fitToPage="true"/>
  </sheetPr>
  <dimension ref="A1:Z56"/>
  <sheetViews>
    <sheetView showFormulas="false" showGridLines="false" showRowColHeaders="true" showZeros="true" rightToLeft="false" tabSelected="false" showOutlineSymbols="true" defaultGridColor="true" view="normal" topLeftCell="A31" colorId="64" zoomScale="100" zoomScaleNormal="100" zoomScalePageLayoutView="100" workbookViewId="0">
      <selection pane="topLeft" activeCell="A34" activeCellId="0" sqref="A34"/>
    </sheetView>
  </sheetViews>
  <sheetFormatPr defaultRowHeight="12.75" zeroHeight="true" outlineLevelRow="0" outlineLevelCol="0"/>
  <cols>
    <col collapsed="false" customWidth="true" hidden="false" outlineLevel="0" max="1" min="1" style="437" width="9.14"/>
    <col collapsed="false" customWidth="true" hidden="false" outlineLevel="0" max="3" min="2" style="101" width="9.14"/>
    <col collapsed="false" customWidth="true" hidden="false" outlineLevel="0" max="11" min="4" style="101" width="13.29"/>
    <col collapsed="false" customWidth="true" hidden="false" outlineLevel="0" max="12" min="12" style="438" width="2.42"/>
    <col collapsed="false" customWidth="true" hidden="true" outlineLevel="0" max="26" min="13" style="439" width="9.14"/>
    <col collapsed="false" customWidth="true" hidden="true" outlineLevel="0" max="1025" min="27" style="101" width="9.14"/>
  </cols>
  <sheetData>
    <row r="1" s="442" customFormat="true" ht="28.5" hidden="false" customHeight="false" outlineLevel="0" collapsed="false">
      <c r="A1" s="113" t="str">
        <f aca="false">'5.0 Economy'!A1</f>
        <v>Market Analysis </v>
      </c>
      <c r="B1" s="114"/>
      <c r="C1" s="114"/>
      <c r="D1" s="114"/>
      <c r="E1" s="114"/>
      <c r="F1" s="114"/>
      <c r="G1" s="114"/>
      <c r="H1" s="114"/>
      <c r="I1" s="114"/>
      <c r="J1" s="114"/>
      <c r="K1" s="115" t="s">
        <v>327</v>
      </c>
      <c r="L1" s="440"/>
      <c r="M1" s="441"/>
      <c r="N1" s="441"/>
      <c r="O1" s="441"/>
      <c r="P1" s="441"/>
      <c r="Q1" s="441"/>
      <c r="R1" s="441"/>
      <c r="S1" s="441"/>
      <c r="T1" s="441"/>
      <c r="U1" s="441"/>
      <c r="V1" s="441"/>
      <c r="W1" s="441"/>
      <c r="X1" s="441"/>
      <c r="Y1" s="441"/>
      <c r="Z1" s="441"/>
    </row>
    <row r="2" customFormat="false" ht="12.75" hidden="false" customHeight="false" outlineLevel="0" collapsed="false">
      <c r="A2" s="443"/>
      <c r="B2" s="444"/>
      <c r="C2" s="445"/>
      <c r="D2" s="446"/>
      <c r="E2" s="447"/>
      <c r="H2" s="448"/>
      <c r="I2" s="446"/>
      <c r="J2" s="446"/>
      <c r="K2" s="449"/>
    </row>
    <row r="3" customFormat="false" ht="12.75" hidden="false" customHeight="false" outlineLevel="0" collapsed="false">
      <c r="A3" s="437" t="s">
        <v>103</v>
      </c>
      <c r="B3" s="444"/>
      <c r="C3" s="450" t="str">
        <f aca="false">'Reference sheet'!C12</f>
        <v>TEST</v>
      </c>
      <c r="D3" s="446"/>
      <c r="E3" s="447"/>
      <c r="G3" s="451" t="s">
        <v>49</v>
      </c>
      <c r="H3" s="452" t="str">
        <f aca="false">'Reference sheet'!C17</f>
        <v>July</v>
      </c>
      <c r="I3" s="453" t="n">
        <f aca="false">'Reference sheet'!D17</f>
        <v>2018</v>
      </c>
      <c r="J3" s="451" t="s">
        <v>46</v>
      </c>
      <c r="K3" s="454" t="n">
        <f aca="false">'Reference sheet'!C15</f>
        <v>1</v>
      </c>
    </row>
    <row r="4" customFormat="false" ht="12.75" hidden="false" customHeight="false" outlineLevel="0" collapsed="false">
      <c r="A4" s="455"/>
      <c r="B4" s="456"/>
      <c r="C4" s="457"/>
      <c r="D4" s="457"/>
      <c r="E4" s="457"/>
      <c r="F4" s="457"/>
      <c r="G4" s="458"/>
      <c r="H4" s="457"/>
      <c r="I4" s="457"/>
      <c r="J4" s="457"/>
      <c r="K4" s="459"/>
    </row>
    <row r="5" customFormat="false" ht="12.75" hidden="false" customHeight="false" outlineLevel="0" collapsed="false"/>
    <row r="6" s="464" customFormat="true" ht="13.15" hidden="false" customHeight="true" outlineLevel="0" collapsed="false">
      <c r="A6" s="460" t="s">
        <v>328</v>
      </c>
      <c r="B6" s="461"/>
      <c r="C6" s="461"/>
      <c r="D6" s="462" t="s">
        <v>288</v>
      </c>
      <c r="E6" s="462"/>
      <c r="F6" s="462"/>
      <c r="G6" s="463" t="s">
        <v>316</v>
      </c>
      <c r="H6" s="463"/>
      <c r="I6" s="463"/>
      <c r="J6" s="463"/>
      <c r="K6" s="463"/>
      <c r="L6" s="438"/>
    </row>
    <row r="7" customFormat="false" ht="12.75" hidden="false" customHeight="false" outlineLevel="0" collapsed="false">
      <c r="D7" s="465" t="n">
        <f aca="false">F7-2</f>
        <v>2015</v>
      </c>
      <c r="E7" s="465" t="n">
        <f aca="false">G7-2</f>
        <v>2016</v>
      </c>
      <c r="F7" s="465" t="n">
        <f aca="false">+G7-1</f>
        <v>2017</v>
      </c>
      <c r="G7" s="466" t="n">
        <f aca="false">'Reference sheet'!C18</f>
        <v>2018</v>
      </c>
      <c r="H7" s="467" t="n">
        <f aca="false">G7+1</f>
        <v>2019</v>
      </c>
      <c r="I7" s="467" t="n">
        <f aca="false">H7+1</f>
        <v>2020</v>
      </c>
      <c r="J7" s="467" t="n">
        <f aca="false">I7+1</f>
        <v>2021</v>
      </c>
      <c r="K7" s="467" t="n">
        <f aca="false">J7+1</f>
        <v>2022</v>
      </c>
    </row>
    <row r="8" customFormat="false" ht="12.75" hidden="false" customHeight="false" outlineLevel="0" collapsed="false">
      <c r="A8" s="468" t="s">
        <v>329</v>
      </c>
      <c r="B8" s="442"/>
      <c r="C8" s="442"/>
      <c r="D8" s="469" t="n">
        <f aca="false">'5.1 DAF Vehicle Parc Input'!E10</f>
        <v>0</v>
      </c>
      <c r="E8" s="469" t="n">
        <f aca="false">'5.1 DAF Vehicle Parc Input'!G10</f>
        <v>0</v>
      </c>
      <c r="F8" s="469" t="n">
        <f aca="false">'5.1 DAF Vehicle Parc Input'!I10</f>
        <v>0</v>
      </c>
      <c r="G8" s="470" t="n">
        <f aca="false">'5.1 DAF Vehicle Parc Input'!K10</f>
        <v>0</v>
      </c>
      <c r="H8" s="470" t="n">
        <f aca="false">'5.1 DAF Vehicle Parc Input'!M10</f>
        <v>0</v>
      </c>
      <c r="I8" s="470" t="n">
        <f aca="false">'5.1 DAF Vehicle Parc Input'!O10</f>
        <v>0</v>
      </c>
      <c r="J8" s="470" t="n">
        <f aca="false">'5.1 DAF Vehicle Parc Input'!Q10</f>
        <v>0</v>
      </c>
      <c r="K8" s="470" t="n">
        <f aca="false">'5.1 DAF Vehicle Parc Input'!S10</f>
        <v>0</v>
      </c>
    </row>
    <row r="9" customFormat="false" ht="12.75" hidden="false" customHeight="false" outlineLevel="0" collapsed="false">
      <c r="A9" s="443" t="s">
        <v>330</v>
      </c>
      <c r="D9" s="469" t="n">
        <f aca="false">'5.1 DAF Vehicle Parc Input'!E11</f>
        <v>0</v>
      </c>
      <c r="E9" s="469" t="n">
        <f aca="false">'5.1 DAF Vehicle Parc Input'!G11</f>
        <v>0</v>
      </c>
      <c r="F9" s="469" t="n">
        <f aca="false">'5.1 DAF Vehicle Parc Input'!I11</f>
        <v>0</v>
      </c>
      <c r="G9" s="470" t="n">
        <f aca="false">'5.1 DAF Vehicle Parc Input'!K11</f>
        <v>0</v>
      </c>
      <c r="H9" s="470" t="n">
        <f aca="false">'5.1 DAF Vehicle Parc Input'!M11</f>
        <v>0</v>
      </c>
      <c r="I9" s="470" t="n">
        <f aca="false">'5.1 DAF Vehicle Parc Input'!O11</f>
        <v>0</v>
      </c>
      <c r="J9" s="470" t="n">
        <f aca="false">'5.1 DAF Vehicle Parc Input'!Q11</f>
        <v>0</v>
      </c>
      <c r="K9" s="470" t="n">
        <f aca="false">'5.1 DAF Vehicle Parc Input'!S11</f>
        <v>0</v>
      </c>
    </row>
    <row r="10" customFormat="false" ht="12.75" hidden="false" customHeight="false" outlineLevel="0" collapsed="false">
      <c r="A10" s="471" t="s">
        <v>293</v>
      </c>
      <c r="B10" s="472"/>
      <c r="C10" s="473"/>
      <c r="D10" s="474" t="n">
        <f aca="false">SUM(D8:D9)</f>
        <v>0</v>
      </c>
      <c r="E10" s="474" t="n">
        <f aca="false">SUM(E8:E9)</f>
        <v>0</v>
      </c>
      <c r="F10" s="475" t="n">
        <f aca="false">SUM(F8:F9)</f>
        <v>0</v>
      </c>
      <c r="G10" s="475" t="n">
        <f aca="false">SUM(G8:G9)</f>
        <v>0</v>
      </c>
      <c r="H10" s="475" t="n">
        <f aca="false">SUM(H8:H9)</f>
        <v>0</v>
      </c>
      <c r="I10" s="475" t="n">
        <f aca="false">SUM(I8:I9)</f>
        <v>0</v>
      </c>
      <c r="J10" s="475" t="n">
        <f aca="false">SUM(J8:J9)</f>
        <v>0</v>
      </c>
      <c r="K10" s="475" t="n">
        <f aca="false">SUM(K8:K9)</f>
        <v>0</v>
      </c>
    </row>
    <row r="11" customFormat="false" ht="12.75" hidden="false" customHeight="false" outlineLevel="0" collapsed="false"/>
    <row r="12" customFormat="false" ht="12.75" hidden="false" customHeight="false" outlineLevel="0" collapsed="false"/>
    <row r="13" customFormat="false" ht="12.75" hidden="false" customHeight="false" outlineLevel="0" collapsed="false"/>
    <row r="14" customFormat="false" ht="12.75" hidden="false" customHeight="false" outlineLevel="0" collapsed="false"/>
    <row r="15" customFormat="false" ht="12.75" hidden="false" customHeight="false" outlineLevel="0" collapsed="false"/>
    <row r="16" customFormat="false" ht="12.75" hidden="false" customHeight="false" outlineLevel="0" collapsed="false"/>
    <row r="17" customFormat="false" ht="12.75" hidden="false" customHeight="false" outlineLevel="0" collapsed="false"/>
    <row r="18" customFormat="false" ht="12.75" hidden="false" customHeight="false" outlineLevel="0" collapsed="false"/>
    <row r="19" customFormat="false" ht="12.75" hidden="false" customHeight="false" outlineLevel="0" collapsed="false"/>
    <row r="20" customFormat="false" ht="12.75" hidden="false" customHeight="false" outlineLevel="0" collapsed="false"/>
    <row r="21" customFormat="false" ht="12.75" hidden="false" customHeight="false" outlineLevel="0" collapsed="false"/>
    <row r="22" customFormat="false" ht="12.75" hidden="false" customHeight="false" outlineLevel="0" collapsed="false"/>
    <row r="23" customFormat="false" ht="12.75" hidden="false" customHeight="false" outlineLevel="0" collapsed="false"/>
    <row r="24" customFormat="false" ht="12.75" hidden="false" customHeight="false" outlineLevel="0" collapsed="false"/>
    <row r="25" customFormat="false" ht="12.75" hidden="false" customHeight="false" outlineLevel="0" collapsed="false"/>
    <row r="26" customFormat="false" ht="12.75" hidden="false" customHeight="false" outlineLevel="0" collapsed="false"/>
    <row r="27" customFormat="false" ht="12.75" hidden="false" customHeight="false" outlineLevel="0" collapsed="false"/>
    <row r="28" customFormat="false" ht="12.75" hidden="false" customHeight="false" outlineLevel="0" collapsed="false"/>
    <row r="29" customFormat="false" ht="12.75" hidden="false" customHeight="false" outlineLevel="0" collapsed="false"/>
    <row r="30" customFormat="false" ht="12.75" hidden="false" customHeight="false" outlineLevel="0" collapsed="false">
      <c r="A30" s="101"/>
    </row>
    <row r="31" customFormat="false" ht="12.75" hidden="false" customHeight="false" outlineLevel="0" collapsed="false">
      <c r="A31" s="457"/>
      <c r="K31" s="473"/>
    </row>
    <row r="32" s="464" customFormat="true" ht="12.75" hidden="false" customHeight="false" outlineLevel="0" collapsed="false">
      <c r="A32" s="460" t="s">
        <v>331</v>
      </c>
      <c r="B32" s="476"/>
      <c r="C32" s="476"/>
      <c r="D32" s="476"/>
      <c r="E32" s="476"/>
      <c r="F32" s="476"/>
      <c r="G32" s="476"/>
      <c r="H32" s="476"/>
      <c r="I32" s="476"/>
      <c r="J32" s="476"/>
      <c r="K32" s="477"/>
      <c r="L32" s="438"/>
    </row>
    <row r="33" customFormat="false" ht="12.75" hidden="false" customHeight="false" outlineLevel="0" collapsed="false">
      <c r="A33" s="478"/>
      <c r="B33" s="479"/>
      <c r="C33" s="479"/>
      <c r="D33" s="479"/>
      <c r="E33" s="479"/>
      <c r="F33" s="479"/>
      <c r="G33" s="479"/>
      <c r="H33" s="479"/>
      <c r="I33" s="479"/>
      <c r="J33" s="479"/>
      <c r="K33" s="480"/>
    </row>
    <row r="34" customFormat="false" ht="12.75" hidden="false" customHeight="false" outlineLevel="0" collapsed="false">
      <c r="A34" s="481"/>
      <c r="B34" s="482"/>
      <c r="C34" s="482"/>
      <c r="D34" s="482"/>
      <c r="E34" s="482"/>
      <c r="F34" s="482"/>
      <c r="G34" s="482"/>
      <c r="H34" s="482"/>
      <c r="I34" s="482"/>
      <c r="J34" s="482"/>
      <c r="K34" s="483"/>
    </row>
    <row r="35" customFormat="false" ht="12.75" hidden="false" customHeight="false" outlineLevel="0" collapsed="false">
      <c r="A35" s="481" t="s">
        <v>332</v>
      </c>
      <c r="B35" s="482"/>
      <c r="C35" s="482"/>
      <c r="D35" s="482"/>
      <c r="E35" s="482"/>
      <c r="F35" s="482"/>
      <c r="G35" s="482"/>
      <c r="H35" s="482"/>
      <c r="I35" s="482"/>
      <c r="J35" s="482"/>
      <c r="K35" s="483"/>
    </row>
    <row r="36" customFormat="false" ht="12.75" hidden="false" customHeight="false" outlineLevel="0" collapsed="false">
      <c r="A36" s="481" t="s">
        <v>332</v>
      </c>
      <c r="B36" s="482"/>
      <c r="C36" s="482"/>
      <c r="D36" s="482"/>
      <c r="E36" s="482"/>
      <c r="F36" s="482"/>
      <c r="G36" s="482"/>
      <c r="H36" s="482"/>
      <c r="I36" s="482"/>
      <c r="J36" s="482"/>
      <c r="K36" s="483"/>
    </row>
    <row r="37" customFormat="false" ht="12.75" hidden="false" customHeight="false" outlineLevel="0" collapsed="false">
      <c r="A37" s="481"/>
      <c r="B37" s="482" t="s">
        <v>332</v>
      </c>
      <c r="C37" s="482"/>
      <c r="D37" s="482"/>
      <c r="E37" s="482"/>
      <c r="F37" s="482"/>
      <c r="G37" s="482"/>
      <c r="H37" s="482"/>
      <c r="I37" s="482"/>
      <c r="J37" s="482"/>
      <c r="K37" s="483"/>
    </row>
    <row r="38" customFormat="false" ht="12.75" hidden="false" customHeight="false" outlineLevel="0" collapsed="false">
      <c r="A38" s="481"/>
      <c r="B38" s="482"/>
      <c r="C38" s="482"/>
      <c r="D38" s="482"/>
      <c r="E38" s="482"/>
      <c r="F38" s="482"/>
      <c r="G38" s="482"/>
      <c r="H38" s="482"/>
      <c r="I38" s="482"/>
      <c r="J38" s="482"/>
      <c r="K38" s="483"/>
    </row>
    <row r="39" customFormat="false" ht="12.75" hidden="false" customHeight="false" outlineLevel="0" collapsed="false">
      <c r="A39" s="481"/>
      <c r="B39" s="482"/>
      <c r="C39" s="482"/>
      <c r="D39" s="482"/>
      <c r="E39" s="482"/>
      <c r="F39" s="482"/>
      <c r="G39" s="482"/>
      <c r="H39" s="482"/>
      <c r="I39" s="482"/>
      <c r="J39" s="482"/>
      <c r="K39" s="483"/>
    </row>
    <row r="40" customFormat="false" ht="12.75" hidden="false" customHeight="false" outlineLevel="0" collapsed="false">
      <c r="A40" s="484"/>
      <c r="B40" s="485"/>
      <c r="C40" s="485"/>
      <c r="D40" s="485"/>
      <c r="E40" s="485"/>
      <c r="F40" s="485"/>
      <c r="G40" s="485"/>
      <c r="H40" s="485"/>
      <c r="I40" s="485"/>
      <c r="J40" s="485"/>
      <c r="K40" s="486"/>
    </row>
    <row r="41" customFormat="false" ht="12.75" hidden="false" customHeight="false" outlineLevel="0" collapsed="false">
      <c r="A41" s="473"/>
    </row>
    <row r="42" s="464" customFormat="true" ht="12.75" hidden="false" customHeight="false" outlineLevel="0" collapsed="false">
      <c r="A42" s="460" t="s">
        <v>333</v>
      </c>
      <c r="B42" s="476"/>
      <c r="C42" s="476"/>
      <c r="D42" s="476"/>
      <c r="E42" s="476"/>
      <c r="F42" s="476"/>
      <c r="G42" s="476"/>
      <c r="H42" s="476"/>
      <c r="I42" s="476"/>
      <c r="J42" s="476"/>
      <c r="K42" s="477"/>
      <c r="L42" s="438"/>
    </row>
    <row r="43" customFormat="false" ht="12.75" hidden="false" customHeight="false" outlineLevel="0" collapsed="false">
      <c r="A43" s="478"/>
      <c r="B43" s="479"/>
      <c r="C43" s="479"/>
      <c r="D43" s="479"/>
      <c r="E43" s="479"/>
      <c r="F43" s="479"/>
      <c r="G43" s="479"/>
      <c r="H43" s="479"/>
      <c r="I43" s="479"/>
      <c r="J43" s="479"/>
      <c r="K43" s="480"/>
    </row>
    <row r="44" customFormat="false" ht="12.75" hidden="false" customHeight="false" outlineLevel="0" collapsed="false">
      <c r="A44" s="481"/>
      <c r="B44" s="482"/>
      <c r="C44" s="482"/>
      <c r="D44" s="482"/>
      <c r="E44" s="482"/>
      <c r="F44" s="482"/>
      <c r="G44" s="482"/>
      <c r="H44" s="482"/>
      <c r="I44" s="482"/>
      <c r="J44" s="482"/>
      <c r="K44" s="483"/>
    </row>
    <row r="45" customFormat="false" ht="12.75" hidden="false" customHeight="false" outlineLevel="0" collapsed="false">
      <c r="A45" s="481"/>
      <c r="B45" s="482"/>
      <c r="C45" s="482"/>
      <c r="D45" s="482"/>
      <c r="E45" s="482"/>
      <c r="F45" s="482"/>
      <c r="G45" s="482"/>
      <c r="H45" s="482"/>
      <c r="I45" s="482"/>
      <c r="J45" s="482"/>
      <c r="K45" s="483"/>
    </row>
    <row r="46" customFormat="false" ht="12.75" hidden="false" customHeight="false" outlineLevel="0" collapsed="false">
      <c r="A46" s="481"/>
      <c r="B46" s="482"/>
      <c r="C46" s="482"/>
      <c r="D46" s="482"/>
      <c r="E46" s="482"/>
      <c r="F46" s="482"/>
      <c r="G46" s="482"/>
      <c r="H46" s="482"/>
      <c r="I46" s="482"/>
      <c r="J46" s="482"/>
      <c r="K46" s="483"/>
    </row>
    <row r="47" customFormat="false" ht="12.75" hidden="false" customHeight="false" outlineLevel="0" collapsed="false">
      <c r="A47" s="481"/>
      <c r="B47" s="482"/>
      <c r="C47" s="482"/>
      <c r="D47" s="482"/>
      <c r="E47" s="482"/>
      <c r="F47" s="482"/>
      <c r="G47" s="482"/>
      <c r="H47" s="482"/>
      <c r="I47" s="482"/>
      <c r="J47" s="482"/>
      <c r="K47" s="483"/>
    </row>
    <row r="48" customFormat="false" ht="12.75" hidden="false" customHeight="false" outlineLevel="0" collapsed="false">
      <c r="A48" s="484"/>
      <c r="B48" s="485"/>
      <c r="C48" s="485"/>
      <c r="D48" s="485"/>
      <c r="E48" s="485"/>
      <c r="F48" s="485"/>
      <c r="G48" s="485"/>
      <c r="H48" s="485"/>
      <c r="I48" s="485"/>
      <c r="J48" s="485"/>
      <c r="K48" s="486"/>
    </row>
    <row r="49" customFormat="false" ht="12.75" hidden="false" customHeight="false" outlineLevel="0" collapsed="false">
      <c r="A49" s="473"/>
    </row>
    <row r="50" s="464" customFormat="true" ht="12.75" hidden="false" customHeight="false" outlineLevel="0" collapsed="false">
      <c r="A50" s="460" t="s">
        <v>334</v>
      </c>
      <c r="B50" s="476"/>
      <c r="C50" s="476"/>
      <c r="D50" s="476"/>
      <c r="E50" s="476"/>
      <c r="F50" s="476"/>
      <c r="G50" s="476"/>
      <c r="H50" s="476"/>
      <c r="I50" s="476"/>
      <c r="J50" s="476"/>
      <c r="K50" s="477"/>
      <c r="L50" s="438"/>
    </row>
    <row r="51" customFormat="false" ht="12.75" hidden="false" customHeight="false" outlineLevel="0" collapsed="false">
      <c r="A51" s="478"/>
      <c r="B51" s="479"/>
      <c r="C51" s="479"/>
      <c r="D51" s="479"/>
      <c r="E51" s="479"/>
      <c r="F51" s="479"/>
      <c r="G51" s="479"/>
      <c r="H51" s="479"/>
      <c r="I51" s="479"/>
      <c r="J51" s="479"/>
      <c r="K51" s="480"/>
    </row>
    <row r="52" customFormat="false" ht="12.75" hidden="false" customHeight="false" outlineLevel="0" collapsed="false">
      <c r="A52" s="481"/>
      <c r="B52" s="482"/>
      <c r="C52" s="482"/>
      <c r="D52" s="482"/>
      <c r="E52" s="482"/>
      <c r="F52" s="482"/>
      <c r="G52" s="482"/>
      <c r="H52" s="482"/>
      <c r="I52" s="482"/>
      <c r="J52" s="482"/>
      <c r="K52" s="483"/>
    </row>
    <row r="53" customFormat="false" ht="12.75" hidden="false" customHeight="false" outlineLevel="0" collapsed="false">
      <c r="A53" s="481"/>
      <c r="B53" s="482"/>
      <c r="C53" s="482"/>
      <c r="D53" s="482"/>
      <c r="E53" s="482"/>
      <c r="F53" s="482"/>
      <c r="G53" s="482"/>
      <c r="H53" s="482"/>
      <c r="I53" s="482"/>
      <c r="J53" s="482"/>
      <c r="K53" s="483"/>
    </row>
    <row r="54" customFormat="false" ht="12.75" hidden="false" customHeight="false" outlineLevel="0" collapsed="false">
      <c r="A54" s="481"/>
      <c r="B54" s="482"/>
      <c r="C54" s="482"/>
      <c r="D54" s="482"/>
      <c r="E54" s="482"/>
      <c r="F54" s="482"/>
      <c r="G54" s="482"/>
      <c r="H54" s="482"/>
      <c r="I54" s="482"/>
      <c r="J54" s="482"/>
      <c r="K54" s="483"/>
    </row>
    <row r="55" customFormat="false" ht="12.75" hidden="false" customHeight="false" outlineLevel="0" collapsed="false">
      <c r="A55" s="481"/>
      <c r="B55" s="482"/>
      <c r="C55" s="482"/>
      <c r="D55" s="482"/>
      <c r="E55" s="482"/>
      <c r="F55" s="482"/>
      <c r="G55" s="482"/>
      <c r="H55" s="482"/>
      <c r="I55" s="482"/>
      <c r="J55" s="482"/>
      <c r="K55" s="483"/>
    </row>
    <row r="56" customFormat="false" ht="12.75" hidden="false" customHeight="false" outlineLevel="0" collapsed="false">
      <c r="A56" s="484"/>
      <c r="B56" s="485"/>
      <c r="C56" s="485"/>
      <c r="D56" s="485"/>
      <c r="E56" s="485"/>
      <c r="F56" s="485"/>
      <c r="G56" s="485"/>
      <c r="H56" s="485"/>
      <c r="I56" s="485"/>
      <c r="J56" s="485"/>
      <c r="K56" s="486"/>
    </row>
  </sheetData>
  <mergeCells count="2">
    <mergeCell ref="D6:F6"/>
    <mergeCell ref="G6:K6"/>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8.xml><?xml version="1.0" encoding="utf-8"?>
<worksheet xmlns="http://schemas.openxmlformats.org/spreadsheetml/2006/main" xmlns:r="http://schemas.openxmlformats.org/officeDocument/2006/relationships">
  <sheetPr filterMode="false">
    <tabColor rgb="FF00FF00"/>
    <pageSetUpPr fitToPage="true"/>
  </sheetPr>
  <dimension ref="A1:L10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14" activeCellId="0" sqref="B14"/>
    </sheetView>
  </sheetViews>
  <sheetFormatPr defaultRowHeight="15" zeroHeight="true" outlineLevelRow="0" outlineLevelCol="0"/>
  <cols>
    <col collapsed="false" customWidth="true" hidden="false" outlineLevel="0" max="2" min="1" style="4" width="9.14"/>
    <col collapsed="false" customWidth="true" hidden="false" outlineLevel="0" max="3" min="3" style="4" width="10.58"/>
    <col collapsed="false" customWidth="true" hidden="false" outlineLevel="0" max="11" min="4" style="4" width="15.15"/>
    <col collapsed="false" customWidth="true" hidden="false" outlineLevel="0" max="12" min="12" style="22" width="1.85"/>
    <col collapsed="false" customWidth="true" hidden="true" outlineLevel="0" max="23" min="13" style="112" width="9.14"/>
    <col collapsed="false" customWidth="true" hidden="true" outlineLevel="0" max="1025" min="24" style="4" width="9.14"/>
  </cols>
  <sheetData>
    <row r="1" customFormat="false" ht="28.5" hidden="false" customHeight="false" outlineLevel="0" collapsed="false">
      <c r="A1" s="113" t="str">
        <f aca="false">'5.1.1 NewTruck market-Country'!A1</f>
        <v>Market Analysis </v>
      </c>
      <c r="B1" s="114"/>
      <c r="C1" s="114"/>
      <c r="D1" s="114"/>
      <c r="E1" s="114"/>
      <c r="F1" s="114"/>
      <c r="G1" s="114"/>
      <c r="H1" s="114"/>
      <c r="I1" s="114"/>
      <c r="J1" s="114"/>
      <c r="K1" s="115" t="s">
        <v>335</v>
      </c>
    </row>
    <row r="2" customFormat="false" ht="15" hidden="false" customHeight="false" outlineLevel="0" collapsed="false">
      <c r="A2" s="52"/>
      <c r="B2" s="116"/>
      <c r="C2" s="117"/>
      <c r="D2" s="86"/>
      <c r="E2" s="118"/>
      <c r="F2" s="48"/>
      <c r="G2" s="48"/>
      <c r="H2" s="119"/>
      <c r="I2" s="86"/>
      <c r="J2" s="86"/>
      <c r="K2" s="120"/>
    </row>
    <row r="3" customFormat="false" ht="15" hidden="false" customHeight="false" outlineLevel="0" collapsed="false">
      <c r="A3" s="52" t="s">
        <v>103</v>
      </c>
      <c r="B3" s="116"/>
      <c r="C3" s="67" t="str">
        <f aca="false">'Reference sheet'!C12</f>
        <v>TEST</v>
      </c>
      <c r="D3" s="86"/>
      <c r="E3" s="118"/>
      <c r="F3" s="48"/>
      <c r="G3" s="121" t="s">
        <v>49</v>
      </c>
      <c r="H3" s="313" t="str">
        <f aca="false">'Reference sheet'!C17</f>
        <v>July</v>
      </c>
      <c r="I3" s="123" t="n">
        <f aca="false">'Reference sheet'!D17</f>
        <v>2018</v>
      </c>
      <c r="J3" s="121" t="s">
        <v>46</v>
      </c>
      <c r="K3" s="124" t="n">
        <f aca="false">'Reference sheet'!C15</f>
        <v>1</v>
      </c>
    </row>
    <row r="4" customFormat="false" ht="15" hidden="false" customHeight="true" outlineLevel="0" collapsed="false">
      <c r="A4" s="82"/>
      <c r="B4" s="126"/>
      <c r="C4" s="107"/>
      <c r="D4" s="107"/>
      <c r="E4" s="107"/>
      <c r="F4" s="107"/>
      <c r="G4" s="127"/>
      <c r="H4" s="107"/>
      <c r="I4" s="107"/>
      <c r="J4" s="107"/>
      <c r="K4" s="128"/>
    </row>
    <row r="5" customFormat="false" ht="15" hidden="false" customHeight="true" outlineLevel="0" collapsed="false">
      <c r="A5" s="314"/>
      <c r="B5" s="48"/>
      <c r="C5" s="48"/>
      <c r="D5" s="48"/>
      <c r="E5" s="48"/>
      <c r="F5" s="48"/>
      <c r="G5" s="48"/>
      <c r="H5" s="48"/>
      <c r="I5" s="48"/>
      <c r="J5" s="48"/>
      <c r="K5" s="314"/>
    </row>
    <row r="6" s="281" customFormat="true" ht="13.15" hidden="false" customHeight="true" outlineLevel="0" collapsed="false">
      <c r="A6" s="131" t="s">
        <v>336</v>
      </c>
      <c r="B6" s="487"/>
      <c r="C6" s="487"/>
      <c r="D6" s="488" t="s">
        <v>288</v>
      </c>
      <c r="E6" s="488"/>
      <c r="F6" s="488"/>
      <c r="G6" s="401" t="s">
        <v>316</v>
      </c>
      <c r="H6" s="401"/>
      <c r="I6" s="401"/>
      <c r="J6" s="401"/>
      <c r="K6" s="401"/>
      <c r="L6" s="489"/>
    </row>
    <row r="7" customFormat="false" ht="13.15" hidden="false" customHeight="true" outlineLevel="0" collapsed="false">
      <c r="A7" s="437"/>
      <c r="B7" s="101"/>
      <c r="C7" s="101"/>
      <c r="D7" s="465" t="n">
        <f aca="false">F7-2</f>
        <v>2015</v>
      </c>
      <c r="E7" s="465" t="n">
        <f aca="false">G7-2</f>
        <v>2016</v>
      </c>
      <c r="F7" s="490" t="n">
        <f aca="false">G7-1</f>
        <v>2017</v>
      </c>
      <c r="G7" s="491" t="n">
        <f aca="false">'Reference sheet'!C18</f>
        <v>2018</v>
      </c>
      <c r="H7" s="490" t="n">
        <f aca="false">G7+1</f>
        <v>2019</v>
      </c>
      <c r="I7" s="490" t="n">
        <f aca="false">H7+1</f>
        <v>2020</v>
      </c>
      <c r="J7" s="490" t="n">
        <f aca="false">I7+1</f>
        <v>2021</v>
      </c>
      <c r="K7" s="490" t="n">
        <f aca="false">J7+1</f>
        <v>2022</v>
      </c>
      <c r="L7" s="492"/>
    </row>
    <row r="8" customFormat="false" ht="13.15" hidden="false" customHeight="true" outlineLevel="0" collapsed="false">
      <c r="A8" s="468" t="s">
        <v>329</v>
      </c>
      <c r="B8" s="442"/>
      <c r="C8" s="442"/>
      <c r="D8" s="469" t="n">
        <f aca="false">'5.1 DAF Vehicle Parc Input'!E19</f>
        <v>0</v>
      </c>
      <c r="E8" s="493" t="n">
        <f aca="false">'5.1 DAF Vehicle Parc Input'!G19</f>
        <v>0</v>
      </c>
      <c r="F8" s="493" t="n">
        <f aca="false">'5.1 DAF Vehicle Parc Input'!I19</f>
        <v>0</v>
      </c>
      <c r="G8" s="494" t="n">
        <f aca="false">'5.1 DAF Vehicle Parc Input'!K19</f>
        <v>0</v>
      </c>
      <c r="H8" s="494" t="n">
        <f aca="false">'5.1 DAF Vehicle Parc Input'!M19</f>
        <v>0</v>
      </c>
      <c r="I8" s="494" t="n">
        <f aca="false">'5.1 DAF Vehicle Parc Input'!O19</f>
        <v>0</v>
      </c>
      <c r="J8" s="494" t="n">
        <f aca="false">'5.1 DAF Vehicle Parc Input'!Q19</f>
        <v>0</v>
      </c>
      <c r="K8" s="494" t="n">
        <f aca="false">'5.1 DAF Vehicle Parc Input'!S19</f>
        <v>0</v>
      </c>
      <c r="L8" s="495"/>
    </row>
    <row r="9" customFormat="false" ht="13.15" hidden="false" customHeight="true" outlineLevel="0" collapsed="false">
      <c r="A9" s="496" t="s">
        <v>330</v>
      </c>
      <c r="B9" s="457"/>
      <c r="C9" s="457"/>
      <c r="D9" s="469" t="n">
        <f aca="false">'5.1 DAF Vehicle Parc Input'!E20</f>
        <v>0</v>
      </c>
      <c r="E9" s="493" t="n">
        <f aca="false">'5.1 DAF Vehicle Parc Input'!G20</f>
        <v>0</v>
      </c>
      <c r="F9" s="493" t="n">
        <f aca="false">'5.1 DAF Vehicle Parc Input'!I20</f>
        <v>0</v>
      </c>
      <c r="G9" s="494" t="n">
        <f aca="false">'5.1 DAF Vehicle Parc Input'!K20</f>
        <v>100</v>
      </c>
      <c r="H9" s="494" t="n">
        <f aca="false">'5.1 DAF Vehicle Parc Input'!M20</f>
        <v>0</v>
      </c>
      <c r="I9" s="494" t="n">
        <f aca="false">'5.1 DAF Vehicle Parc Input'!O20</f>
        <v>0</v>
      </c>
      <c r="J9" s="494" t="n">
        <f aca="false">'5.1 DAF Vehicle Parc Input'!Q20</f>
        <v>0</v>
      </c>
      <c r="K9" s="494" t="n">
        <f aca="false">'5.1 DAF Vehicle Parc Input'!S20</f>
        <v>0</v>
      </c>
      <c r="L9" s="495"/>
    </row>
    <row r="10" customFormat="false" ht="13.15" hidden="false" customHeight="true" outlineLevel="0" collapsed="false">
      <c r="A10" s="471" t="s">
        <v>293</v>
      </c>
      <c r="B10" s="473"/>
      <c r="C10" s="473"/>
      <c r="D10" s="497" t="n">
        <f aca="false">SUM(D8:D9)</f>
        <v>0</v>
      </c>
      <c r="E10" s="498" t="n">
        <f aca="false">SUM(E8:E9)</f>
        <v>0</v>
      </c>
      <c r="F10" s="497" t="n">
        <f aca="false">SUM(F8:F9)</f>
        <v>0</v>
      </c>
      <c r="G10" s="497" t="n">
        <f aca="false">+G8+G9</f>
        <v>100</v>
      </c>
      <c r="H10" s="497" t="n">
        <f aca="false">(H8+H9)</f>
        <v>0</v>
      </c>
      <c r="I10" s="497" t="n">
        <f aca="false">(I8+I9)</f>
        <v>0</v>
      </c>
      <c r="J10" s="497" t="n">
        <f aca="false">(J8+J9)</f>
        <v>0</v>
      </c>
      <c r="K10" s="497" t="n">
        <f aca="false">(K8+K9)</f>
        <v>0</v>
      </c>
      <c r="L10" s="499"/>
    </row>
    <row r="11" customFormat="false" ht="13.15" hidden="false" customHeight="true" outlineLevel="0" collapsed="false">
      <c r="A11" s="262"/>
      <c r="B11" s="73"/>
      <c r="C11" s="73"/>
      <c r="D11" s="73"/>
      <c r="E11" s="73"/>
      <c r="F11" s="73"/>
      <c r="G11" s="73"/>
      <c r="H11" s="73"/>
      <c r="I11" s="73"/>
      <c r="J11" s="73"/>
      <c r="K11" s="263"/>
      <c r="L11" s="499"/>
    </row>
    <row r="12" customFormat="false" ht="13.15" hidden="false" customHeight="true" outlineLevel="0" collapsed="false">
      <c r="A12" s="262"/>
      <c r="B12" s="73"/>
      <c r="C12" s="73"/>
      <c r="D12" s="73"/>
      <c r="E12" s="73"/>
      <c r="F12" s="73"/>
      <c r="G12" s="73"/>
      <c r="H12" s="73"/>
      <c r="I12" s="73"/>
      <c r="J12" s="73"/>
      <c r="K12" s="263"/>
      <c r="L12" s="499"/>
    </row>
    <row r="13" customFormat="false" ht="13.15" hidden="false" customHeight="true" outlineLevel="0" collapsed="false">
      <c r="A13" s="262"/>
      <c r="B13" s="73"/>
      <c r="C13" s="73"/>
      <c r="D13" s="73"/>
      <c r="E13" s="73"/>
      <c r="F13" s="73"/>
      <c r="G13" s="73"/>
      <c r="H13" s="73"/>
      <c r="I13" s="73"/>
      <c r="J13" s="73"/>
      <c r="K13" s="263"/>
      <c r="L13" s="499"/>
    </row>
    <row r="14" customFormat="false" ht="13.15" hidden="false" customHeight="true" outlineLevel="0" collapsed="false">
      <c r="A14" s="266"/>
      <c r="B14" s="161"/>
      <c r="C14" s="161"/>
      <c r="D14" s="161"/>
      <c r="E14" s="161"/>
      <c r="F14" s="161"/>
      <c r="G14" s="161"/>
      <c r="H14" s="161"/>
      <c r="I14" s="161"/>
      <c r="J14" s="161"/>
      <c r="K14" s="267"/>
      <c r="L14" s="499"/>
    </row>
    <row r="15" customFormat="false" ht="13.15" hidden="false" customHeight="true" outlineLevel="0" collapsed="false">
      <c r="A15" s="262"/>
      <c r="B15" s="73"/>
      <c r="C15" s="73"/>
      <c r="D15" s="73"/>
      <c r="E15" s="73"/>
      <c r="F15" s="73"/>
      <c r="G15" s="73"/>
      <c r="H15" s="73"/>
      <c r="I15" s="73"/>
      <c r="J15" s="73"/>
      <c r="K15" s="263"/>
      <c r="L15" s="499"/>
    </row>
    <row r="16" customFormat="false" ht="13.15" hidden="false" customHeight="true" outlineLevel="0" collapsed="false">
      <c r="A16" s="262"/>
      <c r="B16" s="73"/>
      <c r="C16" s="73"/>
      <c r="D16" s="73"/>
      <c r="E16" s="73"/>
      <c r="F16" s="73"/>
      <c r="G16" s="73"/>
      <c r="H16" s="73"/>
      <c r="I16" s="73"/>
      <c r="J16" s="73"/>
      <c r="K16" s="263"/>
      <c r="L16" s="499"/>
    </row>
    <row r="17" customFormat="false" ht="13.15" hidden="false" customHeight="true" outlineLevel="0" collapsed="false">
      <c r="A17" s="262"/>
      <c r="B17" s="73"/>
      <c r="C17" s="73"/>
      <c r="D17" s="73"/>
      <c r="E17" s="73"/>
      <c r="F17" s="73"/>
      <c r="G17" s="73"/>
      <c r="H17" s="73"/>
      <c r="I17" s="73"/>
      <c r="J17" s="73"/>
      <c r="K17" s="263"/>
      <c r="L17" s="499"/>
    </row>
    <row r="18" customFormat="false" ht="13.15" hidden="false" customHeight="true" outlineLevel="0" collapsed="false">
      <c r="A18" s="262"/>
      <c r="B18" s="73"/>
      <c r="C18" s="73"/>
      <c r="D18" s="73"/>
      <c r="E18" s="73"/>
      <c r="F18" s="73"/>
      <c r="G18" s="73"/>
      <c r="H18" s="73"/>
      <c r="I18" s="73"/>
      <c r="J18" s="73"/>
      <c r="K18" s="263"/>
      <c r="L18" s="499"/>
    </row>
    <row r="19" customFormat="false" ht="13.15" hidden="false" customHeight="true" outlineLevel="0" collapsed="false">
      <c r="A19" s="262"/>
      <c r="B19" s="73"/>
      <c r="C19" s="73"/>
      <c r="D19" s="73"/>
      <c r="E19" s="73"/>
      <c r="F19" s="73"/>
      <c r="G19" s="73"/>
      <c r="H19" s="73"/>
      <c r="I19" s="73"/>
      <c r="J19" s="73"/>
      <c r="K19" s="263"/>
      <c r="L19" s="499"/>
    </row>
    <row r="20" customFormat="false" ht="13.15" hidden="false" customHeight="true" outlineLevel="0" collapsed="false">
      <c r="A20" s="262"/>
      <c r="B20" s="73"/>
      <c r="C20" s="73"/>
      <c r="D20" s="73"/>
      <c r="E20" s="73"/>
      <c r="F20" s="73"/>
      <c r="G20" s="73"/>
      <c r="H20" s="73"/>
      <c r="I20" s="73"/>
      <c r="J20" s="73"/>
      <c r="K20" s="263"/>
      <c r="L20" s="499"/>
    </row>
    <row r="21" customFormat="false" ht="13.15" hidden="false" customHeight="true" outlineLevel="0" collapsed="false">
      <c r="A21" s="262"/>
      <c r="B21" s="73"/>
      <c r="C21" s="73"/>
      <c r="D21" s="73"/>
      <c r="E21" s="73"/>
      <c r="F21" s="73"/>
      <c r="G21" s="73"/>
      <c r="H21" s="73"/>
      <c r="I21" s="73"/>
      <c r="J21" s="73"/>
      <c r="K21" s="263"/>
      <c r="L21" s="499"/>
    </row>
    <row r="22" customFormat="false" ht="13.15" hidden="false" customHeight="true" outlineLevel="0" collapsed="false">
      <c r="A22" s="262"/>
      <c r="B22" s="73"/>
      <c r="C22" s="73"/>
      <c r="D22" s="73"/>
      <c r="E22" s="73"/>
      <c r="F22" s="73"/>
      <c r="G22" s="73"/>
      <c r="H22" s="73"/>
      <c r="I22" s="73"/>
      <c r="J22" s="73"/>
      <c r="K22" s="263"/>
      <c r="L22" s="499"/>
    </row>
    <row r="23" customFormat="false" ht="13.15" hidden="false" customHeight="true" outlineLevel="0" collapsed="false">
      <c r="A23" s="262"/>
      <c r="B23" s="73"/>
      <c r="C23" s="73"/>
      <c r="D23" s="73"/>
      <c r="E23" s="73"/>
      <c r="F23" s="73"/>
      <c r="G23" s="73"/>
      <c r="H23" s="73"/>
      <c r="I23" s="73"/>
      <c r="J23" s="73"/>
      <c r="K23" s="263"/>
      <c r="L23" s="499"/>
    </row>
    <row r="24" customFormat="false" ht="13.15" hidden="false" customHeight="true" outlineLevel="0" collapsed="false">
      <c r="A24" s="262"/>
      <c r="B24" s="73"/>
      <c r="C24" s="73"/>
      <c r="D24" s="73"/>
      <c r="E24" s="73"/>
      <c r="F24" s="73"/>
      <c r="G24" s="73"/>
      <c r="H24" s="73"/>
      <c r="I24" s="73"/>
      <c r="J24" s="73"/>
      <c r="K24" s="263"/>
      <c r="L24" s="499"/>
    </row>
    <row r="25" customFormat="false" ht="13.15" hidden="false" customHeight="true" outlineLevel="0" collapsed="false">
      <c r="A25" s="262"/>
      <c r="B25" s="73"/>
      <c r="C25" s="73"/>
      <c r="D25" s="73"/>
      <c r="E25" s="73"/>
      <c r="F25" s="73"/>
      <c r="G25" s="73"/>
      <c r="H25" s="73"/>
      <c r="I25" s="73"/>
      <c r="J25" s="73"/>
      <c r="K25" s="263"/>
      <c r="L25" s="499"/>
    </row>
    <row r="26" customFormat="false" ht="13.15" hidden="false" customHeight="true" outlineLevel="0" collapsed="false">
      <c r="A26" s="262"/>
      <c r="B26" s="73"/>
      <c r="C26" s="73"/>
      <c r="D26" s="73"/>
      <c r="E26" s="73"/>
      <c r="F26" s="73"/>
      <c r="G26" s="73"/>
      <c r="H26" s="73"/>
      <c r="I26" s="73"/>
      <c r="J26" s="73"/>
      <c r="K26" s="263"/>
      <c r="L26" s="499"/>
    </row>
    <row r="27" customFormat="false" ht="13.15" hidden="false" customHeight="true" outlineLevel="0" collapsed="false">
      <c r="A27" s="262"/>
      <c r="B27" s="73"/>
      <c r="C27" s="73"/>
      <c r="D27" s="73"/>
      <c r="E27" s="73"/>
      <c r="F27" s="73"/>
      <c r="G27" s="73"/>
      <c r="H27" s="73"/>
      <c r="I27" s="73"/>
      <c r="J27" s="73"/>
      <c r="K27" s="263"/>
      <c r="L27" s="499"/>
    </row>
    <row r="28" customFormat="false" ht="13.15" hidden="false" customHeight="true" outlineLevel="0" collapsed="false">
      <c r="A28" s="262"/>
      <c r="B28" s="73"/>
      <c r="C28" s="73"/>
      <c r="D28" s="73"/>
      <c r="E28" s="73"/>
      <c r="F28" s="73"/>
      <c r="G28" s="73"/>
      <c r="H28" s="73"/>
      <c r="I28" s="73"/>
      <c r="J28" s="73"/>
      <c r="K28" s="263"/>
      <c r="L28" s="499"/>
    </row>
    <row r="29" customFormat="false" ht="13.15" hidden="false" customHeight="true" outlineLevel="0" collapsed="false">
      <c r="A29" s="262"/>
      <c r="B29" s="73"/>
      <c r="C29" s="73"/>
      <c r="D29" s="73"/>
      <c r="E29" s="73"/>
      <c r="F29" s="73"/>
      <c r="G29" s="73"/>
      <c r="H29" s="73"/>
      <c r="I29" s="73"/>
      <c r="J29" s="73"/>
      <c r="K29" s="263"/>
      <c r="L29" s="499"/>
    </row>
    <row r="30" customFormat="false" ht="13.15" hidden="false" customHeight="true" outlineLevel="0" collapsed="false">
      <c r="A30" s="262"/>
      <c r="B30" s="73"/>
      <c r="C30" s="73"/>
      <c r="D30" s="73"/>
      <c r="E30" s="73"/>
      <c r="F30" s="73"/>
      <c r="G30" s="73"/>
      <c r="H30" s="73"/>
      <c r="I30" s="73"/>
      <c r="J30" s="73"/>
      <c r="K30" s="263"/>
      <c r="L30" s="499"/>
    </row>
    <row r="31" customFormat="false" ht="18" hidden="false" customHeight="true" outlineLevel="0" collapsed="false">
      <c r="A31" s="161"/>
      <c r="B31" s="73"/>
      <c r="C31" s="73"/>
      <c r="D31" s="73"/>
      <c r="E31" s="73"/>
      <c r="F31" s="73"/>
      <c r="G31" s="73"/>
      <c r="H31" s="73"/>
      <c r="I31" s="73"/>
      <c r="J31" s="161"/>
      <c r="K31" s="161"/>
      <c r="L31" s="499"/>
    </row>
    <row r="32" s="281" customFormat="true" ht="13.15" hidden="false" customHeight="true" outlineLevel="0" collapsed="false">
      <c r="A32" s="131" t="s">
        <v>337</v>
      </c>
      <c r="B32" s="132"/>
      <c r="C32" s="132"/>
      <c r="D32" s="132"/>
      <c r="E32" s="132"/>
      <c r="F32" s="132"/>
      <c r="G32" s="132"/>
      <c r="H32" s="132"/>
      <c r="I32" s="132"/>
      <c r="J32" s="500"/>
      <c r="K32" s="133"/>
      <c r="L32" s="22"/>
    </row>
    <row r="33" customFormat="false" ht="13.15" hidden="false" customHeight="true" outlineLevel="0" collapsed="false">
      <c r="A33" s="261"/>
      <c r="B33" s="158"/>
      <c r="C33" s="158"/>
      <c r="D33" s="158"/>
      <c r="E33" s="158"/>
      <c r="F33" s="158"/>
      <c r="G33" s="158"/>
      <c r="H33" s="158"/>
      <c r="I33" s="158"/>
      <c r="J33" s="158"/>
      <c r="K33" s="167"/>
      <c r="L33" s="489"/>
    </row>
    <row r="34" customFormat="false" ht="13.15" hidden="false" customHeight="true" outlineLevel="0" collapsed="false">
      <c r="A34" s="262"/>
      <c r="B34" s="73"/>
      <c r="C34" s="73"/>
      <c r="D34" s="73"/>
      <c r="E34" s="73"/>
      <c r="F34" s="73"/>
      <c r="G34" s="73"/>
      <c r="H34" s="73"/>
      <c r="I34" s="73"/>
      <c r="J34" s="73"/>
      <c r="K34" s="263"/>
    </row>
    <row r="35" customFormat="false" ht="13.15" hidden="false" customHeight="true" outlineLevel="0" collapsed="false">
      <c r="A35" s="262"/>
      <c r="B35" s="73"/>
      <c r="C35" s="73"/>
      <c r="D35" s="73"/>
      <c r="E35" s="73"/>
      <c r="F35" s="73"/>
      <c r="G35" s="73"/>
      <c r="H35" s="73"/>
      <c r="I35" s="73"/>
      <c r="J35" s="73"/>
      <c r="K35" s="263"/>
    </row>
    <row r="36" customFormat="false" ht="13.15" hidden="false" customHeight="true" outlineLevel="0" collapsed="false">
      <c r="A36" s="262"/>
      <c r="B36" s="73"/>
      <c r="C36" s="73"/>
      <c r="D36" s="73"/>
      <c r="E36" s="73"/>
      <c r="F36" s="73"/>
      <c r="G36" s="73"/>
      <c r="H36" s="73"/>
      <c r="I36" s="73"/>
      <c r="J36" s="73"/>
      <c r="K36" s="263"/>
    </row>
    <row r="37" customFormat="false" ht="13.15" hidden="false" customHeight="true" outlineLevel="0" collapsed="false">
      <c r="A37" s="262"/>
      <c r="B37" s="73"/>
      <c r="C37" s="73"/>
      <c r="D37" s="73"/>
      <c r="E37" s="73"/>
      <c r="F37" s="73"/>
      <c r="G37" s="73"/>
      <c r="H37" s="73"/>
      <c r="I37" s="73"/>
      <c r="J37" s="73"/>
      <c r="K37" s="263"/>
    </row>
    <row r="38" customFormat="false" ht="13.15" hidden="false" customHeight="true" outlineLevel="0" collapsed="false">
      <c r="A38" s="262"/>
      <c r="B38" s="73"/>
      <c r="C38" s="73"/>
      <c r="D38" s="73"/>
      <c r="E38" s="73"/>
      <c r="F38" s="73"/>
      <c r="G38" s="73"/>
      <c r="H38" s="73"/>
      <c r="I38" s="73"/>
      <c r="J38" s="73"/>
      <c r="K38" s="263"/>
    </row>
    <row r="39" customFormat="false" ht="13.15" hidden="false" customHeight="true" outlineLevel="0" collapsed="false">
      <c r="A39" s="262"/>
      <c r="B39" s="73"/>
      <c r="C39" s="73"/>
      <c r="D39" s="73"/>
      <c r="E39" s="73"/>
      <c r="F39" s="73"/>
      <c r="G39" s="73"/>
      <c r="H39" s="73"/>
      <c r="I39" s="73"/>
      <c r="J39" s="73"/>
      <c r="K39" s="263"/>
    </row>
    <row r="40" customFormat="false" ht="13.15" hidden="false" customHeight="true" outlineLevel="0" collapsed="false">
      <c r="A40" s="262"/>
      <c r="B40" s="73"/>
      <c r="C40" s="73"/>
      <c r="D40" s="73"/>
      <c r="E40" s="73"/>
      <c r="F40" s="73"/>
      <c r="G40" s="73"/>
      <c r="H40" s="73"/>
      <c r="I40" s="73"/>
      <c r="J40" s="73"/>
      <c r="K40" s="263"/>
    </row>
    <row r="41" customFormat="false" ht="13.15" hidden="false" customHeight="true" outlineLevel="0" collapsed="false">
      <c r="A41" s="266"/>
      <c r="B41" s="161"/>
      <c r="C41" s="161"/>
      <c r="D41" s="161"/>
      <c r="E41" s="161"/>
      <c r="F41" s="161"/>
      <c r="G41" s="161"/>
      <c r="H41" s="161"/>
      <c r="I41" s="161"/>
      <c r="J41" s="161"/>
      <c r="K41" s="267"/>
    </row>
    <row r="42" customFormat="false" ht="13.15" hidden="false" customHeight="true" outlineLevel="0" collapsed="false">
      <c r="A42" s="314"/>
      <c r="B42" s="48"/>
      <c r="C42" s="48"/>
      <c r="D42" s="48"/>
      <c r="E42" s="48"/>
      <c r="F42" s="48"/>
      <c r="G42" s="48"/>
      <c r="H42" s="48"/>
      <c r="I42" s="48"/>
      <c r="J42" s="48"/>
      <c r="K42" s="314"/>
    </row>
    <row r="43" s="281" customFormat="true" ht="13.15" hidden="false" customHeight="true" outlineLevel="0" collapsed="false">
      <c r="A43" s="131" t="s">
        <v>281</v>
      </c>
      <c r="B43" s="132"/>
      <c r="C43" s="132"/>
      <c r="D43" s="132"/>
      <c r="E43" s="132"/>
      <c r="F43" s="132"/>
      <c r="G43" s="132"/>
      <c r="H43" s="132"/>
      <c r="I43" s="132"/>
      <c r="J43" s="132"/>
      <c r="K43" s="133"/>
      <c r="L43" s="22"/>
    </row>
    <row r="44" customFormat="false" ht="13.15" hidden="false" customHeight="true" outlineLevel="0" collapsed="false">
      <c r="A44" s="261"/>
      <c r="B44" s="158"/>
      <c r="C44" s="158"/>
      <c r="D44" s="158"/>
      <c r="E44" s="158"/>
      <c r="F44" s="158"/>
      <c r="G44" s="158"/>
      <c r="H44" s="158"/>
      <c r="I44" s="158"/>
      <c r="J44" s="158"/>
      <c r="K44" s="167"/>
    </row>
    <row r="45" customFormat="false" ht="13.15" hidden="false" customHeight="true" outlineLevel="0" collapsed="false">
      <c r="A45" s="262"/>
      <c r="B45" s="73"/>
      <c r="C45" s="73"/>
      <c r="D45" s="73"/>
      <c r="E45" s="73"/>
      <c r="F45" s="73"/>
      <c r="G45" s="73"/>
      <c r="H45" s="73"/>
      <c r="I45" s="73"/>
      <c r="J45" s="73"/>
      <c r="K45" s="263"/>
    </row>
    <row r="46" customFormat="false" ht="13.15" hidden="false" customHeight="true" outlineLevel="0" collapsed="false">
      <c r="A46" s="262"/>
      <c r="B46" s="73"/>
      <c r="C46" s="73"/>
      <c r="D46" s="73"/>
      <c r="E46" s="73"/>
      <c r="F46" s="73"/>
      <c r="G46" s="73"/>
      <c r="H46" s="73"/>
      <c r="I46" s="73"/>
      <c r="J46" s="73"/>
      <c r="K46" s="263"/>
    </row>
    <row r="47" customFormat="false" ht="13.15" hidden="false" customHeight="true" outlineLevel="0" collapsed="false">
      <c r="A47" s="262"/>
      <c r="B47" s="73"/>
      <c r="C47" s="73"/>
      <c r="D47" s="73"/>
      <c r="E47" s="73"/>
      <c r="F47" s="73"/>
      <c r="G47" s="73"/>
      <c r="H47" s="73"/>
      <c r="I47" s="73"/>
      <c r="J47" s="73"/>
      <c r="K47" s="263"/>
    </row>
    <row r="48" customFormat="false" ht="13.15" hidden="false" customHeight="true" outlineLevel="0" collapsed="false">
      <c r="A48" s="262"/>
      <c r="B48" s="73"/>
      <c r="C48" s="73"/>
      <c r="D48" s="73"/>
      <c r="E48" s="73"/>
      <c r="F48" s="73"/>
      <c r="G48" s="73"/>
      <c r="H48" s="73"/>
      <c r="I48" s="73"/>
      <c r="J48" s="73"/>
      <c r="K48" s="263"/>
    </row>
    <row r="49" customFormat="false" ht="13.15" hidden="false" customHeight="true" outlineLevel="0" collapsed="false">
      <c r="A49" s="266"/>
      <c r="B49" s="161"/>
      <c r="C49" s="161"/>
      <c r="D49" s="161"/>
      <c r="E49" s="161"/>
      <c r="F49" s="161"/>
      <c r="G49" s="161"/>
      <c r="H49" s="161"/>
      <c r="I49" s="161"/>
      <c r="J49" s="161"/>
      <c r="K49" s="267"/>
    </row>
    <row r="50" customFormat="false" ht="13.15" hidden="false" customHeight="true" outlineLevel="0" collapsed="false">
      <c r="A50" s="314"/>
      <c r="B50" s="48"/>
      <c r="C50" s="48"/>
      <c r="D50" s="48"/>
      <c r="E50" s="48"/>
      <c r="F50" s="48"/>
      <c r="G50" s="48"/>
      <c r="H50" s="48"/>
      <c r="I50" s="48"/>
      <c r="J50" s="48"/>
      <c r="K50" s="314"/>
    </row>
    <row r="51" s="281" customFormat="true" ht="13.15" hidden="false" customHeight="true" outlineLevel="0" collapsed="false">
      <c r="A51" s="131" t="s">
        <v>282</v>
      </c>
      <c r="B51" s="132"/>
      <c r="C51" s="132"/>
      <c r="D51" s="132"/>
      <c r="E51" s="132"/>
      <c r="F51" s="132"/>
      <c r="G51" s="132"/>
      <c r="H51" s="132"/>
      <c r="I51" s="132"/>
      <c r="J51" s="132"/>
      <c r="K51" s="133"/>
      <c r="L51" s="22"/>
    </row>
    <row r="52" customFormat="false" ht="13.15" hidden="false" customHeight="true" outlineLevel="0" collapsed="false">
      <c r="A52" s="261"/>
      <c r="B52" s="158"/>
      <c r="C52" s="158"/>
      <c r="D52" s="158"/>
      <c r="E52" s="158"/>
      <c r="F52" s="158"/>
      <c r="G52" s="158"/>
      <c r="H52" s="158"/>
      <c r="I52" s="158"/>
      <c r="J52" s="158"/>
      <c r="K52" s="167"/>
    </row>
    <row r="53" customFormat="false" ht="13.15" hidden="false" customHeight="true" outlineLevel="0" collapsed="false">
      <c r="A53" s="262"/>
      <c r="B53" s="73"/>
      <c r="C53" s="73"/>
      <c r="D53" s="73"/>
      <c r="E53" s="73"/>
      <c r="F53" s="73"/>
      <c r="G53" s="73"/>
      <c r="H53" s="73"/>
      <c r="I53" s="73"/>
      <c r="J53" s="73"/>
      <c r="K53" s="263"/>
    </row>
    <row r="54" customFormat="false" ht="13.15" hidden="false" customHeight="true" outlineLevel="0" collapsed="false">
      <c r="A54" s="262"/>
      <c r="B54" s="73"/>
      <c r="C54" s="73"/>
      <c r="D54" s="73"/>
      <c r="E54" s="73"/>
      <c r="F54" s="73"/>
      <c r="G54" s="73"/>
      <c r="H54" s="73"/>
      <c r="I54" s="73"/>
      <c r="J54" s="73"/>
      <c r="K54" s="263"/>
    </row>
    <row r="55" customFormat="false" ht="13.15" hidden="false" customHeight="true" outlineLevel="0" collapsed="false">
      <c r="A55" s="262"/>
      <c r="B55" s="73"/>
      <c r="C55" s="73"/>
      <c r="D55" s="73"/>
      <c r="E55" s="73"/>
      <c r="F55" s="73"/>
      <c r="G55" s="73"/>
      <c r="H55" s="73"/>
      <c r="I55" s="73"/>
      <c r="J55" s="73"/>
      <c r="K55" s="263"/>
    </row>
    <row r="56" customFormat="false" ht="13.15" hidden="false" customHeight="true" outlineLevel="0" collapsed="false">
      <c r="A56" s="262"/>
      <c r="B56" s="73"/>
      <c r="C56" s="73"/>
      <c r="D56" s="73"/>
      <c r="E56" s="73"/>
      <c r="F56" s="73"/>
      <c r="G56" s="73"/>
      <c r="H56" s="73"/>
      <c r="I56" s="73"/>
      <c r="J56" s="73"/>
      <c r="K56" s="263"/>
    </row>
    <row r="57" customFormat="false" ht="13.15" hidden="false" customHeight="true" outlineLevel="0" collapsed="false">
      <c r="A57" s="266"/>
      <c r="B57" s="161"/>
      <c r="C57" s="161"/>
      <c r="D57" s="161"/>
      <c r="E57" s="161"/>
      <c r="F57" s="161"/>
      <c r="G57" s="161"/>
      <c r="H57" s="161"/>
      <c r="I57" s="161"/>
      <c r="J57" s="161"/>
      <c r="K57" s="267"/>
    </row>
    <row r="58" customFormat="false" ht="13.15" hidden="true" customHeight="true" outlineLevel="0" collapsed="false"/>
    <row r="59" customFormat="false" ht="13.15" hidden="true" customHeight="true" outlineLevel="0" collapsed="false"/>
    <row r="60" customFormat="false" ht="13.15" hidden="true" customHeight="true" outlineLevel="0" collapsed="false"/>
    <row r="61" customFormat="false" ht="13.15" hidden="true" customHeight="true" outlineLevel="0" collapsed="false"/>
    <row r="62" customFormat="false" ht="13.15" hidden="true" customHeight="true" outlineLevel="0" collapsed="false"/>
    <row r="63" customFormat="false" ht="13.15" hidden="true" customHeight="true" outlineLevel="0" collapsed="false"/>
    <row r="64" customFormat="false" ht="13.15" hidden="true" customHeight="true" outlineLevel="0" collapsed="false"/>
    <row r="65" customFormat="false" ht="13.15" hidden="true" customHeight="true" outlineLevel="0" collapsed="false"/>
    <row r="66" customFormat="false" ht="13.15" hidden="true" customHeight="true" outlineLevel="0" collapsed="false"/>
    <row r="67" customFormat="false" ht="13.15" hidden="true" customHeight="true" outlineLevel="0" collapsed="false"/>
    <row r="68" customFormat="false" ht="13.15" hidden="true" customHeight="true" outlineLevel="0" collapsed="false"/>
    <row r="69" customFormat="false" ht="13.15" hidden="true" customHeight="true" outlineLevel="0" collapsed="false"/>
    <row r="70" customFormat="false" ht="13.15" hidden="true" customHeight="true" outlineLevel="0" collapsed="false"/>
    <row r="71" customFormat="false" ht="13.15" hidden="true" customHeight="true" outlineLevel="0" collapsed="false"/>
    <row r="72" customFormat="false" ht="13.15" hidden="true" customHeight="true" outlineLevel="0" collapsed="false"/>
    <row r="73" customFormat="false" ht="13.15" hidden="true" customHeight="true" outlineLevel="0" collapsed="false"/>
    <row r="74" customFormat="false" ht="13.15" hidden="true" customHeight="true" outlineLevel="0" collapsed="false"/>
    <row r="75" customFormat="false" ht="13.15" hidden="true" customHeight="true" outlineLevel="0" collapsed="false"/>
    <row r="76" customFormat="false" ht="13.15" hidden="true" customHeight="true" outlineLevel="0" collapsed="false"/>
    <row r="77" customFormat="false" ht="13.15" hidden="true" customHeight="true" outlineLevel="0" collapsed="false"/>
    <row r="78" customFormat="false" ht="13.15" hidden="true" customHeight="true" outlineLevel="0" collapsed="false"/>
    <row r="79" customFormat="false" ht="13.15" hidden="true" customHeight="true" outlineLevel="0" collapsed="false"/>
    <row r="80" customFormat="false" ht="13.15" hidden="true" customHeight="true" outlineLevel="0" collapsed="false"/>
    <row r="81" customFormat="false" ht="13.15" hidden="true" customHeight="true" outlineLevel="0" collapsed="false"/>
    <row r="82" customFormat="false" ht="13.15" hidden="true" customHeight="true" outlineLevel="0" collapsed="false"/>
    <row r="83" customFormat="false" ht="13.15" hidden="true" customHeight="true" outlineLevel="0" collapsed="false"/>
    <row r="84" customFormat="false" ht="13.15" hidden="true" customHeight="true" outlineLevel="0" collapsed="false"/>
    <row r="85" customFormat="false" ht="13.15" hidden="true" customHeight="true" outlineLevel="0" collapsed="false"/>
    <row r="105" customFormat="false" ht="15" hidden="false" customHeight="false" outlineLevel="0" collapsed="false"/>
  </sheetData>
  <mergeCells count="2">
    <mergeCell ref="D6:F6"/>
    <mergeCell ref="G6:K6"/>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19.xml><?xml version="1.0" encoding="utf-8"?>
<worksheet xmlns="http://schemas.openxmlformats.org/spreadsheetml/2006/main" xmlns:r="http://schemas.openxmlformats.org/officeDocument/2006/relationships">
  <sheetPr filterMode="false">
    <tabColor rgb="FF00FF00"/>
    <pageSetUpPr fitToPage="true"/>
  </sheetPr>
  <dimension ref="A1:W56"/>
  <sheetViews>
    <sheetView showFormulas="false" showGridLines="false" showRowColHeaders="true" showZeros="true" rightToLeft="false" tabSelected="false" showOutlineSymbols="true" defaultGridColor="true" view="normal" topLeftCell="A34" colorId="64" zoomScale="100" zoomScaleNormal="100" zoomScalePageLayoutView="80" workbookViewId="0">
      <selection pane="topLeft" activeCell="A28" activeCellId="0" sqref="A28"/>
    </sheetView>
  </sheetViews>
  <sheetFormatPr defaultRowHeight="15.75" zeroHeight="true" outlineLevelRow="0" outlineLevelCol="0"/>
  <cols>
    <col collapsed="false" customWidth="true" hidden="false" outlineLevel="0" max="10" min="1" style="4" width="14.86"/>
    <col collapsed="false" customWidth="true" hidden="false" outlineLevel="0" max="11" min="11" style="4" width="13.57"/>
    <col collapsed="false" customWidth="true" hidden="false" outlineLevel="0" max="12" min="12" style="22" width="2.29"/>
    <col collapsed="false" customWidth="true" hidden="true" outlineLevel="0" max="23" min="13" style="112" width="9.14"/>
    <col collapsed="false" customWidth="true" hidden="true" outlineLevel="0" max="1025" min="24" style="4" width="9.14"/>
  </cols>
  <sheetData>
    <row r="1" s="314" customFormat="true" ht="28.5" hidden="false" customHeight="false" outlineLevel="0" collapsed="false">
      <c r="A1" s="137" t="str">
        <f aca="false">'5.1.2 NT market-Dealer area'!A1</f>
        <v>Market Analysis </v>
      </c>
      <c r="B1" s="138"/>
      <c r="C1" s="138"/>
      <c r="D1" s="138"/>
      <c r="E1" s="138"/>
      <c r="F1" s="138"/>
      <c r="G1" s="138"/>
      <c r="H1" s="138"/>
      <c r="I1" s="138"/>
      <c r="J1" s="138"/>
      <c r="K1" s="501" t="s">
        <v>338</v>
      </c>
      <c r="L1" s="373"/>
      <c r="M1" s="374"/>
      <c r="N1" s="374"/>
      <c r="O1" s="374"/>
      <c r="P1" s="374"/>
      <c r="Q1" s="374"/>
      <c r="R1" s="374"/>
      <c r="S1" s="374"/>
      <c r="T1" s="374"/>
      <c r="U1" s="374"/>
      <c r="V1" s="374"/>
      <c r="W1" s="374"/>
    </row>
    <row r="2" customFormat="false" ht="15.75" hidden="false" customHeight="true" outlineLevel="0" collapsed="false">
      <c r="A2" s="52"/>
      <c r="B2" s="116"/>
      <c r="C2" s="117"/>
      <c r="D2" s="86"/>
      <c r="E2" s="118"/>
      <c r="F2" s="48"/>
      <c r="G2" s="48"/>
      <c r="H2" s="119"/>
      <c r="I2" s="86"/>
      <c r="J2" s="86"/>
      <c r="K2" s="120"/>
    </row>
    <row r="3" customFormat="false" ht="15.75" hidden="false" customHeight="true" outlineLevel="0" collapsed="false">
      <c r="A3" s="52" t="s">
        <v>103</v>
      </c>
      <c r="B3" s="116"/>
      <c r="C3" s="67" t="str">
        <f aca="false">'Reference sheet'!C12</f>
        <v>TEST</v>
      </c>
      <c r="D3" s="86"/>
      <c r="E3" s="118"/>
      <c r="F3" s="48"/>
      <c r="G3" s="121" t="s">
        <v>49</v>
      </c>
      <c r="H3" s="313" t="str">
        <f aca="false">'Reference sheet'!C17</f>
        <v>July</v>
      </c>
      <c r="I3" s="123" t="n">
        <f aca="false">'Reference sheet'!D17</f>
        <v>2018</v>
      </c>
      <c r="J3" s="121" t="s">
        <v>46</v>
      </c>
      <c r="K3" s="124" t="n">
        <f aca="false">'Reference sheet'!C15</f>
        <v>1</v>
      </c>
    </row>
    <row r="4" customFormat="false" ht="15.75" hidden="false" customHeight="true" outlineLevel="0" collapsed="false">
      <c r="A4" s="82"/>
      <c r="B4" s="126"/>
      <c r="C4" s="107"/>
      <c r="D4" s="107"/>
      <c r="E4" s="107"/>
      <c r="F4" s="107"/>
      <c r="G4" s="127"/>
      <c r="H4" s="107"/>
      <c r="I4" s="107"/>
      <c r="J4" s="107"/>
      <c r="K4" s="128"/>
    </row>
    <row r="5" customFormat="false" ht="15.75" hidden="false" customHeight="true" outlineLevel="0" collapsed="false">
      <c r="A5" s="314"/>
      <c r="K5" s="314"/>
    </row>
    <row r="6" s="503" customFormat="true" ht="15.75" hidden="false" customHeight="true" outlineLevel="0" collapsed="false">
      <c r="A6" s="131" t="s">
        <v>339</v>
      </c>
      <c r="B6" s="487"/>
      <c r="C6" s="487"/>
      <c r="D6" s="502" t="s">
        <v>288</v>
      </c>
      <c r="E6" s="502"/>
      <c r="F6" s="502"/>
      <c r="G6" s="410" t="s">
        <v>316</v>
      </c>
      <c r="H6" s="410"/>
      <c r="I6" s="410"/>
      <c r="J6" s="410"/>
      <c r="K6" s="410"/>
      <c r="L6" s="489"/>
    </row>
    <row r="7" customFormat="false" ht="15.75" hidden="false" customHeight="true" outlineLevel="0" collapsed="false">
      <c r="A7" s="52"/>
      <c r="B7" s="48"/>
      <c r="D7" s="504" t="n">
        <f aca="false">G7-3</f>
        <v>2015</v>
      </c>
      <c r="E7" s="504" t="n">
        <f aca="false">'5.1.1 NewTruck market-Country'!E7</f>
        <v>2016</v>
      </c>
      <c r="F7" s="505" t="n">
        <f aca="false">E7+1</f>
        <v>2017</v>
      </c>
      <c r="G7" s="505" t="n">
        <f aca="false">F7+1</f>
        <v>2018</v>
      </c>
      <c r="H7" s="505" t="n">
        <f aca="false">G7+1</f>
        <v>2019</v>
      </c>
      <c r="I7" s="504" t="n">
        <f aca="false">'5.1.1 NewTruck market-Country'!I7</f>
        <v>2020</v>
      </c>
      <c r="J7" s="505" t="n">
        <f aca="false">I7+1</f>
        <v>2021</v>
      </c>
      <c r="K7" s="505" t="n">
        <f aca="false">J7+1</f>
        <v>2022</v>
      </c>
    </row>
    <row r="8" customFormat="false" ht="15.75" hidden="false" customHeight="true" outlineLevel="0" collapsed="false">
      <c r="A8" s="506" t="s">
        <v>329</v>
      </c>
      <c r="B8" s="257"/>
      <c r="C8" s="257"/>
      <c r="D8" s="507" t="n">
        <f aca="false">'5.1 DAF Vehicle Parc Input'!E41</f>
        <v>0</v>
      </c>
      <c r="E8" s="507" t="n">
        <f aca="false">'5.1 DAF Vehicle Parc Input'!G41</f>
        <v>0</v>
      </c>
      <c r="F8" s="507" t="n">
        <f aca="false">'5.1 DAF Vehicle Parc Input'!I41</f>
        <v>0</v>
      </c>
      <c r="G8" s="508" t="n">
        <f aca="false">'5.1 DAF Vehicle Parc Input'!K41</f>
        <v>0</v>
      </c>
      <c r="H8" s="508" t="n">
        <f aca="false">'5.1 DAF Vehicle Parc Input'!M41</f>
        <v>0</v>
      </c>
      <c r="I8" s="508" t="n">
        <f aca="false">'5.1 DAF Vehicle Parc Input'!O41</f>
        <v>0</v>
      </c>
      <c r="J8" s="508" t="n">
        <f aca="false">'5.1 DAF Vehicle Parc Input'!Q41</f>
        <v>0</v>
      </c>
      <c r="K8" s="508" t="n">
        <f aca="false">'5.1 DAF Vehicle Parc Input'!S41</f>
        <v>0</v>
      </c>
    </row>
    <row r="9" customFormat="false" ht="15.75" hidden="false" customHeight="true" outlineLevel="0" collapsed="false">
      <c r="A9" s="82" t="s">
        <v>330</v>
      </c>
      <c r="B9" s="107"/>
      <c r="C9" s="107"/>
      <c r="D9" s="507" t="n">
        <f aca="false">'5.1 DAF Vehicle Parc Input'!E42</f>
        <v>0</v>
      </c>
      <c r="E9" s="507" t="n">
        <f aca="false">'5.1 DAF Vehicle Parc Input'!G42</f>
        <v>0</v>
      </c>
      <c r="F9" s="507" t="n">
        <f aca="false">'5.1 DAF Vehicle Parc Input'!I42</f>
        <v>0</v>
      </c>
      <c r="G9" s="508" t="n">
        <f aca="false">'5.1 DAF Vehicle Parc Input'!K42</f>
        <v>0</v>
      </c>
      <c r="H9" s="508" t="n">
        <f aca="false">'5.1 DAF Vehicle Parc Input'!M42</f>
        <v>0</v>
      </c>
      <c r="I9" s="508" t="n">
        <f aca="false">'5.1 DAF Vehicle Parc Input'!O42</f>
        <v>0</v>
      </c>
      <c r="J9" s="508" t="n">
        <f aca="false">'5.1 DAF Vehicle Parc Input'!Q42</f>
        <v>0</v>
      </c>
      <c r="K9" s="508" t="n">
        <f aca="false">'5.1 DAF Vehicle Parc Input'!S42</f>
        <v>0</v>
      </c>
    </row>
    <row r="10" customFormat="false" ht="15.75" hidden="false" customHeight="true" outlineLevel="0" collapsed="false">
      <c r="A10" s="509" t="s">
        <v>293</v>
      </c>
      <c r="B10" s="314"/>
      <c r="C10" s="314"/>
      <c r="D10" s="510" t="n">
        <f aca="false">SUM(D8:D9)</f>
        <v>0</v>
      </c>
      <c r="E10" s="510" t="n">
        <f aca="false">SUM(E8:E9)</f>
        <v>0</v>
      </c>
      <c r="F10" s="510" t="n">
        <f aca="false">SUM(F8:F9)</f>
        <v>0</v>
      </c>
      <c r="G10" s="510" t="n">
        <f aca="false">+G8+G9</f>
        <v>0</v>
      </c>
      <c r="H10" s="510" t="n">
        <f aca="false">(H8+H9)</f>
        <v>0</v>
      </c>
      <c r="I10" s="510" t="n">
        <f aca="false">(I8+I9)</f>
        <v>0</v>
      </c>
      <c r="J10" s="510" t="n">
        <f aca="false">(J8+J9)</f>
        <v>0</v>
      </c>
      <c r="K10" s="510" t="n">
        <f aca="false">(K8+K9)</f>
        <v>0</v>
      </c>
    </row>
    <row r="11" customFormat="false" ht="15.75" hidden="false" customHeight="true" outlineLevel="0" collapsed="false">
      <c r="A11" s="280"/>
      <c r="B11" s="280"/>
      <c r="C11" s="280"/>
      <c r="D11" s="280"/>
      <c r="E11" s="280"/>
      <c r="F11" s="280"/>
      <c r="G11" s="511"/>
      <c r="H11" s="280"/>
      <c r="I11" s="511"/>
      <c r="J11" s="512"/>
      <c r="K11" s="54"/>
      <c r="L11" s="499"/>
    </row>
    <row r="12" customFormat="false" ht="15.75" hidden="false" customHeight="true" outlineLevel="0" collapsed="false">
      <c r="K12" s="54"/>
    </row>
    <row r="13" customFormat="false" ht="15.75" hidden="false" customHeight="true" outlineLevel="0" collapsed="false">
      <c r="K13" s="54"/>
    </row>
    <row r="14" customFormat="false" ht="15.75" hidden="false" customHeight="true" outlineLevel="0" collapsed="false">
      <c r="K14" s="54"/>
    </row>
    <row r="15" customFormat="false" ht="15.75" hidden="false" customHeight="true" outlineLevel="0" collapsed="false">
      <c r="K15" s="54"/>
    </row>
    <row r="16" customFormat="false" ht="15.75" hidden="false" customHeight="true" outlineLevel="0" collapsed="false">
      <c r="K16" s="54"/>
    </row>
    <row r="17" customFormat="false" ht="15.75" hidden="false" customHeight="true" outlineLevel="0" collapsed="false">
      <c r="K17" s="54"/>
    </row>
    <row r="18" customFormat="false" ht="15.75" hidden="false" customHeight="true" outlineLevel="0" collapsed="false">
      <c r="K18" s="54"/>
    </row>
    <row r="19" customFormat="false" ht="15.75" hidden="false" customHeight="true" outlineLevel="0" collapsed="false">
      <c r="K19" s="54"/>
    </row>
    <row r="20" customFormat="false" ht="15.75" hidden="false" customHeight="true" outlineLevel="0" collapsed="false">
      <c r="K20" s="54"/>
    </row>
    <row r="21" customFormat="false" ht="15.75" hidden="false" customHeight="true" outlineLevel="0" collapsed="false">
      <c r="K21" s="54"/>
    </row>
    <row r="22" customFormat="false" ht="15.75" hidden="false" customHeight="true" outlineLevel="0" collapsed="false">
      <c r="K22" s="54"/>
    </row>
    <row r="23" customFormat="false" ht="15.75" hidden="false" customHeight="true" outlineLevel="0" collapsed="false">
      <c r="K23" s="54"/>
    </row>
    <row r="24" customFormat="false" ht="15.75" hidden="false" customHeight="true" outlineLevel="0" collapsed="false">
      <c r="K24" s="54"/>
    </row>
    <row r="25" customFormat="false" ht="15.75" hidden="false" customHeight="true" outlineLevel="0" collapsed="false">
      <c r="K25" s="54"/>
    </row>
    <row r="26" customFormat="false" ht="15.75" hidden="false" customHeight="true" outlineLevel="0" collapsed="false">
      <c r="K26" s="513"/>
    </row>
    <row r="27" s="281" customFormat="true" ht="15.75" hidden="false" customHeight="true" outlineLevel="0" collapsed="false">
      <c r="A27" s="131" t="s">
        <v>340</v>
      </c>
      <c r="B27" s="132"/>
      <c r="C27" s="132"/>
      <c r="D27" s="132"/>
      <c r="E27" s="132"/>
      <c r="F27" s="132"/>
      <c r="G27" s="132"/>
      <c r="H27" s="132"/>
      <c r="I27" s="132"/>
      <c r="J27" s="132"/>
      <c r="K27" s="514"/>
      <c r="L27" s="22"/>
    </row>
    <row r="28" customFormat="false" ht="15.75" hidden="false" customHeight="true" outlineLevel="0" collapsed="false">
      <c r="A28" s="261"/>
      <c r="B28" s="158"/>
      <c r="C28" s="158"/>
      <c r="D28" s="158"/>
      <c r="E28" s="158"/>
      <c r="F28" s="158"/>
      <c r="G28" s="158"/>
      <c r="H28" s="158"/>
      <c r="I28" s="158"/>
      <c r="J28" s="158"/>
      <c r="K28" s="167"/>
    </row>
    <row r="29" customFormat="false" ht="15.75" hidden="false" customHeight="true" outlineLevel="0" collapsed="false">
      <c r="A29" s="262"/>
      <c r="B29" s="73"/>
      <c r="C29" s="73"/>
      <c r="D29" s="73"/>
      <c r="E29" s="73"/>
      <c r="F29" s="73"/>
      <c r="G29" s="73"/>
      <c r="H29" s="73"/>
      <c r="I29" s="73"/>
      <c r="J29" s="73"/>
      <c r="K29" s="263"/>
    </row>
    <row r="30" customFormat="false" ht="15.75" hidden="false" customHeight="true" outlineLevel="0" collapsed="false">
      <c r="A30" s="262"/>
      <c r="B30" s="73"/>
      <c r="C30" s="73"/>
      <c r="D30" s="73"/>
      <c r="E30" s="73"/>
      <c r="F30" s="73"/>
      <c r="G30" s="73"/>
      <c r="H30" s="73"/>
      <c r="I30" s="73"/>
      <c r="J30" s="73"/>
      <c r="K30" s="263"/>
    </row>
    <row r="31" customFormat="false" ht="15.75" hidden="false" customHeight="true" outlineLevel="0" collapsed="false">
      <c r="A31" s="262"/>
      <c r="B31" s="73"/>
      <c r="C31" s="73"/>
      <c r="D31" s="73"/>
      <c r="E31" s="73"/>
      <c r="F31" s="73"/>
      <c r="G31" s="73"/>
      <c r="H31" s="73"/>
      <c r="I31" s="73"/>
      <c r="J31" s="73"/>
      <c r="K31" s="263"/>
    </row>
    <row r="32" customFormat="false" ht="15.75" hidden="false" customHeight="true" outlineLevel="0" collapsed="false">
      <c r="A32" s="262"/>
      <c r="B32" s="73"/>
      <c r="C32" s="73"/>
      <c r="D32" s="73"/>
      <c r="E32" s="73"/>
      <c r="F32" s="73"/>
      <c r="G32" s="73"/>
      <c r="H32" s="73"/>
      <c r="I32" s="73"/>
      <c r="J32" s="73"/>
      <c r="K32" s="263"/>
    </row>
    <row r="33" customFormat="false" ht="15.75" hidden="false" customHeight="true" outlineLevel="0" collapsed="false">
      <c r="A33" s="262"/>
      <c r="B33" s="73"/>
      <c r="C33" s="73"/>
      <c r="D33" s="73"/>
      <c r="E33" s="73"/>
      <c r="F33" s="73"/>
      <c r="G33" s="73"/>
      <c r="H33" s="73"/>
      <c r="I33" s="73"/>
      <c r="J33" s="73"/>
      <c r="K33" s="263"/>
    </row>
    <row r="34" customFormat="false" ht="15.75" hidden="false" customHeight="true" outlineLevel="0" collapsed="false">
      <c r="A34" s="262"/>
      <c r="B34" s="73"/>
      <c r="C34" s="73"/>
      <c r="D34" s="73"/>
      <c r="E34" s="73"/>
      <c r="F34" s="73"/>
      <c r="G34" s="73"/>
      <c r="H34" s="73"/>
      <c r="I34" s="73"/>
      <c r="J34" s="73"/>
      <c r="K34" s="263"/>
    </row>
    <row r="35" customFormat="false" ht="15.75" hidden="false" customHeight="true" outlineLevel="0" collapsed="false">
      <c r="A35" s="262"/>
      <c r="B35" s="73"/>
      <c r="C35" s="73"/>
      <c r="D35" s="73"/>
      <c r="E35" s="73"/>
      <c r="F35" s="73"/>
      <c r="G35" s="73"/>
      <c r="H35" s="73"/>
      <c r="I35" s="73"/>
      <c r="J35" s="73"/>
      <c r="K35" s="263"/>
    </row>
    <row r="36" customFormat="false" ht="15.75" hidden="false" customHeight="true" outlineLevel="0" collapsed="false">
      <c r="A36" s="262"/>
      <c r="B36" s="73"/>
      <c r="C36" s="73"/>
      <c r="D36" s="73"/>
      <c r="E36" s="73"/>
      <c r="F36" s="73"/>
      <c r="G36" s="73"/>
      <c r="H36" s="73"/>
      <c r="I36" s="73"/>
      <c r="J36" s="73"/>
      <c r="K36" s="263"/>
    </row>
    <row r="37" customFormat="false" ht="15.75" hidden="false" customHeight="true" outlineLevel="0" collapsed="false">
      <c r="A37" s="262"/>
      <c r="B37" s="73"/>
      <c r="C37" s="73"/>
      <c r="D37" s="73"/>
      <c r="E37" s="73"/>
      <c r="F37" s="73"/>
      <c r="G37" s="73"/>
      <c r="H37" s="73"/>
      <c r="I37" s="73"/>
      <c r="J37" s="73"/>
      <c r="K37" s="263"/>
    </row>
    <row r="38" customFormat="false" ht="15.75" hidden="false" customHeight="true" outlineLevel="0" collapsed="false">
      <c r="A38" s="262"/>
      <c r="B38" s="73"/>
      <c r="C38" s="73"/>
      <c r="D38" s="73"/>
      <c r="E38" s="73"/>
      <c r="F38" s="73"/>
      <c r="G38" s="73"/>
      <c r="H38" s="73"/>
      <c r="I38" s="73"/>
      <c r="J38" s="73"/>
      <c r="K38" s="263"/>
    </row>
    <row r="39" customFormat="false" ht="15.75" hidden="false" customHeight="true" outlineLevel="0" collapsed="false">
      <c r="A39" s="266"/>
      <c r="B39" s="161"/>
      <c r="C39" s="161"/>
      <c r="D39" s="161"/>
      <c r="E39" s="161"/>
      <c r="F39" s="161"/>
      <c r="G39" s="161"/>
      <c r="H39" s="161"/>
      <c r="I39" s="161"/>
      <c r="J39" s="161"/>
      <c r="K39" s="267"/>
    </row>
    <row r="40" customFormat="false" ht="15.75" hidden="false" customHeight="true" outlineLevel="0" collapsed="false">
      <c r="A40" s="314"/>
      <c r="K40" s="314"/>
    </row>
    <row r="41" s="281" customFormat="true" ht="15.75" hidden="false" customHeight="true" outlineLevel="0" collapsed="false">
      <c r="A41" s="131" t="s">
        <v>281</v>
      </c>
      <c r="B41" s="132"/>
      <c r="C41" s="132"/>
      <c r="D41" s="132"/>
      <c r="E41" s="132"/>
      <c r="F41" s="132"/>
      <c r="G41" s="132"/>
      <c r="H41" s="132"/>
      <c r="I41" s="132"/>
      <c r="J41" s="132"/>
      <c r="K41" s="133"/>
      <c r="L41" s="22"/>
    </row>
    <row r="42" customFormat="false" ht="15.75" hidden="false" customHeight="true" outlineLevel="0" collapsed="false">
      <c r="A42" s="261"/>
      <c r="B42" s="158"/>
      <c r="C42" s="158"/>
      <c r="D42" s="158"/>
      <c r="E42" s="158"/>
      <c r="F42" s="158"/>
      <c r="G42" s="158"/>
      <c r="H42" s="158"/>
      <c r="I42" s="158"/>
      <c r="J42" s="158"/>
      <c r="K42" s="167"/>
    </row>
    <row r="43" customFormat="false" ht="15.75" hidden="false" customHeight="true" outlineLevel="0" collapsed="false">
      <c r="A43" s="262"/>
      <c r="B43" s="73"/>
      <c r="C43" s="73"/>
      <c r="D43" s="73"/>
      <c r="E43" s="73"/>
      <c r="F43" s="73"/>
      <c r="G43" s="73"/>
      <c r="H43" s="73"/>
      <c r="I43" s="73"/>
      <c r="J43" s="73"/>
      <c r="K43" s="263"/>
    </row>
    <row r="44" customFormat="false" ht="15.75" hidden="false" customHeight="true" outlineLevel="0" collapsed="false">
      <c r="A44" s="262"/>
      <c r="B44" s="73"/>
      <c r="C44" s="73"/>
      <c r="D44" s="73"/>
      <c r="E44" s="73"/>
      <c r="F44" s="73"/>
      <c r="G44" s="73"/>
      <c r="H44" s="73"/>
      <c r="I44" s="73"/>
      <c r="J44" s="73"/>
      <c r="K44" s="263"/>
    </row>
    <row r="45" customFormat="false" ht="15.75" hidden="false" customHeight="true" outlineLevel="0" collapsed="false">
      <c r="A45" s="262"/>
      <c r="B45" s="73"/>
      <c r="C45" s="73"/>
      <c r="D45" s="73"/>
      <c r="E45" s="73"/>
      <c r="F45" s="73"/>
      <c r="G45" s="73"/>
      <c r="H45" s="73"/>
      <c r="I45" s="73"/>
      <c r="J45" s="73"/>
      <c r="K45" s="263"/>
    </row>
    <row r="46" customFormat="false" ht="15.75" hidden="false" customHeight="true" outlineLevel="0" collapsed="false">
      <c r="A46" s="262"/>
      <c r="B46" s="73"/>
      <c r="C46" s="73"/>
      <c r="D46" s="73"/>
      <c r="E46" s="73"/>
      <c r="F46" s="73"/>
      <c r="G46" s="73"/>
      <c r="H46" s="73"/>
      <c r="I46" s="73"/>
      <c r="J46" s="73"/>
      <c r="K46" s="263"/>
    </row>
    <row r="47" customFormat="false" ht="15.75" hidden="false" customHeight="true" outlineLevel="0" collapsed="false">
      <c r="A47" s="266"/>
      <c r="B47" s="161"/>
      <c r="C47" s="161"/>
      <c r="D47" s="161"/>
      <c r="E47" s="161"/>
      <c r="F47" s="161"/>
      <c r="G47" s="161"/>
      <c r="H47" s="161"/>
      <c r="I47" s="161"/>
      <c r="J47" s="161"/>
      <c r="K47" s="267"/>
    </row>
    <row r="48" customFormat="false" ht="15.75" hidden="false" customHeight="true" outlineLevel="0" collapsed="false">
      <c r="A48" s="515"/>
      <c r="B48" s="242"/>
      <c r="C48" s="242"/>
      <c r="D48" s="242"/>
      <c r="E48" s="242"/>
      <c r="F48" s="242"/>
      <c r="G48" s="242"/>
      <c r="H48" s="242"/>
      <c r="I48" s="242"/>
      <c r="J48" s="242"/>
      <c r="K48" s="515"/>
    </row>
    <row r="49" s="281" customFormat="true" ht="15.75" hidden="false" customHeight="true" outlineLevel="0" collapsed="false">
      <c r="A49" s="131" t="s">
        <v>282</v>
      </c>
      <c r="B49" s="132"/>
      <c r="C49" s="132"/>
      <c r="D49" s="132"/>
      <c r="E49" s="132"/>
      <c r="F49" s="132"/>
      <c r="G49" s="132"/>
      <c r="H49" s="132"/>
      <c r="I49" s="132"/>
      <c r="J49" s="132"/>
      <c r="K49" s="133"/>
      <c r="L49" s="22"/>
    </row>
    <row r="50" customFormat="false" ht="15.75" hidden="false" customHeight="true" outlineLevel="0" collapsed="false">
      <c r="A50" s="261"/>
      <c r="B50" s="158"/>
      <c r="C50" s="158"/>
      <c r="D50" s="158"/>
      <c r="E50" s="158"/>
      <c r="F50" s="158"/>
      <c r="G50" s="158"/>
      <c r="H50" s="158"/>
      <c r="I50" s="158"/>
      <c r="J50" s="158"/>
      <c r="K50" s="167"/>
    </row>
    <row r="51" customFormat="false" ht="15.75" hidden="false" customHeight="true" outlineLevel="0" collapsed="false">
      <c r="A51" s="262"/>
      <c r="B51" s="73"/>
      <c r="C51" s="73"/>
      <c r="D51" s="73"/>
      <c r="E51" s="73"/>
      <c r="F51" s="73"/>
      <c r="G51" s="73"/>
      <c r="H51" s="73"/>
      <c r="I51" s="73"/>
      <c r="J51" s="73"/>
      <c r="K51" s="263"/>
    </row>
    <row r="52" customFormat="false" ht="15.75" hidden="false" customHeight="true" outlineLevel="0" collapsed="false">
      <c r="A52" s="262"/>
      <c r="B52" s="73"/>
      <c r="C52" s="73"/>
      <c r="D52" s="73"/>
      <c r="E52" s="73"/>
      <c r="F52" s="73"/>
      <c r="G52" s="73"/>
      <c r="H52" s="73"/>
      <c r="I52" s="73"/>
      <c r="J52" s="73"/>
      <c r="K52" s="263"/>
    </row>
    <row r="53" customFormat="false" ht="15.75" hidden="false" customHeight="true" outlineLevel="0" collapsed="false">
      <c r="A53" s="262"/>
      <c r="B53" s="73"/>
      <c r="C53" s="73"/>
      <c r="D53" s="73"/>
      <c r="E53" s="73"/>
      <c r="F53" s="73"/>
      <c r="G53" s="73"/>
      <c r="H53" s="73"/>
      <c r="I53" s="73"/>
      <c r="J53" s="73"/>
      <c r="K53" s="263"/>
    </row>
    <row r="54" customFormat="false" ht="15.75" hidden="false" customHeight="true" outlineLevel="0" collapsed="false">
      <c r="A54" s="262"/>
      <c r="B54" s="73"/>
      <c r="C54" s="73"/>
      <c r="D54" s="73"/>
      <c r="E54" s="73"/>
      <c r="F54" s="73"/>
      <c r="G54" s="73"/>
      <c r="H54" s="73"/>
      <c r="I54" s="73"/>
      <c r="J54" s="73"/>
      <c r="K54" s="263"/>
    </row>
    <row r="55" customFormat="false" ht="15.75" hidden="false" customHeight="true" outlineLevel="0" collapsed="false">
      <c r="A55" s="266"/>
      <c r="B55" s="161"/>
      <c r="C55" s="161"/>
      <c r="D55" s="161"/>
      <c r="E55" s="161"/>
      <c r="F55" s="161"/>
      <c r="G55" s="161"/>
      <c r="H55" s="161"/>
      <c r="I55" s="161"/>
      <c r="J55" s="161"/>
      <c r="K55" s="267"/>
    </row>
    <row r="56" customFormat="false" ht="15.75" hidden="false" customHeight="true" outlineLevel="0" collapsed="false"/>
  </sheetData>
  <mergeCells count="2">
    <mergeCell ref="D6:F6"/>
    <mergeCell ref="G6:K6"/>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0.xml><?xml version="1.0" encoding="utf-8"?>
<worksheet xmlns="http://schemas.openxmlformats.org/spreadsheetml/2006/main" xmlns:r="http://schemas.openxmlformats.org/officeDocument/2006/relationships">
  <sheetPr filterMode="false">
    <tabColor rgb="FF00FF00"/>
    <pageSetUpPr fitToPage="true"/>
  </sheetPr>
  <dimension ref="A1:AB64"/>
  <sheetViews>
    <sheetView showFormulas="false" showGridLines="false" showRowColHeaders="true" showZeros="true" rightToLeft="false" tabSelected="false" showOutlineSymbols="true" defaultGridColor="true" view="normal" topLeftCell="A43" colorId="64" zoomScale="100" zoomScaleNormal="100" zoomScalePageLayoutView="100" workbookViewId="0">
      <selection pane="topLeft" activeCell="A49" activeCellId="0" sqref="A49"/>
    </sheetView>
  </sheetViews>
  <sheetFormatPr defaultRowHeight="12.75" zeroHeight="true" outlineLevelRow="0" outlineLevelCol="0"/>
  <cols>
    <col collapsed="false" customWidth="true" hidden="false" outlineLevel="0" max="1" min="1" style="0" width="9.14"/>
    <col collapsed="false" customWidth="true" hidden="false" outlineLevel="0" max="13" min="2" style="0" width="13.29"/>
    <col collapsed="false" customWidth="true" hidden="false" outlineLevel="0" max="14" min="14" style="516" width="1.85"/>
    <col collapsed="false" customWidth="true" hidden="true" outlineLevel="0" max="28" min="15" style="517" width="9.14"/>
    <col collapsed="false" customWidth="true" hidden="false" outlineLevel="0" max="1025" min="29" style="0" width="8.67"/>
  </cols>
  <sheetData>
    <row r="1" s="473" customFormat="true" ht="28.5" hidden="false" customHeight="false" outlineLevel="0" collapsed="false">
      <c r="A1" s="137" t="s">
        <v>284</v>
      </c>
      <c r="B1" s="138"/>
      <c r="C1" s="138"/>
      <c r="D1" s="138"/>
      <c r="E1" s="138"/>
      <c r="F1" s="138"/>
      <c r="G1" s="138"/>
      <c r="H1" s="138"/>
      <c r="I1" s="138"/>
      <c r="J1" s="138"/>
      <c r="K1" s="501"/>
      <c r="L1" s="138"/>
      <c r="M1" s="518" t="s">
        <v>341</v>
      </c>
      <c r="N1" s="519"/>
      <c r="O1" s="520"/>
      <c r="P1" s="520"/>
      <c r="Q1" s="520"/>
      <c r="R1" s="520"/>
      <c r="S1" s="520"/>
      <c r="T1" s="520"/>
      <c r="U1" s="520"/>
      <c r="V1" s="520"/>
      <c r="W1" s="520"/>
      <c r="X1" s="520"/>
      <c r="Y1" s="520"/>
      <c r="Z1" s="520"/>
      <c r="AA1" s="520"/>
      <c r="AB1" s="520"/>
    </row>
    <row r="2" customFormat="false" ht="13.15" hidden="false" customHeight="true" outlineLevel="0" collapsed="false">
      <c r="A2" s="443"/>
      <c r="B2" s="444"/>
      <c r="C2" s="445"/>
      <c r="D2" s="446"/>
      <c r="E2" s="447"/>
      <c r="F2" s="101"/>
      <c r="G2" s="101"/>
      <c r="H2" s="448"/>
      <c r="I2" s="446"/>
      <c r="J2" s="446"/>
      <c r="K2" s="446"/>
      <c r="L2" s="446"/>
      <c r="M2" s="449"/>
    </row>
    <row r="3" customFormat="false" ht="13.15" hidden="false" customHeight="true" outlineLevel="0" collapsed="false">
      <c r="A3" s="437" t="s">
        <v>103</v>
      </c>
      <c r="B3" s="444"/>
      <c r="C3" s="450" t="str">
        <f aca="false">'Reference sheet'!C12</f>
        <v>TEST</v>
      </c>
      <c r="D3" s="446"/>
      <c r="E3" s="447"/>
      <c r="F3" s="101"/>
      <c r="G3" s="101"/>
      <c r="H3" s="451" t="s">
        <v>49</v>
      </c>
      <c r="I3" s="452" t="str">
        <f aca="false">'Reference sheet'!C17</f>
        <v>July</v>
      </c>
      <c r="J3" s="453" t="n">
        <f aca="false">'Reference sheet'!D17</f>
        <v>2018</v>
      </c>
      <c r="K3" s="451" t="s">
        <v>46</v>
      </c>
      <c r="L3" s="451"/>
      <c r="M3" s="454" t="n">
        <f aca="false">'Reference sheet'!D15</f>
        <v>0</v>
      </c>
    </row>
    <row r="4" customFormat="false" ht="13.15" hidden="false" customHeight="true" outlineLevel="0" collapsed="false">
      <c r="A4" s="455"/>
      <c r="B4" s="456"/>
      <c r="C4" s="457"/>
      <c r="D4" s="457"/>
      <c r="E4" s="457"/>
      <c r="F4" s="457"/>
      <c r="G4" s="458"/>
      <c r="H4" s="457"/>
      <c r="I4" s="457"/>
      <c r="J4" s="457"/>
      <c r="K4" s="457"/>
      <c r="L4" s="457"/>
      <c r="M4" s="459"/>
    </row>
    <row r="5" customFormat="false" ht="12.75" hidden="false" customHeight="false" outlineLevel="0" collapsed="false">
      <c r="G5" s="473"/>
    </row>
    <row r="6" customFormat="false" ht="15" hidden="false" customHeight="false" outlineLevel="0" collapsed="false">
      <c r="A6" s="131" t="s">
        <v>342</v>
      </c>
      <c r="B6" s="132"/>
      <c r="C6" s="132"/>
      <c r="D6" s="132"/>
      <c r="E6" s="132"/>
      <c r="F6" s="132"/>
      <c r="G6" s="281"/>
      <c r="H6" s="132"/>
      <c r="I6" s="276" t="n">
        <f aca="false">'Reference sheet'!C18-1</f>
        <v>2017</v>
      </c>
      <c r="J6" s="132"/>
      <c r="K6" s="132"/>
      <c r="L6" s="132"/>
      <c r="M6" s="133"/>
    </row>
    <row r="7" customFormat="false" ht="15" hidden="false" customHeight="false" outlineLevel="0" collapsed="false">
      <c r="A7" s="521"/>
      <c r="B7" s="522" t="n">
        <f aca="false">$I6</f>
        <v>2017</v>
      </c>
      <c r="C7" s="522" t="n">
        <f aca="false">B7-1</f>
        <v>2016</v>
      </c>
      <c r="D7" s="522" t="n">
        <f aca="false">C7-1</f>
        <v>2015</v>
      </c>
      <c r="E7" s="522" t="n">
        <f aca="false">D7-1</f>
        <v>2014</v>
      </c>
      <c r="F7" s="522" t="n">
        <f aca="false">E7-1</f>
        <v>2013</v>
      </c>
      <c r="G7" s="522" t="n">
        <f aca="false">F7-1</f>
        <v>2012</v>
      </c>
      <c r="H7" s="522" t="n">
        <f aca="false">G7-1</f>
        <v>2011</v>
      </c>
      <c r="I7" s="522" t="n">
        <f aca="false">H7-1</f>
        <v>2010</v>
      </c>
      <c r="J7" s="522" t="n">
        <f aca="false">I7-1</f>
        <v>2009</v>
      </c>
      <c r="K7" s="522" t="n">
        <f aca="false">J7-1</f>
        <v>2008</v>
      </c>
      <c r="L7" s="522" t="str">
        <f aca="false">"&lt;"&amp;K7</f>
        <v>&lt;2008</v>
      </c>
      <c r="M7" s="523" t="s">
        <v>293</v>
      </c>
    </row>
    <row r="8" customFormat="false" ht="15" hidden="false" customHeight="false" outlineLevel="0" collapsed="false">
      <c r="A8" s="524" t="s">
        <v>165</v>
      </c>
      <c r="B8" s="525" t="n">
        <f aca="false">'5.1 DAF Vehicle Parc Input'!E27</f>
        <v>0</v>
      </c>
      <c r="C8" s="525" t="n">
        <f aca="false">'5.1 DAF Vehicle Parc Input'!F27</f>
        <v>0</v>
      </c>
      <c r="D8" s="525" t="n">
        <f aca="false">'5.1 DAF Vehicle Parc Input'!G27</f>
        <v>0</v>
      </c>
      <c r="E8" s="525" t="n">
        <f aca="false">'5.1 DAF Vehicle Parc Input'!H27</f>
        <v>0</v>
      </c>
      <c r="F8" s="525" t="n">
        <f aca="false">'5.1 DAF Vehicle Parc Input'!I27</f>
        <v>0</v>
      </c>
      <c r="G8" s="525" t="n">
        <f aca="false">'5.1 DAF Vehicle Parc Input'!J27</f>
        <v>0</v>
      </c>
      <c r="H8" s="525" t="n">
        <f aca="false">'5.1 DAF Vehicle Parc Input'!K27</f>
        <v>0</v>
      </c>
      <c r="I8" s="525" t="n">
        <f aca="false">'5.1 DAF Vehicle Parc Input'!L27</f>
        <v>0</v>
      </c>
      <c r="J8" s="525" t="n">
        <f aca="false">'5.1 DAF Vehicle Parc Input'!M27</f>
        <v>0</v>
      </c>
      <c r="K8" s="525" t="n">
        <f aca="false">SUM('5.1 DAF Vehicle Parc Input'!N27)</f>
        <v>0</v>
      </c>
      <c r="L8" s="525" t="n">
        <f aca="false">SUM('5.1 DAF Vehicle Parc Input'!O27:S27)</f>
        <v>0</v>
      </c>
      <c r="M8" s="526" t="n">
        <f aca="false">SUM(B8:L8)</f>
        <v>0</v>
      </c>
    </row>
    <row r="9" customFormat="false" ht="15" hidden="false" customHeight="false" outlineLevel="0" collapsed="false">
      <c r="A9" s="524" t="s">
        <v>166</v>
      </c>
      <c r="B9" s="527" t="n">
        <f aca="false">'5.1 DAF Vehicle Parc Input'!E28</f>
        <v>0</v>
      </c>
      <c r="C9" s="527" t="n">
        <f aca="false">'5.1 DAF Vehicle Parc Input'!F28</f>
        <v>0</v>
      </c>
      <c r="D9" s="527" t="n">
        <f aca="false">'5.1 DAF Vehicle Parc Input'!G28</f>
        <v>0</v>
      </c>
      <c r="E9" s="527" t="n">
        <f aca="false">'5.1 DAF Vehicle Parc Input'!H28</f>
        <v>0</v>
      </c>
      <c r="F9" s="527" t="n">
        <f aca="false">'5.1 DAF Vehicle Parc Input'!I28</f>
        <v>0</v>
      </c>
      <c r="G9" s="527" t="n">
        <f aca="false">'5.1 DAF Vehicle Parc Input'!J28</f>
        <v>0</v>
      </c>
      <c r="H9" s="527" t="n">
        <f aca="false">'5.1 DAF Vehicle Parc Input'!K28</f>
        <v>0</v>
      </c>
      <c r="I9" s="527" t="n">
        <f aca="false">'5.1 DAF Vehicle Parc Input'!L28</f>
        <v>0</v>
      </c>
      <c r="J9" s="527" t="n">
        <f aca="false">'5.1 DAF Vehicle Parc Input'!M28</f>
        <v>0</v>
      </c>
      <c r="K9" s="527" t="n">
        <f aca="false">'5.1 DAF Vehicle Parc Input'!N28</f>
        <v>0</v>
      </c>
      <c r="L9" s="527" t="n">
        <f aca="false">SUM('5.1 DAF Vehicle Parc Input'!O28:S28)</f>
        <v>0</v>
      </c>
      <c r="M9" s="526" t="n">
        <f aca="false">SUM(B9:L9)</f>
        <v>0</v>
      </c>
    </row>
    <row r="10" customFormat="false" ht="15" hidden="false" customHeight="false" outlineLevel="0" collapsed="false">
      <c r="A10" s="524" t="s">
        <v>167</v>
      </c>
      <c r="B10" s="527" t="n">
        <f aca="false">'5.1 DAF Vehicle Parc Input'!E29</f>
        <v>0</v>
      </c>
      <c r="C10" s="527" t="n">
        <f aca="false">'5.1 DAF Vehicle Parc Input'!F29</f>
        <v>0</v>
      </c>
      <c r="D10" s="527" t="n">
        <f aca="false">'5.1 DAF Vehicle Parc Input'!G29</f>
        <v>0</v>
      </c>
      <c r="E10" s="527" t="n">
        <f aca="false">'5.1 DAF Vehicle Parc Input'!H29</f>
        <v>0</v>
      </c>
      <c r="F10" s="527" t="n">
        <f aca="false">'5.1 DAF Vehicle Parc Input'!I29</f>
        <v>0</v>
      </c>
      <c r="G10" s="527" t="n">
        <f aca="false">'5.1 DAF Vehicle Parc Input'!J29</f>
        <v>0</v>
      </c>
      <c r="H10" s="527" t="n">
        <f aca="false">'5.1 DAF Vehicle Parc Input'!K29</f>
        <v>0</v>
      </c>
      <c r="I10" s="527" t="n">
        <f aca="false">'5.1 DAF Vehicle Parc Input'!L29</f>
        <v>0</v>
      </c>
      <c r="J10" s="527" t="n">
        <f aca="false">'5.1 DAF Vehicle Parc Input'!M29</f>
        <v>0</v>
      </c>
      <c r="K10" s="527" t="n">
        <f aca="false">'5.1 DAF Vehicle Parc Input'!N29</f>
        <v>0</v>
      </c>
      <c r="L10" s="527" t="n">
        <f aca="false">SUM('5.1 DAF Vehicle Parc Input'!O29:S29)</f>
        <v>0</v>
      </c>
      <c r="M10" s="526" t="n">
        <f aca="false">SUM(B10:L10)</f>
        <v>0</v>
      </c>
    </row>
    <row r="11" customFormat="false" ht="15" hidden="false" customHeight="false" outlineLevel="0" collapsed="false">
      <c r="A11" s="524" t="s">
        <v>168</v>
      </c>
      <c r="B11" s="527" t="n">
        <f aca="false">'5.1 DAF Vehicle Parc Input'!E30</f>
        <v>0</v>
      </c>
      <c r="C11" s="527" t="n">
        <f aca="false">'5.1 DAF Vehicle Parc Input'!F30</f>
        <v>0</v>
      </c>
      <c r="D11" s="527" t="n">
        <f aca="false">'5.1 DAF Vehicle Parc Input'!G30</f>
        <v>0</v>
      </c>
      <c r="E11" s="527" t="n">
        <f aca="false">'5.1 DAF Vehicle Parc Input'!H30</f>
        <v>0</v>
      </c>
      <c r="F11" s="527" t="n">
        <f aca="false">'5.1 DAF Vehicle Parc Input'!I30</f>
        <v>0</v>
      </c>
      <c r="G11" s="527" t="n">
        <f aca="false">'5.1 DAF Vehicle Parc Input'!J30</f>
        <v>0</v>
      </c>
      <c r="H11" s="527" t="n">
        <f aca="false">'5.1 DAF Vehicle Parc Input'!K30</f>
        <v>0</v>
      </c>
      <c r="I11" s="527" t="n">
        <f aca="false">'5.1 DAF Vehicle Parc Input'!L30</f>
        <v>0</v>
      </c>
      <c r="J11" s="527" t="n">
        <f aca="false">'5.1 DAF Vehicle Parc Input'!M30</f>
        <v>0</v>
      </c>
      <c r="K11" s="527" t="n">
        <f aca="false">'5.1 DAF Vehicle Parc Input'!N30</f>
        <v>0</v>
      </c>
      <c r="L11" s="527" t="n">
        <f aca="false">SUM('5.1 DAF Vehicle Parc Input'!O30:S30)</f>
        <v>0</v>
      </c>
      <c r="M11" s="526" t="n">
        <f aca="false">SUM(B11:L11)</f>
        <v>0</v>
      </c>
    </row>
    <row r="12" customFormat="false" ht="15" hidden="false" customHeight="false" outlineLevel="0" collapsed="false">
      <c r="A12" s="524" t="s">
        <v>169</v>
      </c>
      <c r="B12" s="527" t="n">
        <f aca="false">'5.1 DAF Vehicle Parc Input'!E31</f>
        <v>0</v>
      </c>
      <c r="C12" s="527" t="n">
        <f aca="false">'5.1 DAF Vehicle Parc Input'!F31</f>
        <v>0</v>
      </c>
      <c r="D12" s="527" t="n">
        <f aca="false">'5.1 DAF Vehicle Parc Input'!G31</f>
        <v>0</v>
      </c>
      <c r="E12" s="527" t="n">
        <f aca="false">'5.1 DAF Vehicle Parc Input'!H31</f>
        <v>0</v>
      </c>
      <c r="F12" s="527" t="n">
        <f aca="false">'5.1 DAF Vehicle Parc Input'!I31</f>
        <v>0</v>
      </c>
      <c r="G12" s="527" t="n">
        <f aca="false">'5.1 DAF Vehicle Parc Input'!J31</f>
        <v>0</v>
      </c>
      <c r="H12" s="527" t="n">
        <f aca="false">'5.1 DAF Vehicle Parc Input'!K31</f>
        <v>0</v>
      </c>
      <c r="I12" s="527" t="n">
        <f aca="false">'5.1 DAF Vehicle Parc Input'!L31</f>
        <v>0</v>
      </c>
      <c r="J12" s="527" t="n">
        <f aca="false">'5.1 DAF Vehicle Parc Input'!M31</f>
        <v>0</v>
      </c>
      <c r="K12" s="527" t="n">
        <f aca="false">'5.1 DAF Vehicle Parc Input'!N31</f>
        <v>0</v>
      </c>
      <c r="L12" s="527" t="n">
        <f aca="false">SUM('5.1 DAF Vehicle Parc Input'!O31:S31)</f>
        <v>0</v>
      </c>
      <c r="M12" s="526" t="n">
        <f aca="false">SUM(B12:L12)</f>
        <v>0</v>
      </c>
    </row>
    <row r="13" customFormat="false" ht="15" hidden="false" customHeight="false" outlineLevel="0" collapsed="false">
      <c r="A13" s="524" t="s">
        <v>343</v>
      </c>
      <c r="B13" s="527" t="n">
        <f aca="false">'5.1 DAF Vehicle Parc Input'!E32</f>
        <v>0</v>
      </c>
      <c r="C13" s="527" t="n">
        <f aca="false">'5.1 DAF Vehicle Parc Input'!F32</f>
        <v>0</v>
      </c>
      <c r="D13" s="527" t="n">
        <f aca="false">'5.1 DAF Vehicle Parc Input'!G32</f>
        <v>0</v>
      </c>
      <c r="E13" s="527" t="n">
        <f aca="false">'5.1 DAF Vehicle Parc Input'!H32</f>
        <v>0</v>
      </c>
      <c r="F13" s="527" t="n">
        <f aca="false">'5.1 DAF Vehicle Parc Input'!I32</f>
        <v>0</v>
      </c>
      <c r="G13" s="527" t="n">
        <f aca="false">'5.1 DAF Vehicle Parc Input'!J32</f>
        <v>0</v>
      </c>
      <c r="H13" s="527" t="n">
        <f aca="false">'5.1 DAF Vehicle Parc Input'!K32</f>
        <v>0</v>
      </c>
      <c r="I13" s="527" t="n">
        <f aca="false">'5.1 DAF Vehicle Parc Input'!L32</f>
        <v>0</v>
      </c>
      <c r="J13" s="527" t="n">
        <f aca="false">'5.1 DAF Vehicle Parc Input'!M32</f>
        <v>0</v>
      </c>
      <c r="K13" s="527" t="n">
        <f aca="false">'5.1 DAF Vehicle Parc Input'!N32</f>
        <v>0</v>
      </c>
      <c r="L13" s="527" t="n">
        <f aca="false">SUM('5.1 DAF Vehicle Parc Input'!O32:S32)</f>
        <v>0</v>
      </c>
      <c r="M13" s="526" t="n">
        <f aca="false">SUM(B13:L13)</f>
        <v>0</v>
      </c>
    </row>
    <row r="14" customFormat="false" ht="15" hidden="false" customHeight="false" outlineLevel="0" collapsed="false">
      <c r="A14" s="524" t="s">
        <v>170</v>
      </c>
      <c r="B14" s="528" t="n">
        <f aca="false">'5.1 DAF Vehicle Parc Input'!E33</f>
        <v>0</v>
      </c>
      <c r="C14" s="528" t="n">
        <f aca="false">'5.1 DAF Vehicle Parc Input'!F33</f>
        <v>0</v>
      </c>
      <c r="D14" s="528" t="n">
        <f aca="false">'5.1 DAF Vehicle Parc Input'!G33</f>
        <v>0</v>
      </c>
      <c r="E14" s="528" t="n">
        <f aca="false">'5.1 DAF Vehicle Parc Input'!H33</f>
        <v>0</v>
      </c>
      <c r="F14" s="528" t="n">
        <f aca="false">'5.1 DAF Vehicle Parc Input'!I33</f>
        <v>0</v>
      </c>
      <c r="G14" s="528" t="n">
        <f aca="false">'5.1 DAF Vehicle Parc Input'!J33</f>
        <v>0</v>
      </c>
      <c r="H14" s="528" t="n">
        <f aca="false">'5.1 DAF Vehicle Parc Input'!K33</f>
        <v>0</v>
      </c>
      <c r="I14" s="528" t="n">
        <f aca="false">'5.1 DAF Vehicle Parc Input'!L33</f>
        <v>0</v>
      </c>
      <c r="J14" s="528" t="n">
        <f aca="false">'5.1 DAF Vehicle Parc Input'!M33</f>
        <v>0</v>
      </c>
      <c r="K14" s="528" t="n">
        <f aca="false">'5.1 DAF Vehicle Parc Input'!N33</f>
        <v>0</v>
      </c>
      <c r="L14" s="528" t="n">
        <f aca="false">SUM('5.1 DAF Vehicle Parc Input'!O33:S33)</f>
        <v>0</v>
      </c>
      <c r="M14" s="529" t="n">
        <f aca="false">SUM(B14:L14)</f>
        <v>0</v>
      </c>
    </row>
    <row r="15" customFormat="false" ht="15" hidden="false" customHeight="false" outlineLevel="0" collapsed="false">
      <c r="A15" s="524" t="s">
        <v>293</v>
      </c>
      <c r="B15" s="530" t="n">
        <f aca="false">SUM(B8:B14)</f>
        <v>0</v>
      </c>
      <c r="C15" s="530" t="n">
        <f aca="false">SUM(C8:C14)</f>
        <v>0</v>
      </c>
      <c r="D15" s="530" t="n">
        <f aca="false">SUM(D8:D14)</f>
        <v>0</v>
      </c>
      <c r="E15" s="530" t="n">
        <f aca="false">SUM(E8:E14)</f>
        <v>0</v>
      </c>
      <c r="F15" s="530" t="n">
        <f aca="false">SUM(F8:F14)</f>
        <v>0</v>
      </c>
      <c r="G15" s="530" t="n">
        <f aca="false">SUM(G8:G14)</f>
        <v>0</v>
      </c>
      <c r="H15" s="530" t="n">
        <f aca="false">SUM(H8:H14)</f>
        <v>0</v>
      </c>
      <c r="I15" s="530" t="n">
        <f aca="false">SUM(I8:I14)</f>
        <v>0</v>
      </c>
      <c r="J15" s="530" t="n">
        <f aca="false">SUM(J8:J14)</f>
        <v>0</v>
      </c>
      <c r="K15" s="530" t="n">
        <f aca="false">SUM(K8:K14)</f>
        <v>0</v>
      </c>
      <c r="L15" s="530" t="n">
        <f aca="false">SUM(L8:L14)</f>
        <v>0</v>
      </c>
      <c r="M15" s="531" t="n">
        <f aca="false">SUM(M8:M14)</f>
        <v>0</v>
      </c>
    </row>
    <row r="16" customFormat="false" ht="15" hidden="false" customHeight="false" outlineLevel="0" collapsed="false">
      <c r="A16" s="532"/>
      <c r="B16" s="533"/>
      <c r="C16" s="533"/>
      <c r="D16" s="533"/>
      <c r="E16" s="533"/>
      <c r="F16" s="533"/>
      <c r="G16" s="533"/>
      <c r="H16" s="533"/>
      <c r="I16" s="533"/>
      <c r="J16" s="533"/>
      <c r="K16" s="533"/>
      <c r="L16" s="533"/>
      <c r="M16" s="534"/>
    </row>
    <row r="17" customFormat="false" ht="12.75" hidden="false" customHeight="false" outlineLevel="0" collapsed="false"/>
    <row r="18" s="537" customFormat="true" ht="15" hidden="false" customHeight="false" outlineLevel="0" collapsed="false">
      <c r="A18" s="535" t="s">
        <v>344</v>
      </c>
      <c r="B18" s="132"/>
      <c r="C18" s="132"/>
      <c r="D18" s="536"/>
      <c r="E18" s="536"/>
      <c r="F18" s="536"/>
      <c r="G18" s="536"/>
      <c r="H18" s="132"/>
      <c r="I18" s="476"/>
      <c r="J18" s="476"/>
      <c r="K18" s="476"/>
      <c r="L18" s="476"/>
      <c r="M18" s="477"/>
      <c r="N18" s="516"/>
    </row>
    <row r="19" customFormat="false" ht="15" hidden="false" customHeight="false" outlineLevel="0" collapsed="false">
      <c r="A19" s="538"/>
      <c r="B19" s="4"/>
      <c r="C19" s="4"/>
      <c r="D19" s="539" t="n">
        <f aca="false">G19-3</f>
        <v>2014</v>
      </c>
      <c r="E19" s="539" t="n">
        <f aca="false">G19-2</f>
        <v>2015</v>
      </c>
      <c r="F19" s="539" t="n">
        <f aca="false">G19-1</f>
        <v>2016</v>
      </c>
      <c r="G19" s="539" t="n">
        <f aca="false">I6</f>
        <v>2017</v>
      </c>
      <c r="H19" s="257"/>
      <c r="I19" s="442"/>
      <c r="J19" s="442"/>
      <c r="K19" s="442"/>
      <c r="L19" s="442"/>
      <c r="M19" s="540"/>
    </row>
    <row r="20" customFormat="false" ht="15" hidden="false" customHeight="false" outlineLevel="0" collapsed="false">
      <c r="A20" s="541" t="s">
        <v>345</v>
      </c>
      <c r="B20" s="4" t="s">
        <v>174</v>
      </c>
      <c r="C20" s="4"/>
      <c r="D20" s="542" t="n">
        <f aca="false">SUM(E15:K15)</f>
        <v>0</v>
      </c>
      <c r="E20" s="542" t="n">
        <f aca="false">SUM(D15:J15)</f>
        <v>0</v>
      </c>
      <c r="F20" s="542" t="n">
        <f aca="false">SUM(C15:I15)</f>
        <v>0</v>
      </c>
      <c r="G20" s="542" t="n">
        <f aca="false">SUM(B15:H15)</f>
        <v>0</v>
      </c>
      <c r="H20" s="48"/>
      <c r="I20" s="101"/>
      <c r="J20" s="101"/>
      <c r="K20" s="101"/>
      <c r="L20" s="101"/>
      <c r="M20" s="543"/>
    </row>
    <row r="21" customFormat="false" ht="15" hidden="false" customHeight="false" outlineLevel="0" collapsed="false">
      <c r="A21" s="541" t="s">
        <v>346</v>
      </c>
      <c r="B21" s="4" t="s">
        <v>174</v>
      </c>
      <c r="C21" s="4"/>
      <c r="D21" s="542" t="n">
        <f aca="false">SUM(E15:L15)</f>
        <v>0</v>
      </c>
      <c r="E21" s="542" t="n">
        <f aca="false">SUM(D15:L15)</f>
        <v>0</v>
      </c>
      <c r="F21" s="542" t="n">
        <f aca="false">SUM(C15:L15)</f>
        <v>0</v>
      </c>
      <c r="G21" s="542" t="n">
        <f aca="false">SUM(B15:K15)</f>
        <v>0</v>
      </c>
      <c r="H21" s="48"/>
      <c r="I21" s="101"/>
      <c r="J21" s="101"/>
      <c r="K21" s="101"/>
      <c r="L21" s="101"/>
      <c r="M21" s="436"/>
    </row>
    <row r="22" customFormat="false" ht="12.75" hidden="false" customHeight="false" outlineLevel="0" collapsed="false">
      <c r="A22" s="544"/>
      <c r="B22" s="457"/>
      <c r="C22" s="457"/>
      <c r="D22" s="457"/>
      <c r="E22" s="457"/>
      <c r="F22" s="457"/>
      <c r="G22" s="457"/>
      <c r="H22" s="457"/>
      <c r="I22" s="457"/>
      <c r="J22" s="457"/>
      <c r="K22" s="457"/>
      <c r="L22" s="457"/>
      <c r="M22" s="545"/>
    </row>
    <row r="23" customFormat="false" ht="12.75" hidden="false" customHeight="false" outlineLevel="0" collapsed="false">
      <c r="A23" s="546"/>
      <c r="B23" s="101"/>
      <c r="C23" s="101"/>
      <c r="D23" s="101"/>
      <c r="E23" s="101"/>
      <c r="F23" s="101"/>
      <c r="G23" s="101"/>
      <c r="H23" s="101"/>
      <c r="I23" s="101"/>
      <c r="J23" s="101"/>
      <c r="K23" s="101"/>
      <c r="L23" s="101"/>
      <c r="M23" s="101"/>
    </row>
    <row r="24" customFormat="false" ht="12.75" hidden="false" customHeight="false" outlineLevel="0" collapsed="false">
      <c r="A24" s="546"/>
      <c r="B24" s="101"/>
      <c r="C24" s="101"/>
      <c r="D24" s="101"/>
      <c r="E24" s="101"/>
      <c r="F24" s="101"/>
      <c r="G24" s="101"/>
      <c r="H24" s="101"/>
      <c r="I24" s="101"/>
      <c r="J24" s="101"/>
      <c r="K24" s="101"/>
      <c r="L24" s="101"/>
      <c r="M24" s="101"/>
    </row>
    <row r="25" customFormat="false" ht="12.75" hidden="false" customHeight="false" outlineLevel="0" collapsed="false"/>
    <row r="26" customFormat="false" ht="12.75" hidden="false" customHeight="false" outlineLevel="0" collapsed="false"/>
    <row r="27" customFormat="false" ht="12.75" hidden="false" customHeight="false" outlineLevel="0" collapsed="false"/>
    <row r="28" customFormat="false" ht="12.75" hidden="false" customHeight="false" outlineLevel="0" collapsed="false"/>
    <row r="29" customFormat="false" ht="12.75" hidden="false" customHeight="false" outlineLevel="0" collapsed="false"/>
    <row r="30" customFormat="false" ht="12.75" hidden="false" customHeight="false" outlineLevel="0" collapsed="false"/>
    <row r="31" customFormat="false" ht="12.75" hidden="false" customHeight="false" outlineLevel="0" collapsed="false"/>
    <row r="32" customFormat="false" ht="12.75" hidden="false" customHeight="false" outlineLevel="0" collapsed="false"/>
    <row r="33" customFormat="false" ht="12.75" hidden="false" customHeight="false" outlineLevel="0" collapsed="false"/>
    <row r="34" customFormat="false" ht="12.75" hidden="false" customHeight="false" outlineLevel="0" collapsed="false"/>
    <row r="35" customFormat="false" ht="12.75" hidden="false" customHeight="false" outlineLevel="0" collapsed="false"/>
    <row r="36" customFormat="false" ht="12.75" hidden="false" customHeight="false" outlineLevel="0" collapsed="false"/>
    <row r="37" customFormat="false" ht="12.75" hidden="false" customHeight="false" outlineLevel="0" collapsed="false"/>
    <row r="38" customFormat="false" ht="12.75" hidden="false" customHeight="false" outlineLevel="0" collapsed="false"/>
    <row r="39" customFormat="false" ht="12.75" hidden="false" customHeight="false" outlineLevel="0" collapsed="false"/>
    <row r="40" customFormat="false" ht="12.75" hidden="false" customHeight="false" outlineLevel="0" collapsed="false"/>
    <row r="41" customFormat="false" ht="12.75" hidden="false" customHeight="false" outlineLevel="0" collapsed="false"/>
    <row r="42" customFormat="false" ht="12.75" hidden="false" customHeight="false" outlineLevel="0" collapsed="false"/>
    <row r="43" customFormat="false" ht="12.75" hidden="false" customHeight="false" outlineLevel="0" collapsed="false"/>
    <row r="44" s="537" customFormat="true" ht="15" hidden="false" customHeight="false" outlineLevel="0" collapsed="false">
      <c r="A44" s="131" t="s">
        <v>347</v>
      </c>
      <c r="B44" s="132"/>
      <c r="C44" s="132"/>
      <c r="D44" s="132"/>
      <c r="E44" s="132"/>
      <c r="F44" s="132"/>
      <c r="G44" s="132"/>
      <c r="H44" s="132"/>
      <c r="I44" s="132"/>
      <c r="J44" s="132"/>
      <c r="K44" s="132"/>
      <c r="L44" s="132"/>
      <c r="M44" s="133"/>
      <c r="N44" s="516"/>
    </row>
    <row r="45" customFormat="false" ht="15" hidden="false" customHeight="false" outlineLevel="0" collapsed="false">
      <c r="A45" s="261"/>
      <c r="B45" s="158"/>
      <c r="C45" s="158"/>
      <c r="D45" s="158"/>
      <c r="E45" s="158"/>
      <c r="F45" s="158"/>
      <c r="G45" s="158"/>
      <c r="H45" s="158"/>
      <c r="I45" s="158"/>
      <c r="J45" s="158"/>
      <c r="K45" s="158"/>
      <c r="L45" s="158"/>
      <c r="M45" s="167"/>
    </row>
    <row r="46" customFormat="false" ht="15" hidden="false" customHeight="false" outlineLevel="0" collapsed="false">
      <c r="A46" s="262"/>
      <c r="B46" s="73"/>
      <c r="C46" s="73"/>
      <c r="D46" s="73"/>
      <c r="E46" s="73"/>
      <c r="F46" s="73"/>
      <c r="G46" s="73"/>
      <c r="H46" s="73"/>
      <c r="I46" s="73"/>
      <c r="J46" s="73"/>
      <c r="K46" s="73"/>
      <c r="L46" s="73"/>
      <c r="M46" s="263"/>
    </row>
    <row r="47" customFormat="false" ht="15" hidden="false" customHeight="false" outlineLevel="0" collapsed="false">
      <c r="A47" s="262"/>
      <c r="B47" s="73"/>
      <c r="C47" s="73"/>
      <c r="D47" s="73"/>
      <c r="E47" s="73"/>
      <c r="F47" s="73"/>
      <c r="G47" s="73"/>
      <c r="H47" s="73"/>
      <c r="I47" s="73"/>
      <c r="J47" s="73"/>
      <c r="K47" s="73"/>
      <c r="L47" s="73"/>
      <c r="M47" s="263"/>
    </row>
    <row r="48" customFormat="false" ht="15" hidden="false" customHeight="false" outlineLevel="0" collapsed="false">
      <c r="A48" s="262"/>
      <c r="B48" s="73"/>
      <c r="C48" s="73"/>
      <c r="D48" s="73"/>
      <c r="E48" s="73"/>
      <c r="F48" s="73"/>
      <c r="G48" s="73"/>
      <c r="H48" s="73"/>
      <c r="I48" s="73"/>
      <c r="J48" s="73"/>
      <c r="K48" s="73"/>
      <c r="L48" s="73"/>
      <c r="M48" s="263"/>
    </row>
    <row r="49" customFormat="false" ht="15" hidden="false" customHeight="false" outlineLevel="0" collapsed="false">
      <c r="A49" s="266"/>
      <c r="B49" s="161"/>
      <c r="C49" s="161"/>
      <c r="D49" s="161"/>
      <c r="E49" s="161"/>
      <c r="F49" s="161"/>
      <c r="G49" s="161"/>
      <c r="H49" s="161"/>
      <c r="I49" s="161"/>
      <c r="J49" s="161"/>
      <c r="K49" s="161"/>
      <c r="L49" s="161"/>
      <c r="M49" s="267"/>
    </row>
    <row r="50" customFormat="false" ht="15" hidden="false" customHeight="false" outlineLevel="0" collapsed="false">
      <c r="A50" s="4"/>
      <c r="B50" s="4"/>
      <c r="C50" s="4"/>
      <c r="D50" s="4"/>
      <c r="E50" s="4"/>
      <c r="F50" s="4"/>
      <c r="G50" s="4"/>
      <c r="H50" s="4"/>
      <c r="I50" s="4"/>
      <c r="J50" s="4"/>
      <c r="K50" s="48"/>
      <c r="L50" s="4"/>
      <c r="M50" s="4"/>
    </row>
    <row r="51" s="537" customFormat="true" ht="15" hidden="false" customHeight="false" outlineLevel="0" collapsed="false">
      <c r="A51" s="131" t="s">
        <v>348</v>
      </c>
      <c r="B51" s="132"/>
      <c r="C51" s="132"/>
      <c r="D51" s="132"/>
      <c r="E51" s="132"/>
      <c r="F51" s="132"/>
      <c r="G51" s="132"/>
      <c r="H51" s="132"/>
      <c r="I51" s="132"/>
      <c r="J51" s="132"/>
      <c r="K51" s="132"/>
      <c r="L51" s="132"/>
      <c r="M51" s="133"/>
      <c r="N51" s="516"/>
    </row>
    <row r="52" customFormat="false" ht="15" hidden="false" customHeight="false" outlineLevel="0" collapsed="false">
      <c r="A52" s="261"/>
      <c r="B52" s="158"/>
      <c r="C52" s="158"/>
      <c r="D52" s="158"/>
      <c r="E52" s="158"/>
      <c r="F52" s="158"/>
      <c r="G52" s="158"/>
      <c r="H52" s="158"/>
      <c r="I52" s="158"/>
      <c r="J52" s="158"/>
      <c r="K52" s="158"/>
      <c r="L52" s="158"/>
      <c r="M52" s="167"/>
    </row>
    <row r="53" customFormat="false" ht="15" hidden="false" customHeight="false" outlineLevel="0" collapsed="false">
      <c r="A53" s="262"/>
      <c r="B53" s="73"/>
      <c r="C53" s="73"/>
      <c r="D53" s="73"/>
      <c r="E53" s="73"/>
      <c r="F53" s="73"/>
      <c r="G53" s="73"/>
      <c r="H53" s="73"/>
      <c r="I53" s="73"/>
      <c r="J53" s="73"/>
      <c r="K53" s="73"/>
      <c r="L53" s="73"/>
      <c r="M53" s="263"/>
    </row>
    <row r="54" customFormat="false" ht="15" hidden="false" customHeight="false" outlineLevel="0" collapsed="false">
      <c r="A54" s="262"/>
      <c r="B54" s="73"/>
      <c r="C54" s="73"/>
      <c r="D54" s="73"/>
      <c r="E54" s="73"/>
      <c r="F54" s="73"/>
      <c r="G54" s="73"/>
      <c r="H54" s="73"/>
      <c r="I54" s="73"/>
      <c r="J54" s="73"/>
      <c r="K54" s="73"/>
      <c r="L54" s="73"/>
      <c r="M54" s="263"/>
    </row>
    <row r="55" customFormat="false" ht="15" hidden="false" customHeight="false" outlineLevel="0" collapsed="false">
      <c r="A55" s="262"/>
      <c r="B55" s="73"/>
      <c r="C55" s="73"/>
      <c r="D55" s="73"/>
      <c r="E55" s="73"/>
      <c r="F55" s="73"/>
      <c r="G55" s="73"/>
      <c r="H55" s="73"/>
      <c r="I55" s="73"/>
      <c r="J55" s="73"/>
      <c r="K55" s="73"/>
      <c r="L55" s="73"/>
      <c r="M55" s="263"/>
    </row>
    <row r="56" customFormat="false" ht="15" hidden="false" customHeight="false" outlineLevel="0" collapsed="false">
      <c r="A56" s="266"/>
      <c r="B56" s="161"/>
      <c r="C56" s="161"/>
      <c r="D56" s="161"/>
      <c r="E56" s="161"/>
      <c r="F56" s="161"/>
      <c r="G56" s="161"/>
      <c r="H56" s="161"/>
      <c r="I56" s="161"/>
      <c r="J56" s="161"/>
      <c r="K56" s="161"/>
      <c r="L56" s="161"/>
      <c r="M56" s="267"/>
    </row>
    <row r="57" customFormat="false" ht="15" hidden="false" customHeight="false" outlineLevel="0" collapsed="false">
      <c r="A57" s="4"/>
      <c r="B57" s="4"/>
      <c r="C57" s="4"/>
      <c r="D57" s="4"/>
      <c r="E57" s="4"/>
      <c r="F57" s="4"/>
      <c r="G57" s="4"/>
      <c r="H57" s="4"/>
      <c r="I57" s="4"/>
      <c r="J57" s="4"/>
      <c r="K57" s="48"/>
      <c r="L57" s="4"/>
      <c r="M57" s="4"/>
    </row>
    <row r="58" s="537" customFormat="true" ht="15" hidden="false" customHeight="false" outlineLevel="0" collapsed="false">
      <c r="A58" s="131" t="s">
        <v>349</v>
      </c>
      <c r="B58" s="132"/>
      <c r="C58" s="132"/>
      <c r="D58" s="132"/>
      <c r="E58" s="132"/>
      <c r="F58" s="132"/>
      <c r="G58" s="132"/>
      <c r="H58" s="132"/>
      <c r="I58" s="132"/>
      <c r="J58" s="132"/>
      <c r="K58" s="132"/>
      <c r="L58" s="132"/>
      <c r="M58" s="133"/>
      <c r="N58" s="516"/>
    </row>
    <row r="59" customFormat="false" ht="15" hidden="false" customHeight="false" outlineLevel="0" collapsed="false">
      <c r="A59" s="261"/>
      <c r="B59" s="158"/>
      <c r="C59" s="158"/>
      <c r="D59" s="158"/>
      <c r="E59" s="158"/>
      <c r="F59" s="158"/>
      <c r="G59" s="158"/>
      <c r="H59" s="158"/>
      <c r="I59" s="158"/>
      <c r="J59" s="158"/>
      <c r="K59" s="158"/>
      <c r="L59" s="158"/>
      <c r="M59" s="167"/>
    </row>
    <row r="60" customFormat="false" ht="15" hidden="false" customHeight="false" outlineLevel="0" collapsed="false">
      <c r="A60" s="262"/>
      <c r="B60" s="73"/>
      <c r="C60" s="73"/>
      <c r="D60" s="73"/>
      <c r="E60" s="73"/>
      <c r="F60" s="73"/>
      <c r="G60" s="73"/>
      <c r="H60" s="73"/>
      <c r="I60" s="73"/>
      <c r="J60" s="73"/>
      <c r="K60" s="73"/>
      <c r="L60" s="73"/>
      <c r="M60" s="263"/>
    </row>
    <row r="61" customFormat="false" ht="15" hidden="false" customHeight="false" outlineLevel="0" collapsed="false">
      <c r="A61" s="262"/>
      <c r="B61" s="73"/>
      <c r="C61" s="73"/>
      <c r="D61" s="73"/>
      <c r="E61" s="73"/>
      <c r="F61" s="73"/>
      <c r="G61" s="73"/>
      <c r="H61" s="73"/>
      <c r="I61" s="73"/>
      <c r="J61" s="73"/>
      <c r="K61" s="73"/>
      <c r="L61" s="73"/>
      <c r="M61" s="263"/>
    </row>
    <row r="62" customFormat="false" ht="15" hidden="false" customHeight="false" outlineLevel="0" collapsed="false">
      <c r="A62" s="262"/>
      <c r="B62" s="73"/>
      <c r="C62" s="73"/>
      <c r="D62" s="73"/>
      <c r="E62" s="73"/>
      <c r="F62" s="73"/>
      <c r="G62" s="73"/>
      <c r="H62" s="73"/>
      <c r="I62" s="73"/>
      <c r="J62" s="73"/>
      <c r="K62" s="73"/>
      <c r="L62" s="73"/>
      <c r="M62" s="263"/>
    </row>
    <row r="63" customFormat="false" ht="12.75" hidden="false" customHeight="false" outlineLevel="0" collapsed="false">
      <c r="A63" s="484"/>
      <c r="B63" s="485"/>
      <c r="C63" s="485"/>
      <c r="D63" s="485"/>
      <c r="E63" s="485"/>
      <c r="F63" s="485"/>
      <c r="G63" s="485"/>
      <c r="H63" s="485"/>
      <c r="I63" s="485"/>
      <c r="J63" s="485"/>
      <c r="K63" s="485"/>
      <c r="L63" s="485"/>
      <c r="M63" s="486"/>
    </row>
    <row r="64" customFormat="false" ht="12.75" hidden="false" customHeight="false" outlineLevel="0" collapsed="false"/>
    <row r="65" customFormat="false" ht="12.75" hidden="false" customHeight="false" outlineLevel="0" collapsed="false"/>
    <row r="66" customFormat="false" ht="12.75" hidden="false" customHeight="false" outlineLevel="0" collapsed="false"/>
    <row r="67" customFormat="false" ht="12.7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1.xml><?xml version="1.0" encoding="utf-8"?>
<worksheet xmlns="http://schemas.openxmlformats.org/spreadsheetml/2006/main" xmlns:r="http://schemas.openxmlformats.org/officeDocument/2006/relationships">
  <sheetPr filterMode="false">
    <tabColor rgb="FF00FF00"/>
    <pageSetUpPr fitToPage="true"/>
  </sheetPr>
  <dimension ref="A1:L85"/>
  <sheetViews>
    <sheetView showFormulas="false" showGridLines="false" showRowColHeaders="true" showZeros="true" rightToLeft="false" tabSelected="false" showOutlineSymbols="true" defaultGridColor="true" view="normal" topLeftCell="A67" colorId="64" zoomScale="80" zoomScaleNormal="80" zoomScalePageLayoutView="100" workbookViewId="0">
      <selection pane="topLeft" activeCell="K38" activeCellId="0" sqref="K38"/>
    </sheetView>
  </sheetViews>
  <sheetFormatPr defaultRowHeight="15" zeroHeight="true" outlineLevelRow="0" outlineLevelCol="0"/>
  <cols>
    <col collapsed="false" customWidth="true" hidden="false" outlineLevel="0" max="11" min="1" style="4" width="14.7"/>
    <col collapsed="false" customWidth="true" hidden="false" outlineLevel="0" max="12" min="12" style="22" width="1.85"/>
    <col collapsed="false" customWidth="true" hidden="true" outlineLevel="0" max="28" min="13" style="112" width="9.14"/>
    <col collapsed="false" customWidth="true" hidden="true" outlineLevel="0" max="1025" min="29" style="4" width="9.14"/>
  </cols>
  <sheetData>
    <row r="1" customFormat="false" ht="28.5" hidden="false" customHeight="false" outlineLevel="0" collapsed="false">
      <c r="A1" s="113" t="str">
        <f aca="false">'5.0 Economy'!A1</f>
        <v>Market Analysis </v>
      </c>
      <c r="B1" s="114"/>
      <c r="C1" s="114"/>
      <c r="D1" s="114"/>
      <c r="E1" s="114"/>
      <c r="F1" s="114"/>
      <c r="G1" s="114"/>
      <c r="H1" s="114"/>
      <c r="I1" s="114"/>
      <c r="J1" s="114"/>
      <c r="K1" s="115" t="s">
        <v>350</v>
      </c>
    </row>
    <row r="2" customFormat="false" ht="15" hidden="false" customHeight="false" outlineLevel="0" collapsed="false">
      <c r="A2" s="52"/>
      <c r="B2" s="116"/>
      <c r="C2" s="117"/>
      <c r="D2" s="86"/>
      <c r="E2" s="118"/>
      <c r="F2" s="48"/>
      <c r="G2" s="48"/>
      <c r="H2" s="119"/>
      <c r="I2" s="86"/>
      <c r="J2" s="86"/>
      <c r="K2" s="120"/>
    </row>
    <row r="3" customFormat="false" ht="15" hidden="false" customHeight="false" outlineLevel="0" collapsed="false">
      <c r="A3" s="52" t="s">
        <v>103</v>
      </c>
      <c r="B3" s="116"/>
      <c r="C3" s="67" t="str">
        <f aca="false">'Reference sheet'!C12</f>
        <v>TEST</v>
      </c>
      <c r="D3" s="86"/>
      <c r="E3" s="118"/>
      <c r="F3" s="48"/>
      <c r="G3" s="121" t="s">
        <v>49</v>
      </c>
      <c r="H3" s="31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c r="A5" s="547"/>
      <c r="B5" s="48"/>
      <c r="C5" s="48"/>
      <c r="D5" s="48"/>
      <c r="E5" s="48"/>
      <c r="F5" s="48"/>
      <c r="G5" s="48"/>
      <c r="H5" s="48"/>
      <c r="I5" s="48"/>
      <c r="J5" s="48"/>
      <c r="K5" s="54"/>
      <c r="L5" s="16"/>
    </row>
    <row r="6" customFormat="false" ht="15" hidden="false" customHeight="false" outlineLevel="0" collapsed="false">
      <c r="A6" s="131" t="s">
        <v>351</v>
      </c>
      <c r="B6" s="132"/>
      <c r="C6" s="132"/>
      <c r="D6" s="132"/>
      <c r="E6" s="132"/>
      <c r="F6" s="132"/>
      <c r="G6" s="132"/>
      <c r="H6" s="132"/>
      <c r="I6" s="132"/>
      <c r="J6" s="132"/>
      <c r="K6" s="133"/>
    </row>
    <row r="7" customFormat="false" ht="15" hidden="false" customHeight="false" outlineLevel="0" collapsed="false">
      <c r="A7" s="548"/>
      <c r="B7" s="548"/>
      <c r="C7" s="548"/>
      <c r="D7" s="548"/>
      <c r="E7" s="548"/>
      <c r="F7" s="548"/>
      <c r="G7" s="548"/>
      <c r="H7" s="548"/>
      <c r="I7" s="548"/>
      <c r="J7" s="548"/>
      <c r="K7" s="548"/>
    </row>
    <row r="8" customFormat="false" ht="15" hidden="false" customHeight="false" outlineLevel="0" collapsed="false">
      <c r="A8" s="548"/>
      <c r="B8" s="548"/>
      <c r="C8" s="548"/>
      <c r="D8" s="548"/>
      <c r="E8" s="548"/>
      <c r="F8" s="548"/>
      <c r="G8" s="548"/>
      <c r="H8" s="548"/>
      <c r="I8" s="548"/>
      <c r="J8" s="548"/>
      <c r="K8" s="548"/>
    </row>
    <row r="9" customFormat="false" ht="15" hidden="false" customHeight="false" outlineLevel="0" collapsed="false">
      <c r="A9" s="548"/>
      <c r="B9" s="548"/>
      <c r="C9" s="548"/>
      <c r="D9" s="548"/>
      <c r="E9" s="548"/>
      <c r="F9" s="548"/>
      <c r="G9" s="548"/>
      <c r="H9" s="548"/>
      <c r="I9" s="548"/>
      <c r="J9" s="548"/>
      <c r="K9" s="548"/>
    </row>
    <row r="10" customFormat="false" ht="15" hidden="false" customHeight="false" outlineLevel="0" collapsed="false">
      <c r="A10" s="548"/>
      <c r="B10" s="548"/>
      <c r="C10" s="548"/>
      <c r="D10" s="548"/>
      <c r="E10" s="548"/>
      <c r="F10" s="548"/>
      <c r="G10" s="548"/>
      <c r="H10" s="548"/>
      <c r="I10" s="548"/>
      <c r="J10" s="548"/>
      <c r="K10" s="548"/>
    </row>
    <row r="11" customFormat="false" ht="15" hidden="false" customHeight="false" outlineLevel="0" collapsed="false">
      <c r="A11" s="548"/>
      <c r="B11" s="548"/>
      <c r="C11" s="548"/>
      <c r="D11" s="548"/>
      <c r="E11" s="548"/>
      <c r="F11" s="548"/>
      <c r="G11" s="548"/>
      <c r="H11" s="548"/>
      <c r="I11" s="548"/>
      <c r="J11" s="548"/>
      <c r="K11" s="548"/>
    </row>
    <row r="12" customFormat="false" ht="15" hidden="false" customHeight="false" outlineLevel="0" collapsed="false">
      <c r="A12" s="548"/>
      <c r="B12" s="548"/>
      <c r="C12" s="548"/>
      <c r="D12" s="548"/>
      <c r="E12" s="548"/>
      <c r="F12" s="548"/>
      <c r="G12" s="548"/>
      <c r="H12" s="548"/>
      <c r="I12" s="548"/>
      <c r="J12" s="548"/>
      <c r="K12" s="548"/>
    </row>
    <row r="13" customFormat="false" ht="15" hidden="false" customHeight="false" outlineLevel="0" collapsed="false">
      <c r="A13" s="548"/>
      <c r="B13" s="548"/>
      <c r="C13" s="548"/>
      <c r="D13" s="548"/>
      <c r="E13" s="548"/>
      <c r="F13" s="548"/>
      <c r="G13" s="548"/>
      <c r="H13" s="548"/>
      <c r="I13" s="548"/>
      <c r="J13" s="548"/>
      <c r="K13" s="548"/>
    </row>
    <row r="14" customFormat="false" ht="15" hidden="false" customHeight="false" outlineLevel="0" collapsed="false">
      <c r="A14" s="548"/>
      <c r="B14" s="548"/>
      <c r="C14" s="548"/>
      <c r="D14" s="548"/>
      <c r="E14" s="548"/>
      <c r="F14" s="548"/>
      <c r="G14" s="548"/>
      <c r="H14" s="548"/>
      <c r="I14" s="548"/>
      <c r="J14" s="548"/>
      <c r="K14" s="548"/>
    </row>
    <row r="15" customFormat="false" ht="15" hidden="false" customHeight="false" outlineLevel="0" collapsed="false">
      <c r="A15" s="548"/>
      <c r="B15" s="548"/>
      <c r="C15" s="548"/>
      <c r="D15" s="548"/>
      <c r="E15" s="548"/>
      <c r="F15" s="548"/>
      <c r="G15" s="548"/>
      <c r="H15" s="548"/>
      <c r="I15" s="548"/>
      <c r="J15" s="548"/>
      <c r="K15" s="548"/>
    </row>
    <row r="16" customFormat="false" ht="15" hidden="false" customHeight="false" outlineLevel="0" collapsed="false">
      <c r="A16" s="548"/>
      <c r="B16" s="548"/>
      <c r="C16" s="548"/>
      <c r="D16" s="548"/>
      <c r="E16" s="548"/>
      <c r="F16" s="548"/>
      <c r="G16" s="548"/>
      <c r="H16" s="548"/>
      <c r="I16" s="548"/>
      <c r="J16" s="548"/>
      <c r="K16" s="548"/>
    </row>
    <row r="17" customFormat="false" ht="15" hidden="false" customHeight="false" outlineLevel="0" collapsed="false">
      <c r="A17" s="548"/>
      <c r="B17" s="548"/>
      <c r="C17" s="548"/>
      <c r="D17" s="548"/>
      <c r="E17" s="548"/>
      <c r="F17" s="548"/>
      <c r="G17" s="548"/>
      <c r="H17" s="548"/>
      <c r="I17" s="548"/>
      <c r="J17" s="548"/>
      <c r="K17" s="548"/>
    </row>
    <row r="18" customFormat="false" ht="15" hidden="false" customHeight="false" outlineLevel="0" collapsed="false">
      <c r="A18" s="548"/>
      <c r="B18" s="548"/>
      <c r="C18" s="548"/>
      <c r="D18" s="548"/>
      <c r="E18" s="548"/>
      <c r="F18" s="548"/>
      <c r="G18" s="548"/>
      <c r="H18" s="548"/>
      <c r="I18" s="548"/>
      <c r="J18" s="548"/>
      <c r="K18" s="548"/>
    </row>
    <row r="19" customFormat="false" ht="15" hidden="false" customHeight="false" outlineLevel="0" collapsed="false">
      <c r="A19" s="548"/>
      <c r="B19" s="548"/>
      <c r="C19" s="548"/>
      <c r="D19" s="548"/>
      <c r="E19" s="548"/>
      <c r="F19" s="548"/>
      <c r="G19" s="548"/>
      <c r="H19" s="548"/>
      <c r="I19" s="548"/>
      <c r="J19" s="548"/>
      <c r="K19" s="548"/>
    </row>
    <row r="20" customFormat="false" ht="15" hidden="false" customHeight="false" outlineLevel="0" collapsed="false">
      <c r="A20" s="548"/>
      <c r="B20" s="548"/>
      <c r="C20" s="548"/>
      <c r="D20" s="548"/>
      <c r="E20" s="548"/>
      <c r="F20" s="548"/>
      <c r="G20" s="548"/>
      <c r="H20" s="548"/>
      <c r="I20" s="548"/>
      <c r="J20" s="548"/>
      <c r="K20" s="548"/>
    </row>
    <row r="21" customFormat="false" ht="15" hidden="false" customHeight="false" outlineLevel="0" collapsed="false">
      <c r="A21" s="548"/>
      <c r="B21" s="548"/>
      <c r="C21" s="548"/>
      <c r="D21" s="548"/>
      <c r="E21" s="548"/>
      <c r="F21" s="548"/>
      <c r="G21" s="548"/>
      <c r="H21" s="548"/>
      <c r="I21" s="548"/>
      <c r="J21" s="548"/>
      <c r="K21" s="548"/>
    </row>
    <row r="22" customFormat="false" ht="15" hidden="false" customHeight="false" outlineLevel="0" collapsed="false">
      <c r="A22" s="548"/>
      <c r="B22" s="548"/>
      <c r="C22" s="548"/>
      <c r="D22" s="548"/>
      <c r="E22" s="548"/>
      <c r="F22" s="548"/>
      <c r="G22" s="548"/>
      <c r="H22" s="548"/>
      <c r="I22" s="548"/>
      <c r="J22" s="548"/>
      <c r="K22" s="548"/>
    </row>
    <row r="23" customFormat="false" ht="15" hidden="false" customHeight="false" outlineLevel="0" collapsed="false">
      <c r="A23" s="548"/>
      <c r="B23" s="548"/>
      <c r="C23" s="548"/>
      <c r="D23" s="548"/>
      <c r="E23" s="548"/>
      <c r="F23" s="548"/>
      <c r="G23" s="548"/>
      <c r="H23" s="548"/>
      <c r="I23" s="548"/>
      <c r="J23" s="548"/>
      <c r="K23" s="548"/>
    </row>
    <row r="24" customFormat="false" ht="15" hidden="false" customHeight="false" outlineLevel="0" collapsed="false">
      <c r="A24" s="548"/>
      <c r="B24" s="548"/>
      <c r="C24" s="548"/>
      <c r="D24" s="548"/>
      <c r="E24" s="548"/>
      <c r="F24" s="548"/>
      <c r="G24" s="548"/>
      <c r="H24" s="548"/>
      <c r="I24" s="548"/>
      <c r="J24" s="548"/>
      <c r="K24" s="548"/>
    </row>
    <row r="25" customFormat="false" ht="15" hidden="false" customHeight="false" outlineLevel="0" collapsed="false">
      <c r="A25" s="548"/>
      <c r="B25" s="548"/>
      <c r="C25" s="548"/>
      <c r="D25" s="548"/>
      <c r="E25" s="548"/>
      <c r="F25" s="548"/>
      <c r="G25" s="548"/>
      <c r="H25" s="548"/>
      <c r="I25" s="548"/>
      <c r="J25" s="548"/>
      <c r="K25" s="548"/>
    </row>
    <row r="26" customFormat="false" ht="15" hidden="false" customHeight="false" outlineLevel="0" collapsed="false">
      <c r="A26" s="548"/>
      <c r="B26" s="548"/>
      <c r="C26" s="548"/>
      <c r="D26" s="548"/>
      <c r="E26" s="548"/>
      <c r="F26" s="548"/>
      <c r="G26" s="548"/>
      <c r="H26" s="548"/>
      <c r="I26" s="548"/>
      <c r="J26" s="548"/>
      <c r="K26" s="548"/>
    </row>
    <row r="27" customFormat="false" ht="15" hidden="false" customHeight="false" outlineLevel="0" collapsed="false">
      <c r="A27" s="548"/>
      <c r="B27" s="548"/>
      <c r="C27" s="548"/>
      <c r="D27" s="548"/>
      <c r="E27" s="548"/>
      <c r="F27" s="548"/>
      <c r="G27" s="548"/>
      <c r="H27" s="548"/>
      <c r="I27" s="548"/>
      <c r="J27" s="548"/>
      <c r="K27" s="548"/>
    </row>
    <row r="28" customFormat="false" ht="15" hidden="false" customHeight="false" outlineLevel="0" collapsed="false">
      <c r="A28" s="548"/>
      <c r="B28" s="548"/>
      <c r="C28" s="548"/>
      <c r="D28" s="548"/>
      <c r="E28" s="548"/>
      <c r="F28" s="548"/>
      <c r="G28" s="548"/>
      <c r="H28" s="548"/>
      <c r="I28" s="548"/>
      <c r="J28" s="548"/>
      <c r="K28" s="548"/>
    </row>
    <row r="29" customFormat="false" ht="15" hidden="false" customHeight="false" outlineLevel="0" collapsed="false">
      <c r="A29" s="548"/>
      <c r="B29" s="548"/>
      <c r="C29" s="548"/>
      <c r="D29" s="548"/>
      <c r="E29" s="548"/>
      <c r="F29" s="548"/>
      <c r="G29" s="548"/>
      <c r="H29" s="548"/>
      <c r="I29" s="548"/>
      <c r="J29" s="548"/>
      <c r="K29" s="548"/>
    </row>
    <row r="30" customFormat="false" ht="15" hidden="false" customHeight="false" outlineLevel="0" collapsed="false">
      <c r="A30" s="549"/>
      <c r="B30" s="550"/>
      <c r="C30" s="550"/>
      <c r="D30" s="550"/>
      <c r="E30" s="550"/>
      <c r="F30" s="550"/>
      <c r="G30" s="550"/>
      <c r="H30" s="550"/>
      <c r="I30" s="550"/>
      <c r="J30" s="550"/>
      <c r="K30" s="551"/>
      <c r="L30" s="16"/>
    </row>
    <row r="31" customFormat="false" ht="18" hidden="false" customHeight="false" outlineLevel="0" collapsed="false">
      <c r="A31" s="552" t="s">
        <v>352</v>
      </c>
      <c r="B31" s="553"/>
      <c r="C31" s="553"/>
      <c r="D31" s="553"/>
      <c r="E31" s="553"/>
      <c r="F31" s="554"/>
      <c r="G31" s="553"/>
      <c r="H31" s="553"/>
      <c r="I31" s="554"/>
      <c r="J31" s="554"/>
      <c r="K31" s="555"/>
    </row>
    <row r="32" customFormat="false" ht="15" hidden="false" customHeight="false" outlineLevel="0" collapsed="false">
      <c r="A32" s="556" t="s">
        <v>51</v>
      </c>
      <c r="B32" s="556"/>
      <c r="C32" s="410" t="n">
        <f aca="false">'5.1.2 NT market-Dealer area'!E7</f>
        <v>2016</v>
      </c>
      <c r="D32" s="410"/>
      <c r="E32" s="410"/>
      <c r="F32" s="410" t="n">
        <f aca="false">'5.1.2 NT market-Dealer area'!F7</f>
        <v>2017</v>
      </c>
      <c r="G32" s="410"/>
      <c r="H32" s="410"/>
      <c r="I32" s="557" t="n">
        <f aca="false">'5.1.2 NT market-Dealer area'!G7</f>
        <v>2018</v>
      </c>
      <c r="J32" s="557"/>
      <c r="K32" s="557"/>
    </row>
    <row r="33" customFormat="false" ht="15" hidden="false" customHeight="false" outlineLevel="0" collapsed="false">
      <c r="A33" s="82" t="s">
        <v>161</v>
      </c>
      <c r="B33" s="107"/>
      <c r="C33" s="558" t="s">
        <v>353</v>
      </c>
      <c r="D33" s="558" t="s">
        <v>354</v>
      </c>
      <c r="E33" s="558" t="s">
        <v>293</v>
      </c>
      <c r="F33" s="558" t="s">
        <v>353</v>
      </c>
      <c r="G33" s="558" t="s">
        <v>354</v>
      </c>
      <c r="H33" s="558" t="s">
        <v>293</v>
      </c>
      <c r="I33" s="558" t="s">
        <v>353</v>
      </c>
      <c r="J33" s="558" t="s">
        <v>354</v>
      </c>
      <c r="K33" s="558" t="s">
        <v>293</v>
      </c>
    </row>
    <row r="34" customFormat="false" ht="15" hidden="false" customHeight="false" outlineLevel="0" collapsed="false">
      <c r="A34" s="52" t="s">
        <v>174</v>
      </c>
      <c r="B34" s="48"/>
      <c r="C34" s="559" t="n">
        <v>0</v>
      </c>
      <c r="D34" s="559" t="n">
        <v>0</v>
      </c>
      <c r="E34" s="559" t="n">
        <v>0</v>
      </c>
      <c r="F34" s="559" t="n">
        <v>0</v>
      </c>
      <c r="G34" s="559" t="n">
        <v>0</v>
      </c>
      <c r="H34" s="559" t="n">
        <v>0</v>
      </c>
      <c r="I34" s="559" t="n">
        <v>0</v>
      </c>
      <c r="J34" s="559" t="n">
        <v>0</v>
      </c>
      <c r="K34" s="559" t="n">
        <v>0</v>
      </c>
    </row>
    <row r="35" customFormat="false" ht="15" hidden="false" customHeight="false" outlineLevel="0" collapsed="false">
      <c r="A35" s="52" t="s">
        <v>355</v>
      </c>
      <c r="B35" s="48"/>
      <c r="C35" s="559" t="n">
        <v>0</v>
      </c>
      <c r="D35" s="559" t="n">
        <v>0</v>
      </c>
      <c r="E35" s="559" t="n">
        <v>0</v>
      </c>
      <c r="F35" s="559" t="n">
        <v>0</v>
      </c>
      <c r="G35" s="559" t="n">
        <v>0</v>
      </c>
      <c r="H35" s="559" t="n">
        <v>0</v>
      </c>
      <c r="I35" s="559" t="n">
        <v>0</v>
      </c>
      <c r="J35" s="559" t="n">
        <v>0</v>
      </c>
      <c r="K35" s="559" t="n">
        <v>0</v>
      </c>
    </row>
    <row r="36" customFormat="false" ht="15" hidden="false" customHeight="false" outlineLevel="0" collapsed="false">
      <c r="A36" s="52" t="s">
        <v>356</v>
      </c>
      <c r="B36" s="48"/>
      <c r="C36" s="559" t="n">
        <v>0</v>
      </c>
      <c r="D36" s="559" t="n">
        <v>0</v>
      </c>
      <c r="E36" s="559" t="n">
        <v>0</v>
      </c>
      <c r="F36" s="559" t="n">
        <v>0</v>
      </c>
      <c r="G36" s="559" t="n">
        <v>0</v>
      </c>
      <c r="H36" s="559" t="n">
        <v>0</v>
      </c>
      <c r="I36" s="559" t="n">
        <v>0</v>
      </c>
      <c r="J36" s="559" t="n">
        <v>0</v>
      </c>
      <c r="K36" s="559" t="n">
        <v>0</v>
      </c>
    </row>
    <row r="37" customFormat="false" ht="15" hidden="false" customHeight="false" outlineLevel="0" collapsed="false">
      <c r="A37" s="52" t="s">
        <v>357</v>
      </c>
      <c r="B37" s="48"/>
      <c r="C37" s="559" t="n">
        <v>0</v>
      </c>
      <c r="D37" s="559" t="n">
        <v>0</v>
      </c>
      <c r="E37" s="559" t="n">
        <v>0</v>
      </c>
      <c r="F37" s="559" t="n">
        <v>0</v>
      </c>
      <c r="G37" s="559" t="n">
        <v>0</v>
      </c>
      <c r="H37" s="559" t="n">
        <v>0</v>
      </c>
      <c r="I37" s="559" t="n">
        <v>0</v>
      </c>
      <c r="J37" s="559" t="n">
        <v>0</v>
      </c>
      <c r="K37" s="559" t="n">
        <v>0</v>
      </c>
    </row>
    <row r="38" customFormat="false" ht="15" hidden="false" customHeight="false" outlineLevel="0" collapsed="false">
      <c r="A38" s="52" t="s">
        <v>358</v>
      </c>
      <c r="B38" s="48"/>
      <c r="C38" s="559" t="n">
        <v>0</v>
      </c>
      <c r="D38" s="559" t="n">
        <v>0</v>
      </c>
      <c r="E38" s="559" t="n">
        <v>0</v>
      </c>
      <c r="F38" s="559" t="n">
        <v>0</v>
      </c>
      <c r="G38" s="559" t="n">
        <v>0</v>
      </c>
      <c r="H38" s="559" t="n">
        <v>0</v>
      </c>
      <c r="I38" s="559" t="n">
        <v>0</v>
      </c>
      <c r="J38" s="559" t="n">
        <v>0</v>
      </c>
      <c r="K38" s="559" t="n">
        <v>0</v>
      </c>
    </row>
    <row r="39" customFormat="false" ht="15" hidden="false" customHeight="false" outlineLevel="0" collapsed="false">
      <c r="A39" s="52" t="s">
        <v>359</v>
      </c>
      <c r="B39" s="48"/>
      <c r="C39" s="559" t="n">
        <v>0</v>
      </c>
      <c r="D39" s="559" t="n">
        <v>0</v>
      </c>
      <c r="E39" s="559" t="n">
        <v>0</v>
      </c>
      <c r="F39" s="559" t="n">
        <v>0</v>
      </c>
      <c r="G39" s="559" t="n">
        <v>0</v>
      </c>
      <c r="H39" s="559" t="n">
        <v>0</v>
      </c>
      <c r="I39" s="559" t="n">
        <v>0</v>
      </c>
      <c r="J39" s="559" t="n">
        <v>0</v>
      </c>
      <c r="K39" s="559" t="n">
        <v>0</v>
      </c>
    </row>
    <row r="40" customFormat="false" ht="15" hidden="false" customHeight="false" outlineLevel="0" collapsed="false">
      <c r="A40" s="52" t="s">
        <v>360</v>
      </c>
      <c r="B40" s="48"/>
      <c r="C40" s="559" t="n">
        <v>0.08</v>
      </c>
      <c r="D40" s="559" t="n">
        <v>0</v>
      </c>
      <c r="E40" s="559" t="n">
        <v>0</v>
      </c>
      <c r="F40" s="559" t="n">
        <v>0</v>
      </c>
      <c r="G40" s="559" t="n">
        <v>0</v>
      </c>
      <c r="H40" s="559" t="n">
        <v>0</v>
      </c>
      <c r="I40" s="559" t="n">
        <v>0</v>
      </c>
      <c r="J40" s="559" t="n">
        <v>0</v>
      </c>
      <c r="K40" s="559" t="n">
        <v>0</v>
      </c>
    </row>
    <row r="41" customFormat="false" ht="15" hidden="false" customHeight="false" outlineLevel="0" collapsed="false">
      <c r="A41" s="82" t="s">
        <v>361</v>
      </c>
      <c r="B41" s="107"/>
      <c r="C41" s="559" t="n">
        <v>0</v>
      </c>
      <c r="D41" s="559" t="n">
        <v>0</v>
      </c>
      <c r="E41" s="559" t="n">
        <v>0</v>
      </c>
      <c r="F41" s="559" t="n">
        <v>0</v>
      </c>
      <c r="G41" s="559" t="n">
        <v>0</v>
      </c>
      <c r="H41" s="559" t="n">
        <v>0</v>
      </c>
      <c r="I41" s="559" t="n">
        <v>0</v>
      </c>
      <c r="J41" s="559" t="n">
        <v>0</v>
      </c>
      <c r="K41" s="559" t="n">
        <v>0</v>
      </c>
    </row>
    <row r="42" customFormat="false" ht="15" hidden="false" customHeight="false" outlineLevel="0" collapsed="false">
      <c r="A42" s="560" t="s">
        <v>293</v>
      </c>
      <c r="B42" s="107"/>
      <c r="C42" s="561" t="str">
        <f aca="false">IF(SUM(C34:C41)&lt;&gt;100%,"not equal 100%",SUM(C34:C41))</f>
        <v>not equal 100%</v>
      </c>
      <c r="D42" s="561" t="str">
        <f aca="false">IF(SUM(D34:D41)&lt;&gt;100%,"not equal 100%",SUM(D34:D41))</f>
        <v>not equal 100%</v>
      </c>
      <c r="E42" s="561" t="str">
        <f aca="false">IF(SUM(E34:E41)&lt;&gt;100%,"not equal 100%",SUM(E34:E41))</f>
        <v>not equal 100%</v>
      </c>
      <c r="F42" s="561" t="str">
        <f aca="false">IF(SUM(F34:F41)&lt;&gt;100%,"not equal 100%",SUM(F34:F41))</f>
        <v>not equal 100%</v>
      </c>
      <c r="G42" s="561" t="str">
        <f aca="false">IF(SUM(G34:G41)&lt;&gt;100%,"not equal 100%",SUM(G34:G41))</f>
        <v>not equal 100%</v>
      </c>
      <c r="H42" s="561" t="str">
        <f aca="false">IF(SUM(H34:H41)&lt;&gt;100%,"not equal 100%",SUM(H34:H41))</f>
        <v>not equal 100%</v>
      </c>
      <c r="I42" s="561" t="str">
        <f aca="false">IF(SUM(I34:I41)&lt;&gt;100%,"not equal 100%",SUM(I34:I41))</f>
        <v>not equal 100%</v>
      </c>
      <c r="J42" s="561" t="str">
        <f aca="false">IF(SUM(J34:J41)&lt;&gt;100%,"not equal 100%",SUM(J34:J41))</f>
        <v>not equal 100%</v>
      </c>
      <c r="K42" s="561" t="str">
        <f aca="false">IF(SUM(K34:K41)&lt;&gt;100%,"not equal 100%",SUM(K34:K41))</f>
        <v>not equal 100%</v>
      </c>
    </row>
    <row r="43" customFormat="false" ht="15" hidden="false" customHeight="false" outlineLevel="0" collapsed="false">
      <c r="A43" s="52"/>
      <c r="B43" s="48"/>
      <c r="C43" s="48"/>
      <c r="D43" s="48"/>
      <c r="E43" s="48"/>
      <c r="F43" s="48"/>
      <c r="G43" s="48"/>
      <c r="H43" s="48"/>
      <c r="I43" s="48"/>
      <c r="J43" s="48"/>
      <c r="K43" s="54"/>
    </row>
    <row r="44" customFormat="false" ht="15" hidden="false" customHeight="false" outlineLevel="0" collapsed="false">
      <c r="A44" s="52"/>
      <c r="B44" s="48"/>
      <c r="C44" s="48"/>
      <c r="D44" s="48"/>
      <c r="E44" s="48"/>
      <c r="F44" s="48"/>
      <c r="G44" s="48"/>
      <c r="H44" s="48"/>
      <c r="I44" s="48"/>
      <c r="J44" s="48"/>
      <c r="K44" s="54"/>
    </row>
    <row r="45" customFormat="false" ht="15" hidden="false" customHeight="false" outlineLevel="0" collapsed="false">
      <c r="A45" s="52"/>
      <c r="B45" s="48"/>
      <c r="C45" s="48"/>
      <c r="D45" s="48"/>
      <c r="E45" s="48"/>
      <c r="F45" s="48"/>
      <c r="G45" s="48"/>
      <c r="H45" s="48"/>
      <c r="I45" s="48"/>
      <c r="J45" s="48"/>
      <c r="K45" s="54"/>
    </row>
    <row r="46" customFormat="false" ht="15" hidden="false" customHeight="false" outlineLevel="0" collapsed="false">
      <c r="A46" s="562"/>
      <c r="B46" s="563"/>
      <c r="C46" s="564"/>
      <c r="D46" s="48"/>
      <c r="E46" s="564"/>
      <c r="F46" s="563"/>
      <c r="G46" s="564"/>
      <c r="H46" s="48"/>
      <c r="I46" s="564"/>
      <c r="J46" s="48"/>
      <c r="K46" s="565"/>
    </row>
    <row r="47" customFormat="false" ht="15" hidden="false" customHeight="false" outlineLevel="0" collapsed="false">
      <c r="A47" s="562"/>
      <c r="B47" s="563"/>
      <c r="C47" s="564"/>
      <c r="D47" s="48"/>
      <c r="E47" s="564"/>
      <c r="F47" s="563"/>
      <c r="G47" s="564"/>
      <c r="H47" s="48"/>
      <c r="I47" s="564"/>
      <c r="J47" s="48"/>
      <c r="K47" s="565"/>
    </row>
    <row r="48" customFormat="false" ht="15" hidden="false" customHeight="false" outlineLevel="0" collapsed="false">
      <c r="A48" s="562"/>
      <c r="B48" s="563"/>
      <c r="C48" s="564"/>
      <c r="D48" s="48"/>
      <c r="E48" s="564"/>
      <c r="F48" s="563"/>
      <c r="G48" s="564"/>
      <c r="H48" s="48"/>
      <c r="I48" s="564"/>
      <c r="J48" s="48"/>
      <c r="K48" s="565"/>
    </row>
    <row r="49" customFormat="false" ht="15" hidden="false" customHeight="false" outlineLevel="0" collapsed="false">
      <c r="A49" s="562"/>
      <c r="B49" s="563"/>
      <c r="C49" s="564"/>
      <c r="D49" s="48"/>
      <c r="E49" s="564"/>
      <c r="F49" s="563"/>
      <c r="G49" s="564"/>
      <c r="H49" s="48"/>
      <c r="I49" s="564"/>
      <c r="J49" s="48"/>
      <c r="K49" s="565"/>
    </row>
    <row r="50" customFormat="false" ht="15" hidden="false" customHeight="false" outlineLevel="0" collapsed="false">
      <c r="A50" s="562"/>
      <c r="B50" s="563"/>
      <c r="C50" s="564"/>
      <c r="D50" s="48"/>
      <c r="E50" s="564"/>
      <c r="F50" s="563"/>
      <c r="G50" s="564"/>
      <c r="H50" s="48"/>
      <c r="I50" s="564"/>
      <c r="J50" s="48"/>
      <c r="K50" s="565"/>
    </row>
    <row r="51" customFormat="false" ht="15" hidden="false" customHeight="false" outlineLevel="0" collapsed="false">
      <c r="A51" s="562"/>
      <c r="B51" s="563"/>
      <c r="C51" s="564"/>
      <c r="D51" s="48"/>
      <c r="E51" s="564"/>
      <c r="F51" s="563"/>
      <c r="G51" s="564"/>
      <c r="H51" s="48"/>
      <c r="I51" s="564"/>
      <c r="J51" s="48"/>
      <c r="K51" s="565"/>
    </row>
    <row r="52" customFormat="false" ht="15" hidden="false" customHeight="false" outlineLevel="0" collapsed="false">
      <c r="A52" s="562"/>
      <c r="B52" s="563"/>
      <c r="C52" s="564"/>
      <c r="D52" s="48"/>
      <c r="E52" s="564"/>
      <c r="F52" s="563"/>
      <c r="G52" s="564"/>
      <c r="H52" s="48"/>
      <c r="I52" s="564"/>
      <c r="J52" s="48"/>
      <c r="K52" s="565"/>
    </row>
    <row r="53" customFormat="false" ht="15" hidden="false" customHeight="false" outlineLevel="0" collapsed="false">
      <c r="A53" s="562"/>
      <c r="B53" s="563"/>
      <c r="C53" s="564"/>
      <c r="D53" s="48"/>
      <c r="E53" s="564"/>
      <c r="F53" s="563"/>
      <c r="G53" s="564"/>
      <c r="H53" s="48"/>
      <c r="I53" s="564"/>
      <c r="J53" s="48"/>
      <c r="K53" s="565"/>
    </row>
    <row r="54" customFormat="false" ht="15" hidden="false" customHeight="false" outlineLevel="0" collapsed="false">
      <c r="A54" s="562"/>
      <c r="B54" s="563"/>
      <c r="C54" s="564"/>
      <c r="D54" s="48"/>
      <c r="E54" s="564"/>
      <c r="F54" s="563"/>
      <c r="G54" s="564"/>
      <c r="H54" s="48"/>
      <c r="I54" s="564"/>
      <c r="J54" s="48"/>
      <c r="K54" s="565"/>
    </row>
    <row r="55" customFormat="false" ht="15" hidden="false" customHeight="false" outlineLevel="0" collapsed="false">
      <c r="A55" s="562"/>
      <c r="B55" s="563"/>
      <c r="C55" s="564"/>
      <c r="D55" s="48"/>
      <c r="E55" s="564"/>
      <c r="F55" s="563"/>
      <c r="G55" s="564"/>
      <c r="H55" s="48"/>
      <c r="I55" s="564"/>
      <c r="J55" s="48"/>
      <c r="K55" s="565"/>
    </row>
    <row r="56" customFormat="false" ht="15" hidden="false" customHeight="false" outlineLevel="0" collapsed="false">
      <c r="A56" s="562"/>
      <c r="B56" s="563"/>
      <c r="C56" s="564"/>
      <c r="D56" s="48"/>
      <c r="E56" s="564"/>
      <c r="F56" s="563"/>
      <c r="G56" s="564"/>
      <c r="H56" s="48"/>
      <c r="I56" s="564"/>
      <c r="J56" s="48"/>
      <c r="K56" s="565"/>
    </row>
    <row r="57" customFormat="false" ht="15" hidden="false" customHeight="false" outlineLevel="0" collapsed="false">
      <c r="A57" s="562"/>
      <c r="B57" s="563"/>
      <c r="C57" s="564"/>
      <c r="D57" s="48"/>
      <c r="E57" s="564"/>
      <c r="F57" s="563"/>
      <c r="G57" s="564"/>
      <c r="H57" s="48"/>
      <c r="I57" s="564"/>
      <c r="J57" s="48"/>
      <c r="K57" s="565"/>
    </row>
    <row r="58" customFormat="false" ht="15" hidden="false" customHeight="false" outlineLevel="0" collapsed="false">
      <c r="A58" s="562"/>
      <c r="B58" s="563"/>
      <c r="C58" s="564"/>
      <c r="D58" s="48"/>
      <c r="E58" s="564"/>
      <c r="F58" s="563"/>
      <c r="G58" s="564"/>
      <c r="H58" s="48"/>
      <c r="I58" s="564"/>
      <c r="J58" s="48"/>
      <c r="K58" s="565"/>
    </row>
    <row r="59" customFormat="false" ht="15" hidden="false" customHeight="false" outlineLevel="0" collapsed="false">
      <c r="A59" s="562"/>
      <c r="B59" s="563"/>
      <c r="C59" s="564"/>
      <c r="D59" s="48"/>
      <c r="E59" s="564"/>
      <c r="F59" s="563"/>
      <c r="G59" s="564"/>
      <c r="H59" s="48"/>
      <c r="I59" s="564"/>
      <c r="J59" s="48"/>
      <c r="K59" s="565"/>
    </row>
    <row r="60" customFormat="false" ht="15" hidden="false" customHeight="false" outlineLevel="0" collapsed="false">
      <c r="A60" s="562"/>
      <c r="B60" s="563"/>
      <c r="C60" s="564"/>
      <c r="D60" s="48"/>
      <c r="E60" s="564"/>
      <c r="F60" s="563"/>
      <c r="G60" s="564"/>
      <c r="H60" s="48"/>
      <c r="I60" s="564"/>
      <c r="J60" s="48"/>
      <c r="K60" s="565"/>
    </row>
    <row r="61" customFormat="false" ht="15" hidden="false" customHeight="false" outlineLevel="0" collapsed="false">
      <c r="A61" s="562"/>
      <c r="B61" s="563"/>
      <c r="C61" s="564"/>
      <c r="D61" s="48"/>
      <c r="E61" s="564"/>
      <c r="F61" s="563"/>
      <c r="G61" s="564"/>
      <c r="H61" s="48"/>
      <c r="I61" s="564"/>
      <c r="J61" s="48"/>
      <c r="K61" s="565"/>
    </row>
    <row r="62" customFormat="false" ht="15" hidden="false" customHeight="false" outlineLevel="0" collapsed="false">
      <c r="A62" s="562"/>
      <c r="B62" s="563"/>
      <c r="C62" s="564"/>
      <c r="D62" s="48"/>
      <c r="E62" s="564"/>
      <c r="F62" s="563"/>
      <c r="G62" s="564"/>
      <c r="H62" s="48"/>
      <c r="I62" s="564"/>
      <c r="J62" s="48"/>
      <c r="K62" s="565"/>
    </row>
    <row r="63" customFormat="false" ht="15" hidden="false" customHeight="false" outlineLevel="0" collapsed="false">
      <c r="A63" s="562"/>
      <c r="B63" s="563"/>
      <c r="C63" s="564"/>
      <c r="D63" s="48"/>
      <c r="E63" s="564"/>
      <c r="F63" s="563"/>
      <c r="G63" s="564"/>
      <c r="H63" s="48"/>
      <c r="I63" s="564"/>
      <c r="J63" s="48"/>
      <c r="K63" s="565"/>
    </row>
    <row r="64" customFormat="false" ht="15" hidden="false" customHeight="false" outlineLevel="0" collapsed="false">
      <c r="A64" s="562"/>
      <c r="B64" s="563"/>
      <c r="C64" s="564"/>
      <c r="D64" s="48"/>
      <c r="E64" s="564"/>
      <c r="F64" s="563"/>
      <c r="G64" s="564"/>
      <c r="H64" s="48"/>
      <c r="I64" s="564"/>
      <c r="J64" s="48"/>
      <c r="K64" s="565"/>
    </row>
    <row r="65" customFormat="false" ht="15" hidden="false" customHeight="false" outlineLevel="0" collapsed="false">
      <c r="A65" s="562"/>
      <c r="B65" s="563"/>
      <c r="C65" s="564"/>
      <c r="D65" s="48"/>
      <c r="E65" s="564"/>
      <c r="F65" s="563"/>
      <c r="G65" s="564"/>
      <c r="H65" s="48"/>
      <c r="I65" s="564"/>
      <c r="J65" s="48"/>
      <c r="K65" s="565"/>
    </row>
    <row r="66" customFormat="false" ht="15" hidden="false" customHeight="false" outlineLevel="0" collapsed="false">
      <c r="A66" s="562"/>
      <c r="B66" s="563"/>
      <c r="C66" s="564"/>
      <c r="D66" s="48"/>
      <c r="E66" s="564"/>
      <c r="F66" s="563"/>
      <c r="G66" s="564"/>
      <c r="H66" s="48"/>
      <c r="I66" s="564"/>
      <c r="J66" s="48"/>
      <c r="K66" s="565"/>
    </row>
    <row r="67" customFormat="false" ht="15" hidden="false" customHeight="false" outlineLevel="0" collapsed="false">
      <c r="A67" s="562"/>
      <c r="B67" s="563"/>
      <c r="C67" s="564"/>
      <c r="D67" s="48"/>
      <c r="E67" s="564"/>
      <c r="F67" s="563"/>
      <c r="G67" s="564"/>
      <c r="H67" s="48"/>
      <c r="I67" s="564"/>
      <c r="J67" s="48"/>
      <c r="K67" s="565"/>
    </row>
    <row r="68" customFormat="false" ht="15" hidden="false" customHeight="false" outlineLevel="0" collapsed="false">
      <c r="A68" s="562"/>
      <c r="B68" s="563"/>
      <c r="C68" s="564"/>
      <c r="D68" s="48"/>
      <c r="E68" s="564"/>
      <c r="F68" s="563"/>
      <c r="G68" s="564"/>
      <c r="H68" s="48"/>
      <c r="I68" s="564"/>
      <c r="J68" s="48"/>
      <c r="K68" s="565"/>
    </row>
    <row r="69" customFormat="false" ht="15" hidden="false" customHeight="false" outlineLevel="0" collapsed="false">
      <c r="A69" s="562"/>
      <c r="B69" s="563"/>
      <c r="C69" s="564"/>
      <c r="D69" s="48"/>
      <c r="E69" s="564"/>
      <c r="F69" s="563"/>
      <c r="G69" s="564"/>
      <c r="H69" s="48"/>
      <c r="I69" s="564"/>
      <c r="J69" s="48"/>
      <c r="K69" s="565"/>
    </row>
    <row r="70" customFormat="false" ht="15" hidden="false" customHeight="false" outlineLevel="0" collapsed="false">
      <c r="A70" s="562"/>
      <c r="B70" s="563"/>
      <c r="C70" s="564"/>
      <c r="D70" s="48"/>
      <c r="E70" s="564"/>
      <c r="F70" s="563"/>
      <c r="G70" s="564"/>
      <c r="H70" s="48"/>
      <c r="I70" s="564"/>
      <c r="J70" s="48"/>
      <c r="K70" s="565"/>
    </row>
    <row r="71" customFormat="false" ht="15" hidden="false" customHeight="false" outlineLevel="0" collapsed="false">
      <c r="A71" s="562"/>
      <c r="B71" s="563"/>
      <c r="C71" s="564"/>
      <c r="D71" s="48"/>
      <c r="E71" s="564"/>
      <c r="F71" s="563"/>
      <c r="G71" s="564"/>
      <c r="H71" s="48"/>
      <c r="I71" s="564"/>
      <c r="J71" s="48"/>
      <c r="K71" s="565"/>
    </row>
    <row r="72" customFormat="false" ht="15" hidden="false" customHeight="false" outlineLevel="0" collapsed="false">
      <c r="A72" s="562"/>
      <c r="B72" s="563"/>
      <c r="C72" s="564"/>
      <c r="D72" s="48"/>
      <c r="E72" s="564"/>
      <c r="F72" s="563"/>
      <c r="G72" s="564"/>
      <c r="H72" s="48"/>
      <c r="I72" s="564"/>
      <c r="J72" s="48"/>
      <c r="K72" s="565"/>
    </row>
    <row r="73" customFormat="false" ht="15" hidden="false" customHeight="false" outlineLevel="0" collapsed="false">
      <c r="A73" s="562"/>
      <c r="B73" s="563"/>
      <c r="C73" s="564"/>
      <c r="D73" s="48"/>
      <c r="E73" s="564"/>
      <c r="F73" s="563"/>
      <c r="G73" s="564"/>
      <c r="H73" s="48"/>
      <c r="I73" s="564"/>
      <c r="J73" s="48"/>
      <c r="K73" s="565"/>
    </row>
    <row r="74" customFormat="false" ht="15" hidden="false" customHeight="false" outlineLevel="0" collapsed="false">
      <c r="A74" s="562"/>
      <c r="B74" s="563"/>
      <c r="C74" s="564"/>
      <c r="D74" s="48"/>
      <c r="E74" s="564"/>
      <c r="F74" s="563"/>
      <c r="G74" s="564"/>
      <c r="H74" s="48"/>
      <c r="I74" s="564"/>
      <c r="J74" s="48"/>
      <c r="K74" s="565"/>
    </row>
    <row r="75" customFormat="false" ht="15" hidden="false" customHeight="false" outlineLevel="0" collapsed="false">
      <c r="A75" s="562"/>
      <c r="B75" s="563"/>
      <c r="C75" s="564"/>
      <c r="D75" s="48"/>
      <c r="E75" s="564"/>
      <c r="F75" s="563"/>
      <c r="G75" s="564"/>
      <c r="H75" s="48"/>
      <c r="I75" s="564"/>
      <c r="J75" s="48"/>
      <c r="K75" s="565"/>
    </row>
    <row r="76" customFormat="false" ht="15" hidden="false" customHeight="false" outlineLevel="0" collapsed="false">
      <c r="A76" s="562"/>
      <c r="B76" s="563"/>
      <c r="C76" s="564"/>
      <c r="D76" s="48"/>
      <c r="E76" s="564"/>
      <c r="F76" s="563"/>
      <c r="G76" s="564"/>
      <c r="H76" s="48"/>
      <c r="I76" s="564"/>
      <c r="J76" s="48"/>
      <c r="K76" s="565"/>
    </row>
    <row r="77" customFormat="false" ht="15" hidden="false" customHeight="false" outlineLevel="0" collapsed="false">
      <c r="A77" s="562"/>
      <c r="B77" s="563"/>
      <c r="C77" s="564"/>
      <c r="D77" s="48"/>
      <c r="E77" s="564"/>
      <c r="F77" s="563"/>
      <c r="G77" s="564"/>
      <c r="H77" s="48"/>
      <c r="I77" s="564"/>
      <c r="J77" s="48"/>
      <c r="K77" s="565"/>
    </row>
    <row r="78" customFormat="false" ht="15" hidden="false" customHeight="false" outlineLevel="0" collapsed="false">
      <c r="A78" s="131" t="s">
        <v>362</v>
      </c>
      <c r="B78" s="132"/>
      <c r="C78" s="132"/>
      <c r="D78" s="132"/>
      <c r="E78" s="132"/>
      <c r="F78" s="132"/>
      <c r="G78" s="132"/>
      <c r="H78" s="132"/>
      <c r="I78" s="132"/>
      <c r="J78" s="132"/>
      <c r="K78" s="133"/>
    </row>
    <row r="79" customFormat="false" ht="15" hidden="false" customHeight="false" outlineLevel="0" collapsed="false">
      <c r="A79" s="566"/>
      <c r="B79" s="320"/>
      <c r="C79" s="320"/>
      <c r="D79" s="320"/>
      <c r="E79" s="320"/>
      <c r="F79" s="320"/>
      <c r="G79" s="320"/>
      <c r="H79" s="320"/>
      <c r="I79" s="320"/>
      <c r="J79" s="320"/>
      <c r="K79" s="321"/>
    </row>
    <row r="80" customFormat="false" ht="18" hidden="false" customHeight="false" outlineLevel="0" collapsed="false">
      <c r="A80" s="324"/>
      <c r="B80" s="325"/>
      <c r="C80" s="325"/>
      <c r="D80" s="325"/>
      <c r="E80" s="325"/>
      <c r="F80" s="325"/>
      <c r="G80" s="325"/>
      <c r="H80" s="325"/>
      <c r="I80" s="325"/>
      <c r="J80" s="325"/>
      <c r="K80" s="326"/>
    </row>
    <row r="81" customFormat="false" ht="15" hidden="false" customHeight="false" outlineLevel="0" collapsed="false">
      <c r="A81" s="547"/>
      <c r="B81" s="48"/>
      <c r="C81" s="48"/>
      <c r="D81" s="48"/>
      <c r="E81" s="48"/>
      <c r="F81" s="48"/>
      <c r="G81" s="48"/>
      <c r="H81" s="48"/>
      <c r="I81" s="48"/>
      <c r="J81" s="48"/>
      <c r="K81" s="54"/>
      <c r="L81" s="16"/>
    </row>
    <row r="82" customFormat="false" ht="15" hidden="false" customHeight="false" outlineLevel="0" collapsed="false">
      <c r="A82" s="131" t="s">
        <v>363</v>
      </c>
      <c r="B82" s="132"/>
      <c r="C82" s="132"/>
      <c r="D82" s="132"/>
      <c r="E82" s="132"/>
      <c r="F82" s="132"/>
      <c r="G82" s="132"/>
      <c r="H82" s="132"/>
      <c r="I82" s="132"/>
      <c r="J82" s="132"/>
      <c r="K82" s="133"/>
    </row>
    <row r="83" customFormat="false" ht="15" hidden="false" customHeight="false" outlineLevel="0" collapsed="false">
      <c r="A83" s="567"/>
      <c r="B83" s="568"/>
      <c r="C83" s="568"/>
      <c r="D83" s="568"/>
      <c r="E83" s="568"/>
      <c r="F83" s="568"/>
      <c r="G83" s="568"/>
      <c r="H83" s="568"/>
      <c r="I83" s="568"/>
      <c r="J83" s="568"/>
      <c r="K83" s="569"/>
    </row>
    <row r="84" customFormat="false" ht="18" hidden="false" customHeight="false" outlineLevel="0" collapsed="false">
      <c r="A84" s="324"/>
      <c r="B84" s="325"/>
      <c r="C84" s="325"/>
      <c r="D84" s="325"/>
      <c r="E84" s="325"/>
      <c r="F84" s="325"/>
      <c r="G84" s="325"/>
      <c r="H84" s="325"/>
      <c r="I84" s="325"/>
      <c r="J84" s="325"/>
      <c r="K84" s="326"/>
    </row>
    <row r="85" customFormat="false" ht="15" hidden="false" customHeight="false" outlineLevel="0" collapsed="false"/>
    <row r="86" customFormat="false" ht="15" hidden="false" customHeight="false" outlineLevel="0" collapsed="false"/>
  </sheetData>
  <mergeCells count="5">
    <mergeCell ref="A7:K29"/>
    <mergeCell ref="A32:B32"/>
    <mergeCell ref="C32:E32"/>
    <mergeCell ref="F32:H32"/>
    <mergeCell ref="I32:K32"/>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2.xml><?xml version="1.0" encoding="utf-8"?>
<worksheet xmlns="http://schemas.openxmlformats.org/spreadsheetml/2006/main" xmlns:r="http://schemas.openxmlformats.org/officeDocument/2006/relationships">
  <sheetPr filterMode="false">
    <tabColor rgb="FF00FF00"/>
    <pageSetUpPr fitToPage="true"/>
  </sheetPr>
  <dimension ref="A1:AB35"/>
  <sheetViews>
    <sheetView showFormulas="false" showGridLines="false" showRowColHeaders="true" showZeros="true" rightToLeft="false" tabSelected="false" showOutlineSymbols="true" defaultGridColor="true" view="normal" topLeftCell="A17" colorId="64" zoomScale="100" zoomScaleNormal="100" zoomScalePageLayoutView="100" workbookViewId="0">
      <selection pane="topLeft" activeCell="A33" activeCellId="0" sqref="A33"/>
    </sheetView>
  </sheetViews>
  <sheetFormatPr defaultRowHeight="15" zeroHeight="true" outlineLevelRow="0" outlineLevelCol="0"/>
  <cols>
    <col collapsed="false" customWidth="true" hidden="false" outlineLevel="0" max="10" min="1" style="4" width="13.57"/>
    <col collapsed="false" customWidth="true" hidden="false" outlineLevel="0" max="11" min="11" style="4" width="12.71"/>
    <col collapsed="false" customWidth="true" hidden="false" outlineLevel="0" max="12" min="12" style="22" width="1.42"/>
    <col collapsed="false" customWidth="true" hidden="true" outlineLevel="0" max="23" min="13" style="112" width="9.14"/>
    <col collapsed="false" customWidth="true" hidden="true" outlineLevel="0" max="1025" min="24" style="4" width="9.14"/>
  </cols>
  <sheetData>
    <row r="1" customFormat="false" ht="28.5" hidden="false" customHeight="false" outlineLevel="0" collapsed="false">
      <c r="A1" s="113" t="str">
        <f aca="false">'5.0 Economy'!A1</f>
        <v>Market Analysis </v>
      </c>
      <c r="B1" s="114"/>
      <c r="C1" s="114"/>
      <c r="D1" s="114"/>
      <c r="E1" s="114"/>
      <c r="F1" s="114"/>
      <c r="G1" s="114"/>
      <c r="H1" s="114"/>
      <c r="I1" s="114"/>
      <c r="J1" s="114"/>
      <c r="K1" s="115" t="s">
        <v>364</v>
      </c>
    </row>
    <row r="2" customFormat="false" ht="15" hidden="false" customHeight="false" outlineLevel="0" collapsed="false">
      <c r="A2" s="52"/>
      <c r="B2" s="116"/>
      <c r="C2" s="117"/>
      <c r="D2" s="86"/>
      <c r="E2" s="118"/>
      <c r="F2" s="48"/>
      <c r="G2" s="48"/>
      <c r="H2" s="119"/>
      <c r="I2" s="86"/>
      <c r="J2" s="86"/>
      <c r="K2" s="120"/>
    </row>
    <row r="3" customFormat="false" ht="15" hidden="false" customHeight="false" outlineLevel="0" collapsed="false">
      <c r="A3" s="52" t="s">
        <v>103</v>
      </c>
      <c r="B3" s="116"/>
      <c r="C3" s="67" t="str">
        <f aca="false">'Reference sheet'!C12</f>
        <v>TEST</v>
      </c>
      <c r="D3" s="86"/>
      <c r="E3" s="118"/>
      <c r="F3" s="48"/>
      <c r="G3" s="121" t="s">
        <v>49</v>
      </c>
      <c r="H3" s="31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3.15" hidden="true" customHeight="true" outlineLevel="0" collapsed="false"/>
    <row r="6" customFormat="false" ht="13.15" hidden="false" customHeight="true" outlineLevel="0" collapsed="false">
      <c r="A6" s="131" t="s">
        <v>365</v>
      </c>
      <c r="B6" s="132"/>
      <c r="C6" s="132"/>
      <c r="D6" s="132"/>
      <c r="E6" s="132"/>
      <c r="F6" s="132"/>
      <c r="G6" s="132"/>
      <c r="H6" s="132"/>
      <c r="I6" s="132"/>
      <c r="J6" s="132"/>
      <c r="K6" s="133"/>
    </row>
    <row r="7" customFormat="false" ht="13.15" hidden="true" customHeight="true" outlineLevel="0" collapsed="false"/>
    <row r="8" customFormat="false" ht="17.25" hidden="false" customHeight="true" outlineLevel="0" collapsed="false">
      <c r="A8" s="570" t="s">
        <v>366</v>
      </c>
      <c r="B8" s="571"/>
      <c r="C8" s="571"/>
      <c r="D8" s="572" t="s">
        <v>174</v>
      </c>
      <c r="E8" s="573" t="s">
        <v>359</v>
      </c>
      <c r="F8" s="573" t="s">
        <v>367</v>
      </c>
      <c r="G8" s="573" t="s">
        <v>355</v>
      </c>
      <c r="H8" s="573" t="s">
        <v>368</v>
      </c>
      <c r="I8" s="573" t="s">
        <v>357</v>
      </c>
      <c r="J8" s="573" t="s">
        <v>356</v>
      </c>
      <c r="K8" s="574" t="s">
        <v>42</v>
      </c>
    </row>
    <row r="9" s="577" customFormat="true" ht="17.25" hidden="false" customHeight="true" outlineLevel="0" collapsed="false">
      <c r="A9" s="575" t="s">
        <v>369</v>
      </c>
      <c r="B9" s="575"/>
      <c r="C9" s="87"/>
      <c r="D9" s="576"/>
      <c r="E9" s="576"/>
      <c r="F9" s="576"/>
      <c r="G9" s="576"/>
      <c r="H9" s="576"/>
      <c r="I9" s="576"/>
      <c r="J9" s="576"/>
      <c r="K9" s="576"/>
      <c r="L9" s="22"/>
    </row>
    <row r="10" s="577" customFormat="true" ht="17.25" hidden="false" customHeight="true" outlineLevel="0" collapsed="false">
      <c r="A10" s="87" t="s">
        <v>370</v>
      </c>
      <c r="B10" s="87"/>
      <c r="C10" s="87"/>
      <c r="D10" s="576"/>
      <c r="E10" s="576"/>
      <c r="F10" s="576"/>
      <c r="G10" s="576"/>
      <c r="H10" s="576"/>
      <c r="I10" s="576"/>
      <c r="J10" s="576"/>
      <c r="K10" s="576"/>
      <c r="L10" s="22"/>
    </row>
    <row r="11" s="577" customFormat="true" ht="17.25" hidden="false" customHeight="true" outlineLevel="0" collapsed="false">
      <c r="A11" s="87" t="s">
        <v>184</v>
      </c>
      <c r="B11" s="87"/>
      <c r="C11" s="87"/>
      <c r="D11" s="576"/>
      <c r="E11" s="576"/>
      <c r="F11" s="576"/>
      <c r="G11" s="576"/>
      <c r="H11" s="576"/>
      <c r="I11" s="576"/>
      <c r="J11" s="576"/>
      <c r="K11" s="576"/>
      <c r="L11" s="22"/>
    </row>
    <row r="12" s="577" customFormat="true" ht="17.25" hidden="false" customHeight="true" outlineLevel="0" collapsed="false">
      <c r="A12" s="87" t="s">
        <v>371</v>
      </c>
      <c r="B12" s="87"/>
      <c r="C12" s="87"/>
      <c r="D12" s="576"/>
      <c r="E12" s="576"/>
      <c r="F12" s="576"/>
      <c r="G12" s="576"/>
      <c r="H12" s="576"/>
      <c r="I12" s="576"/>
      <c r="J12" s="576"/>
      <c r="K12" s="576"/>
      <c r="L12" s="22"/>
    </row>
    <row r="13" s="577" customFormat="true" ht="17.25" hidden="false" customHeight="true" outlineLevel="0" collapsed="false">
      <c r="A13" s="87" t="s">
        <v>372</v>
      </c>
      <c r="B13" s="87"/>
      <c r="C13" s="87"/>
      <c r="D13" s="576"/>
      <c r="E13" s="576"/>
      <c r="F13" s="576"/>
      <c r="G13" s="576"/>
      <c r="H13" s="576"/>
      <c r="I13" s="576"/>
      <c r="J13" s="576"/>
      <c r="K13" s="576"/>
      <c r="L13" s="22"/>
    </row>
    <row r="14" s="577" customFormat="true" ht="17.25" hidden="false" customHeight="true" outlineLevel="0" collapsed="false">
      <c r="A14" s="87" t="s">
        <v>373</v>
      </c>
      <c r="B14" s="87"/>
      <c r="C14" s="87"/>
      <c r="D14" s="576"/>
      <c r="E14" s="576"/>
      <c r="F14" s="576"/>
      <c r="G14" s="576"/>
      <c r="H14" s="576"/>
      <c r="I14" s="576"/>
      <c r="J14" s="576"/>
      <c r="K14" s="576"/>
      <c r="L14" s="22"/>
    </row>
    <row r="15" s="577" customFormat="true" ht="17.25" hidden="false" customHeight="true" outlineLevel="0" collapsed="false">
      <c r="A15" s="87" t="s">
        <v>374</v>
      </c>
      <c r="B15" s="87"/>
      <c r="C15" s="87"/>
      <c r="D15" s="576"/>
      <c r="E15" s="576"/>
      <c r="F15" s="576"/>
      <c r="G15" s="576"/>
      <c r="H15" s="576"/>
      <c r="I15" s="576"/>
      <c r="J15" s="576"/>
      <c r="K15" s="576"/>
      <c r="L15" s="22"/>
    </row>
    <row r="16" s="577" customFormat="true" ht="17.25" hidden="false" customHeight="true" outlineLevel="0" collapsed="false">
      <c r="A16" s="87" t="s">
        <v>187</v>
      </c>
      <c r="B16" s="87"/>
      <c r="C16" s="87"/>
      <c r="D16" s="576"/>
      <c r="E16" s="576"/>
      <c r="F16" s="576"/>
      <c r="G16" s="576"/>
      <c r="H16" s="576"/>
      <c r="I16" s="576"/>
      <c r="J16" s="576"/>
      <c r="K16" s="576"/>
      <c r="L16" s="22"/>
    </row>
    <row r="17" s="577" customFormat="true" ht="17.25" hidden="false" customHeight="true" outlineLevel="0" collapsed="false">
      <c r="A17" s="87" t="s">
        <v>375</v>
      </c>
      <c r="B17" s="87"/>
      <c r="C17" s="87"/>
      <c r="D17" s="576"/>
      <c r="E17" s="576"/>
      <c r="F17" s="576"/>
      <c r="G17" s="576"/>
      <c r="H17" s="576"/>
      <c r="I17" s="576"/>
      <c r="J17" s="576"/>
      <c r="K17" s="576"/>
      <c r="L17" s="22"/>
    </row>
    <row r="18" s="577" customFormat="true" ht="17.25" hidden="false" customHeight="true" outlineLevel="0" collapsed="false">
      <c r="A18" s="87" t="s">
        <v>376</v>
      </c>
      <c r="B18" s="87"/>
      <c r="C18" s="87"/>
      <c r="D18" s="576"/>
      <c r="E18" s="576"/>
      <c r="F18" s="576"/>
      <c r="G18" s="576"/>
      <c r="H18" s="576"/>
      <c r="I18" s="576"/>
      <c r="J18" s="576"/>
      <c r="K18" s="576"/>
      <c r="L18" s="22"/>
    </row>
    <row r="19" s="582" customFormat="true" ht="17.25" hidden="false" customHeight="true" outlineLevel="0" collapsed="false">
      <c r="A19" s="578"/>
      <c r="B19" s="578"/>
      <c r="C19" s="579" t="s">
        <v>377</v>
      </c>
      <c r="D19" s="580" t="n">
        <f aca="false">SUM(D9:D18)</f>
        <v>0</v>
      </c>
      <c r="E19" s="580" t="n">
        <f aca="false">SUM(E9:E18)</f>
        <v>0</v>
      </c>
      <c r="F19" s="580" t="n">
        <f aca="false">SUM(F9:F18)</f>
        <v>0</v>
      </c>
      <c r="G19" s="580" t="n">
        <f aca="false">SUM(G9:G18)</f>
        <v>0</v>
      </c>
      <c r="H19" s="580" t="n">
        <f aca="false">SUM(H9:H18)</f>
        <v>0</v>
      </c>
      <c r="I19" s="580" t="n">
        <f aca="false">SUM(I9:I18)</f>
        <v>0</v>
      </c>
      <c r="J19" s="580" t="n">
        <f aca="false">SUM(J9:J18)</f>
        <v>0</v>
      </c>
      <c r="K19" s="580" t="n">
        <f aca="false">SUM(K9:K18)</f>
        <v>0</v>
      </c>
      <c r="L19" s="581"/>
      <c r="X19" s="577"/>
      <c r="Y19" s="577"/>
      <c r="Z19" s="577"/>
      <c r="AA19" s="577"/>
      <c r="AB19" s="577"/>
    </row>
    <row r="20" customFormat="false" ht="15" hidden="false" customHeight="false" outlineLevel="0" collapsed="false">
      <c r="A20" s="87" t="n">
        <v>3</v>
      </c>
      <c r="B20" s="87" t="s">
        <v>378</v>
      </c>
      <c r="C20" s="87"/>
      <c r="D20" s="87"/>
      <c r="E20" s="87"/>
      <c r="F20" s="87"/>
      <c r="G20" s="87"/>
      <c r="H20" s="87"/>
      <c r="I20" s="87"/>
      <c r="J20" s="87"/>
      <c r="K20" s="87"/>
    </row>
    <row r="21" customFormat="false" ht="15" hidden="false" customHeight="false" outlineLevel="0" collapsed="false">
      <c r="A21" s="87" t="n">
        <v>2</v>
      </c>
      <c r="B21" s="87" t="s">
        <v>379</v>
      </c>
      <c r="C21" s="87"/>
      <c r="D21" s="87"/>
      <c r="E21" s="87"/>
      <c r="F21" s="87"/>
      <c r="G21" s="87"/>
      <c r="H21" s="87"/>
      <c r="I21" s="87"/>
      <c r="J21" s="87"/>
      <c r="K21" s="87"/>
    </row>
    <row r="22" customFormat="false" ht="15" hidden="false" customHeight="false" outlineLevel="0" collapsed="false">
      <c r="A22" s="87" t="n">
        <v>1</v>
      </c>
      <c r="B22" s="87" t="s">
        <v>380</v>
      </c>
      <c r="C22" s="87"/>
      <c r="D22" s="87"/>
      <c r="E22" s="87"/>
      <c r="F22" s="87"/>
      <c r="G22" s="87"/>
      <c r="H22" s="87"/>
      <c r="I22" s="87"/>
      <c r="J22" s="87"/>
      <c r="K22" s="87"/>
    </row>
    <row r="23" customFormat="false" ht="15" hidden="true" customHeight="false" outlineLevel="0" collapsed="false">
      <c r="A23" s="583"/>
      <c r="B23" s="583"/>
      <c r="C23" s="583"/>
      <c r="D23" s="583"/>
      <c r="E23" s="583"/>
      <c r="F23" s="583"/>
      <c r="G23" s="583"/>
      <c r="H23" s="583"/>
      <c r="I23" s="583"/>
      <c r="J23" s="583"/>
      <c r="K23" s="583"/>
    </row>
    <row r="24" customFormat="false" ht="15" hidden="true" customHeight="false" outlineLevel="0" collapsed="false">
      <c r="A24" s="583"/>
      <c r="B24" s="583"/>
      <c r="C24" s="583"/>
      <c r="D24" s="583"/>
      <c r="E24" s="583"/>
      <c r="F24" s="583"/>
      <c r="G24" s="583"/>
      <c r="H24" s="583"/>
      <c r="I24" s="583"/>
      <c r="J24" s="583"/>
      <c r="K24" s="583"/>
    </row>
    <row r="25" s="584" customFormat="true" ht="15" hidden="false" customHeight="false" outlineLevel="0" collapsed="false">
      <c r="A25" s="131" t="s">
        <v>381</v>
      </c>
      <c r="B25" s="132"/>
      <c r="C25" s="132"/>
      <c r="D25" s="132"/>
      <c r="E25" s="132"/>
      <c r="F25" s="132"/>
      <c r="G25" s="132"/>
      <c r="H25" s="132"/>
      <c r="I25" s="132"/>
      <c r="J25" s="132"/>
      <c r="K25" s="133"/>
      <c r="L25" s="247"/>
    </row>
    <row r="26" customFormat="false" ht="15" hidden="false" customHeight="false" outlineLevel="0" collapsed="false">
      <c r="A26" s="261"/>
      <c r="B26" s="158"/>
      <c r="C26" s="158"/>
      <c r="D26" s="158"/>
      <c r="E26" s="158"/>
      <c r="F26" s="158"/>
      <c r="G26" s="158"/>
      <c r="H26" s="158"/>
      <c r="I26" s="158"/>
      <c r="J26" s="158"/>
      <c r="K26" s="167"/>
    </row>
    <row r="27" customFormat="false" ht="15" hidden="false" customHeight="false" outlineLevel="0" collapsed="false">
      <c r="A27" s="262"/>
      <c r="B27" s="73"/>
      <c r="C27" s="73"/>
      <c r="D27" s="73"/>
      <c r="E27" s="73"/>
      <c r="F27" s="73"/>
      <c r="G27" s="73"/>
      <c r="H27" s="73"/>
      <c r="I27" s="73"/>
      <c r="J27" s="73"/>
      <c r="K27" s="263"/>
    </row>
    <row r="28" customFormat="false" ht="15" hidden="false" customHeight="false" outlineLevel="0" collapsed="false">
      <c r="A28" s="266"/>
      <c r="B28" s="161"/>
      <c r="C28" s="161"/>
      <c r="D28" s="161"/>
      <c r="E28" s="161"/>
      <c r="F28" s="161"/>
      <c r="G28" s="161"/>
      <c r="H28" s="161"/>
      <c r="I28" s="161"/>
      <c r="J28" s="161"/>
      <c r="K28" s="267"/>
      <c r="L28" s="330"/>
    </row>
    <row r="29" customFormat="false" ht="15" hidden="false" customHeight="false" outlineLevel="0" collapsed="false">
      <c r="A29" s="585"/>
      <c r="B29" s="268"/>
      <c r="C29" s="268"/>
      <c r="D29" s="268"/>
      <c r="E29" s="268"/>
      <c r="F29" s="268"/>
      <c r="G29" s="268"/>
      <c r="H29" s="268"/>
      <c r="I29" s="268"/>
      <c r="J29" s="268"/>
      <c r="K29" s="585"/>
    </row>
    <row r="31" customFormat="false" ht="15" hidden="false" customHeight="false" outlineLevel="0" collapsed="false">
      <c r="A31" s="131" t="s">
        <v>382</v>
      </c>
      <c r="B31" s="132"/>
      <c r="C31" s="132"/>
      <c r="D31" s="132"/>
      <c r="E31" s="132"/>
      <c r="F31" s="132"/>
      <c r="G31" s="132"/>
      <c r="H31" s="132"/>
      <c r="I31" s="132"/>
      <c r="J31" s="132"/>
      <c r="K31" s="133"/>
    </row>
    <row r="32" customFormat="false" ht="15" hidden="false" customHeight="false" outlineLevel="0" collapsed="false">
      <c r="A32" s="261"/>
      <c r="B32" s="158"/>
      <c r="C32" s="158"/>
      <c r="D32" s="158"/>
      <c r="E32" s="158"/>
      <c r="F32" s="158"/>
      <c r="G32" s="158"/>
      <c r="H32" s="158"/>
      <c r="I32" s="158"/>
      <c r="J32" s="158"/>
      <c r="K32" s="167"/>
    </row>
    <row r="33" customFormat="false" ht="15" hidden="false" customHeight="false" outlineLevel="0" collapsed="false">
      <c r="A33" s="262"/>
      <c r="B33" s="73"/>
      <c r="C33" s="73"/>
      <c r="D33" s="73"/>
      <c r="E33" s="73"/>
      <c r="F33" s="73"/>
      <c r="G33" s="73"/>
      <c r="H33" s="73"/>
      <c r="I33" s="73"/>
      <c r="J33" s="73"/>
      <c r="K33" s="263"/>
    </row>
    <row r="34" customFormat="false" ht="15" hidden="false" customHeight="false" outlineLevel="0" collapsed="false">
      <c r="A34" s="266"/>
      <c r="B34" s="161"/>
      <c r="C34" s="161"/>
      <c r="D34" s="161"/>
      <c r="E34" s="161"/>
      <c r="F34" s="161"/>
      <c r="G34" s="161"/>
      <c r="H34" s="161"/>
      <c r="I34" s="161"/>
      <c r="J34" s="161"/>
      <c r="K34" s="267"/>
    </row>
    <row r="35" customFormat="false" ht="15" hidden="false" customHeight="false" outlineLevel="0" collapsed="false">
      <c r="A35" s="287"/>
      <c r="B35" s="287"/>
      <c r="C35" s="287"/>
      <c r="D35" s="287"/>
      <c r="E35" s="287"/>
      <c r="F35" s="287"/>
      <c r="G35" s="287"/>
      <c r="H35" s="287"/>
      <c r="I35" s="287"/>
      <c r="J35" s="287"/>
      <c r="K35" s="287"/>
      <c r="L35" s="16"/>
    </row>
  </sheetData>
  <mergeCells count="1">
    <mergeCell ref="A9:B9"/>
  </mergeCells>
  <conditionalFormatting sqref="K8">
    <cfRule type="cellIs" priority="2" operator="equal" aboveAverage="0" equalAverage="0" bottom="0" percent="0" rank="0" text="" dxfId="0">
      <formula>"Other"</formula>
    </cfRule>
  </conditionalFormatting>
  <dataValidations count="1">
    <dataValidation allowBlank="true" operator="between" showDropDown="false" showErrorMessage="true" showInputMessage="true" sqref="D9:K18" type="list">
      <formula1>$A$19:$A$22</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3.xml><?xml version="1.0" encoding="utf-8"?>
<worksheet xmlns="http://schemas.openxmlformats.org/spreadsheetml/2006/main" xmlns:r="http://schemas.openxmlformats.org/officeDocument/2006/relationships">
  <sheetPr filterMode="false">
    <tabColor rgb="FF00FF00"/>
    <pageSetUpPr fitToPage="true"/>
  </sheetPr>
  <dimension ref="A1:L63"/>
  <sheetViews>
    <sheetView showFormulas="false" showGridLines="false" showRowColHeaders="true" showZeros="true" rightToLeft="false" tabSelected="false" showOutlineSymbols="true" defaultGridColor="true" view="normal" topLeftCell="A53" colorId="64" zoomScale="100" zoomScaleNormal="100" zoomScalePageLayoutView="100" workbookViewId="0">
      <selection pane="topLeft" activeCell="C63" activeCellId="0" sqref="C63"/>
    </sheetView>
  </sheetViews>
  <sheetFormatPr defaultRowHeight="15" zeroHeight="true" outlineLevelRow="0" outlineLevelCol="0"/>
  <cols>
    <col collapsed="false" customWidth="true" hidden="false" outlineLevel="0" max="11" min="1" style="4" width="14.28"/>
    <col collapsed="false" customWidth="true" hidden="false" outlineLevel="0" max="12" min="12" style="22" width="1.42"/>
    <col collapsed="false" customWidth="true" hidden="true" outlineLevel="0" max="28" min="13" style="112" width="9.14"/>
    <col collapsed="false" customWidth="true" hidden="true" outlineLevel="0" max="1025" min="29" style="4" width="9.14"/>
  </cols>
  <sheetData>
    <row r="1" customFormat="false" ht="28.5" hidden="false" customHeight="false" outlineLevel="0" collapsed="false">
      <c r="A1" s="113" t="str">
        <f aca="false">'5.4.2 Comp. Analysis Table'!A1</f>
        <v>Market Analysis </v>
      </c>
      <c r="B1" s="114"/>
      <c r="C1" s="114"/>
      <c r="D1" s="114"/>
      <c r="E1" s="114"/>
      <c r="F1" s="114"/>
      <c r="G1" s="114"/>
      <c r="H1" s="114"/>
      <c r="I1" s="114"/>
      <c r="J1" s="114"/>
      <c r="K1" s="115" t="s">
        <v>383</v>
      </c>
    </row>
    <row r="2" customFormat="false" ht="15" hidden="false" customHeight="false" outlineLevel="0" collapsed="false">
      <c r="A2" s="52"/>
      <c r="B2" s="116"/>
      <c r="C2" s="117"/>
      <c r="D2" s="86"/>
      <c r="E2" s="118"/>
      <c r="F2" s="48"/>
      <c r="G2" s="48"/>
      <c r="H2" s="119"/>
      <c r="I2" s="86"/>
      <c r="J2" s="86"/>
      <c r="K2" s="120"/>
    </row>
    <row r="3" customFormat="false" ht="15" hidden="false" customHeight="false" outlineLevel="0" collapsed="false">
      <c r="A3" s="52" t="s">
        <v>103</v>
      </c>
      <c r="B3" s="116"/>
      <c r="C3" s="67" t="n">
        <v>0</v>
      </c>
      <c r="D3" s="86"/>
      <c r="E3" s="118"/>
      <c r="F3" s="48"/>
      <c r="G3" s="121" t="s">
        <v>49</v>
      </c>
      <c r="H3" s="122" t="str">
        <f aca="false">'Reference sheet'!C17</f>
        <v>July</v>
      </c>
      <c r="I3" s="123" t="n">
        <f aca="false">'Reference sheet'!D17</f>
        <v>2018</v>
      </c>
      <c r="J3" s="121" t="s">
        <v>46</v>
      </c>
      <c r="K3" s="124" t="n">
        <v>0</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row r="6" s="429" customFormat="true" ht="15" hidden="false" customHeight="false" outlineLevel="0" collapsed="false">
      <c r="A6" s="586" t="s">
        <v>384</v>
      </c>
      <c r="B6" s="587"/>
      <c r="C6" s="587"/>
      <c r="D6" s="587"/>
      <c r="E6" s="587"/>
      <c r="F6" s="587"/>
      <c r="G6" s="587"/>
      <c r="H6" s="587"/>
      <c r="I6" s="587"/>
      <c r="J6" s="587"/>
      <c r="K6" s="588"/>
      <c r="L6" s="22"/>
    </row>
    <row r="7" s="281" customFormat="true" ht="15" hidden="false" customHeight="false" outlineLevel="0" collapsed="false">
      <c r="A7" s="570"/>
      <c r="B7" s="284"/>
      <c r="C7" s="284"/>
      <c r="D7" s="284"/>
      <c r="E7" s="284"/>
      <c r="F7" s="284"/>
      <c r="G7" s="284"/>
      <c r="H7" s="284"/>
      <c r="I7" s="284"/>
      <c r="J7" s="284"/>
      <c r="K7" s="165"/>
      <c r="L7" s="22"/>
    </row>
    <row r="8" customFormat="false" ht="15" hidden="false" customHeight="false" outlineLevel="0" collapsed="false">
      <c r="A8" s="131" t="s">
        <v>359</v>
      </c>
      <c r="B8" s="132"/>
      <c r="C8" s="132"/>
      <c r="D8" s="132"/>
      <c r="E8" s="132"/>
      <c r="F8" s="132"/>
      <c r="G8" s="132"/>
      <c r="H8" s="132"/>
      <c r="I8" s="132"/>
      <c r="J8" s="132"/>
      <c r="K8" s="133"/>
    </row>
    <row r="9" customFormat="false" ht="15" hidden="false" customHeight="false" outlineLevel="0" collapsed="false">
      <c r="A9" s="589" t="s">
        <v>385</v>
      </c>
      <c r="B9" s="85"/>
      <c r="C9" s="303" t="s">
        <v>386</v>
      </c>
      <c r="D9" s="303"/>
      <c r="E9" s="303"/>
      <c r="F9" s="303"/>
      <c r="G9" s="303"/>
      <c r="H9" s="303"/>
      <c r="I9" s="303"/>
      <c r="J9" s="303"/>
      <c r="K9" s="303"/>
    </row>
    <row r="10" customFormat="false" ht="15" hidden="false" customHeight="false" outlineLevel="0" collapsed="false">
      <c r="A10" s="134"/>
      <c r="B10" s="86"/>
      <c r="C10" s="305" t="s">
        <v>387</v>
      </c>
      <c r="D10" s="305"/>
      <c r="E10" s="305"/>
      <c r="F10" s="305"/>
      <c r="G10" s="305"/>
      <c r="H10" s="305"/>
      <c r="I10" s="305"/>
      <c r="J10" s="305"/>
      <c r="K10" s="305"/>
    </row>
    <row r="11" customFormat="false" ht="15" hidden="false" customHeight="false" outlineLevel="0" collapsed="false">
      <c r="A11" s="134"/>
      <c r="B11" s="86"/>
      <c r="C11" s="305" t="s">
        <v>388</v>
      </c>
      <c r="D11" s="305"/>
      <c r="E11" s="305"/>
      <c r="F11" s="305"/>
      <c r="G11" s="305"/>
      <c r="H11" s="305"/>
      <c r="I11" s="305"/>
      <c r="J11" s="305"/>
      <c r="K11" s="305"/>
    </row>
    <row r="12" customFormat="false" ht="15" hidden="false" customHeight="false" outlineLevel="0" collapsed="false">
      <c r="A12" s="134" t="s">
        <v>389</v>
      </c>
      <c r="B12" s="86"/>
      <c r="C12" s="305" t="s">
        <v>390</v>
      </c>
      <c r="D12" s="305"/>
      <c r="E12" s="305"/>
      <c r="F12" s="305"/>
      <c r="G12" s="305"/>
      <c r="H12" s="305"/>
      <c r="I12" s="305"/>
      <c r="J12" s="305"/>
      <c r="K12" s="305"/>
    </row>
    <row r="13" customFormat="false" ht="15" hidden="false" customHeight="false" outlineLevel="0" collapsed="false">
      <c r="A13" s="134"/>
      <c r="B13" s="86"/>
      <c r="C13" s="305" t="s">
        <v>387</v>
      </c>
      <c r="D13" s="305"/>
      <c r="E13" s="305"/>
      <c r="F13" s="305"/>
      <c r="G13" s="305"/>
      <c r="H13" s="305"/>
      <c r="I13" s="305"/>
      <c r="J13" s="305"/>
      <c r="K13" s="305"/>
    </row>
    <row r="14" customFormat="false" ht="15" hidden="false" customHeight="false" outlineLevel="0" collapsed="false">
      <c r="A14" s="135"/>
      <c r="B14" s="83"/>
      <c r="C14" s="308" t="s">
        <v>391</v>
      </c>
      <c r="D14" s="308"/>
      <c r="E14" s="308"/>
      <c r="F14" s="308"/>
      <c r="G14" s="308"/>
      <c r="H14" s="308"/>
      <c r="I14" s="308"/>
      <c r="J14" s="308"/>
      <c r="K14" s="308"/>
    </row>
    <row r="16" customFormat="false" ht="15" hidden="false" customHeight="false" outlineLevel="0" collapsed="false">
      <c r="A16" s="131" t="s">
        <v>367</v>
      </c>
      <c r="B16" s="132"/>
      <c r="C16" s="132"/>
      <c r="D16" s="132"/>
      <c r="E16" s="132"/>
      <c r="F16" s="132"/>
      <c r="G16" s="132"/>
      <c r="H16" s="132"/>
      <c r="I16" s="132"/>
      <c r="J16" s="132"/>
      <c r="K16" s="133"/>
    </row>
    <row r="17" customFormat="false" ht="15" hidden="false" customHeight="false" outlineLevel="0" collapsed="false">
      <c r="A17" s="589" t="s">
        <v>385</v>
      </c>
      <c r="B17" s="85"/>
      <c r="C17" s="303" t="s">
        <v>386</v>
      </c>
      <c r="D17" s="303"/>
      <c r="E17" s="303"/>
      <c r="F17" s="303"/>
      <c r="G17" s="303"/>
      <c r="H17" s="303"/>
      <c r="I17" s="303"/>
      <c r="J17" s="303"/>
      <c r="K17" s="303"/>
    </row>
    <row r="18" customFormat="false" ht="15" hidden="false" customHeight="false" outlineLevel="0" collapsed="false">
      <c r="A18" s="134"/>
      <c r="B18" s="86"/>
      <c r="C18" s="305" t="s">
        <v>392</v>
      </c>
      <c r="D18" s="305"/>
      <c r="E18" s="305"/>
      <c r="F18" s="305"/>
      <c r="G18" s="305"/>
      <c r="H18" s="305"/>
      <c r="I18" s="305"/>
      <c r="J18" s="305"/>
      <c r="K18" s="305"/>
    </row>
    <row r="19" customFormat="false" ht="15" hidden="false" customHeight="false" outlineLevel="0" collapsed="false">
      <c r="A19" s="134"/>
      <c r="B19" s="86"/>
      <c r="C19" s="305" t="s">
        <v>391</v>
      </c>
      <c r="D19" s="305"/>
      <c r="E19" s="305"/>
      <c r="F19" s="305"/>
      <c r="G19" s="305"/>
      <c r="H19" s="305"/>
      <c r="I19" s="305"/>
      <c r="J19" s="305"/>
      <c r="K19" s="305"/>
    </row>
    <row r="20" customFormat="false" ht="15" hidden="false" customHeight="false" outlineLevel="0" collapsed="false">
      <c r="A20" s="134" t="s">
        <v>389</v>
      </c>
      <c r="B20" s="86"/>
      <c r="C20" s="305" t="s">
        <v>393</v>
      </c>
      <c r="D20" s="305"/>
      <c r="E20" s="305"/>
      <c r="F20" s="305"/>
      <c r="G20" s="305"/>
      <c r="H20" s="305"/>
      <c r="I20" s="305"/>
      <c r="J20" s="305"/>
      <c r="K20" s="305"/>
    </row>
    <row r="21" customFormat="false" ht="15" hidden="false" customHeight="false" outlineLevel="0" collapsed="false">
      <c r="A21" s="134"/>
      <c r="B21" s="86"/>
      <c r="C21" s="305" t="s">
        <v>392</v>
      </c>
      <c r="D21" s="305"/>
      <c r="E21" s="305"/>
      <c r="F21" s="305"/>
      <c r="G21" s="305"/>
      <c r="H21" s="305"/>
      <c r="I21" s="305"/>
      <c r="J21" s="305"/>
      <c r="K21" s="305"/>
    </row>
    <row r="22" customFormat="false" ht="15" hidden="false" customHeight="false" outlineLevel="0" collapsed="false">
      <c r="A22" s="135"/>
      <c r="B22" s="83"/>
      <c r="C22" s="308" t="s">
        <v>394</v>
      </c>
      <c r="D22" s="308"/>
      <c r="E22" s="308"/>
      <c r="F22" s="308"/>
      <c r="G22" s="308"/>
      <c r="H22" s="308"/>
      <c r="I22" s="308"/>
      <c r="J22" s="308"/>
      <c r="K22" s="308"/>
    </row>
    <row r="24" customFormat="false" ht="15" hidden="false" customHeight="false" outlineLevel="0" collapsed="false">
      <c r="A24" s="131" t="s">
        <v>355</v>
      </c>
      <c r="B24" s="132"/>
      <c r="C24" s="132"/>
      <c r="D24" s="132"/>
      <c r="E24" s="132"/>
      <c r="F24" s="132"/>
      <c r="G24" s="132"/>
      <c r="H24" s="132"/>
      <c r="I24" s="132"/>
      <c r="J24" s="132"/>
      <c r="K24" s="133"/>
    </row>
    <row r="25" customFormat="false" ht="15" hidden="false" customHeight="false" outlineLevel="0" collapsed="false">
      <c r="A25" s="589" t="s">
        <v>385</v>
      </c>
      <c r="B25" s="85"/>
      <c r="C25" s="303" t="s">
        <v>393</v>
      </c>
      <c r="D25" s="303"/>
      <c r="E25" s="303"/>
      <c r="F25" s="303"/>
      <c r="G25" s="303"/>
      <c r="H25" s="303"/>
      <c r="I25" s="303"/>
      <c r="J25" s="303"/>
      <c r="K25" s="303"/>
    </row>
    <row r="26" customFormat="false" ht="15" hidden="false" customHeight="false" outlineLevel="0" collapsed="false">
      <c r="A26" s="134"/>
      <c r="B26" s="86"/>
      <c r="C26" s="305" t="s">
        <v>387</v>
      </c>
      <c r="D26" s="305"/>
      <c r="E26" s="305"/>
      <c r="F26" s="305"/>
      <c r="G26" s="305"/>
      <c r="H26" s="305"/>
      <c r="I26" s="305"/>
      <c r="J26" s="305"/>
      <c r="K26" s="305"/>
    </row>
    <row r="27" customFormat="false" ht="15" hidden="false" customHeight="false" outlineLevel="0" collapsed="false">
      <c r="A27" s="134"/>
      <c r="B27" s="86"/>
      <c r="C27" s="305" t="s">
        <v>388</v>
      </c>
      <c r="D27" s="305"/>
      <c r="E27" s="305"/>
      <c r="F27" s="305"/>
      <c r="G27" s="305"/>
      <c r="H27" s="305"/>
      <c r="I27" s="305"/>
      <c r="J27" s="305"/>
      <c r="K27" s="305"/>
    </row>
    <row r="28" customFormat="false" ht="15" hidden="false" customHeight="false" outlineLevel="0" collapsed="false">
      <c r="A28" s="134" t="s">
        <v>389</v>
      </c>
      <c r="B28" s="86"/>
      <c r="C28" s="305" t="s">
        <v>393</v>
      </c>
      <c r="D28" s="305"/>
      <c r="E28" s="305"/>
      <c r="F28" s="305"/>
      <c r="G28" s="305"/>
      <c r="H28" s="305"/>
      <c r="I28" s="305"/>
      <c r="J28" s="305"/>
      <c r="K28" s="305"/>
    </row>
    <row r="29" customFormat="false" ht="15" hidden="false" customHeight="false" outlineLevel="0" collapsed="false">
      <c r="A29" s="134"/>
      <c r="B29" s="86"/>
      <c r="C29" s="305" t="s">
        <v>395</v>
      </c>
      <c r="D29" s="305"/>
      <c r="E29" s="305"/>
      <c r="F29" s="305"/>
      <c r="G29" s="305"/>
      <c r="H29" s="305"/>
      <c r="I29" s="305"/>
      <c r="J29" s="305"/>
      <c r="K29" s="305"/>
    </row>
    <row r="30" customFormat="false" ht="15" hidden="false" customHeight="false" outlineLevel="0" collapsed="false">
      <c r="A30" s="135"/>
      <c r="B30" s="83"/>
      <c r="C30" s="308" t="s">
        <v>394</v>
      </c>
      <c r="D30" s="308"/>
      <c r="E30" s="308"/>
      <c r="F30" s="308"/>
      <c r="G30" s="308"/>
      <c r="H30" s="308"/>
      <c r="I30" s="308"/>
      <c r="J30" s="308"/>
      <c r="K30" s="308"/>
    </row>
    <row r="32" customFormat="false" ht="15" hidden="false" customHeight="false" outlineLevel="0" collapsed="false">
      <c r="A32" s="131" t="s">
        <v>368</v>
      </c>
      <c r="B32" s="132"/>
      <c r="C32" s="132"/>
      <c r="D32" s="132"/>
      <c r="E32" s="132"/>
      <c r="F32" s="132"/>
      <c r="G32" s="132"/>
      <c r="H32" s="132"/>
      <c r="I32" s="132"/>
      <c r="J32" s="132"/>
      <c r="K32" s="133"/>
    </row>
    <row r="33" customFormat="false" ht="15" hidden="false" customHeight="false" outlineLevel="0" collapsed="false">
      <c r="A33" s="589" t="s">
        <v>385</v>
      </c>
      <c r="B33" s="85"/>
      <c r="C33" s="303" t="s">
        <v>393</v>
      </c>
      <c r="D33" s="303"/>
      <c r="E33" s="303"/>
      <c r="F33" s="303"/>
      <c r="G33" s="303"/>
      <c r="H33" s="303"/>
      <c r="I33" s="303"/>
      <c r="J33" s="303"/>
      <c r="K33" s="303"/>
    </row>
    <row r="34" customFormat="false" ht="15" hidden="false" customHeight="false" outlineLevel="0" collapsed="false">
      <c r="A34" s="134"/>
      <c r="B34" s="86"/>
      <c r="C34" s="305" t="s">
        <v>387</v>
      </c>
      <c r="D34" s="305"/>
      <c r="E34" s="305"/>
      <c r="F34" s="305"/>
      <c r="G34" s="305"/>
      <c r="H34" s="305"/>
      <c r="I34" s="305"/>
      <c r="J34" s="305"/>
      <c r="K34" s="305"/>
    </row>
    <row r="35" customFormat="false" ht="15" hidden="false" customHeight="false" outlineLevel="0" collapsed="false">
      <c r="A35" s="134"/>
      <c r="B35" s="86"/>
      <c r="C35" s="305" t="s">
        <v>388</v>
      </c>
      <c r="D35" s="305"/>
      <c r="E35" s="305"/>
      <c r="F35" s="305"/>
      <c r="G35" s="305"/>
      <c r="H35" s="305"/>
      <c r="I35" s="305"/>
      <c r="J35" s="305"/>
      <c r="K35" s="305"/>
    </row>
    <row r="36" customFormat="false" ht="15" hidden="false" customHeight="false" outlineLevel="0" collapsed="false">
      <c r="A36" s="134" t="s">
        <v>389</v>
      </c>
      <c r="B36" s="86"/>
      <c r="C36" s="305" t="s">
        <v>386</v>
      </c>
      <c r="D36" s="305"/>
      <c r="E36" s="305"/>
      <c r="F36" s="305"/>
      <c r="G36" s="305"/>
      <c r="H36" s="305"/>
      <c r="I36" s="305"/>
      <c r="J36" s="305"/>
      <c r="K36" s="305"/>
    </row>
    <row r="37" customFormat="false" ht="15" hidden="false" customHeight="false" outlineLevel="0" collapsed="false">
      <c r="A37" s="134"/>
      <c r="B37" s="86"/>
      <c r="C37" s="305" t="s">
        <v>395</v>
      </c>
      <c r="D37" s="305"/>
      <c r="E37" s="305"/>
      <c r="F37" s="305"/>
      <c r="G37" s="305"/>
      <c r="H37" s="305"/>
      <c r="I37" s="305"/>
      <c r="J37" s="305"/>
      <c r="K37" s="305"/>
    </row>
    <row r="38" customFormat="false" ht="15" hidden="false" customHeight="false" outlineLevel="0" collapsed="false">
      <c r="A38" s="135"/>
      <c r="B38" s="83"/>
      <c r="C38" s="308" t="s">
        <v>394</v>
      </c>
      <c r="D38" s="308"/>
      <c r="E38" s="308"/>
      <c r="F38" s="308"/>
      <c r="G38" s="308"/>
      <c r="H38" s="308"/>
      <c r="I38" s="308"/>
      <c r="J38" s="308"/>
      <c r="K38" s="308"/>
    </row>
    <row r="40" customFormat="false" ht="15" hidden="false" customHeight="false" outlineLevel="0" collapsed="false">
      <c r="A40" s="131" t="s">
        <v>357</v>
      </c>
      <c r="B40" s="132"/>
      <c r="C40" s="132"/>
      <c r="D40" s="132"/>
      <c r="E40" s="132"/>
      <c r="F40" s="132"/>
      <c r="G40" s="132"/>
      <c r="H40" s="132"/>
      <c r="I40" s="132"/>
      <c r="J40" s="132"/>
      <c r="K40" s="133"/>
    </row>
    <row r="41" s="577" customFormat="true" ht="15" hidden="false" customHeight="false" outlineLevel="0" collapsed="false">
      <c r="A41" s="589" t="s">
        <v>385</v>
      </c>
      <c r="B41" s="85"/>
      <c r="C41" s="303" t="s">
        <v>393</v>
      </c>
      <c r="D41" s="303"/>
      <c r="E41" s="303"/>
      <c r="F41" s="303"/>
      <c r="G41" s="303"/>
      <c r="H41" s="303"/>
      <c r="I41" s="303"/>
      <c r="J41" s="303"/>
      <c r="K41" s="303"/>
      <c r="L41" s="22"/>
    </row>
    <row r="42" s="577" customFormat="true" ht="15" hidden="false" customHeight="false" outlineLevel="0" collapsed="false">
      <c r="A42" s="134"/>
      <c r="B42" s="86"/>
      <c r="C42" s="305" t="s">
        <v>392</v>
      </c>
      <c r="D42" s="305"/>
      <c r="E42" s="305"/>
      <c r="F42" s="305"/>
      <c r="G42" s="305"/>
      <c r="H42" s="305"/>
      <c r="I42" s="305"/>
      <c r="J42" s="305"/>
      <c r="K42" s="305"/>
      <c r="L42" s="22"/>
    </row>
    <row r="43" s="577" customFormat="true" ht="15" hidden="false" customHeight="false" outlineLevel="0" collapsed="false">
      <c r="A43" s="134"/>
      <c r="B43" s="86"/>
      <c r="C43" s="305" t="s">
        <v>391</v>
      </c>
      <c r="D43" s="305"/>
      <c r="E43" s="305"/>
      <c r="F43" s="305"/>
      <c r="G43" s="305"/>
      <c r="H43" s="305"/>
      <c r="I43" s="305"/>
      <c r="J43" s="305"/>
      <c r="K43" s="305"/>
      <c r="L43" s="22"/>
    </row>
    <row r="44" s="577" customFormat="true" ht="15" hidden="false" customHeight="false" outlineLevel="0" collapsed="false">
      <c r="A44" s="134" t="s">
        <v>389</v>
      </c>
      <c r="B44" s="86"/>
      <c r="C44" s="305" t="s">
        <v>393</v>
      </c>
      <c r="D44" s="305"/>
      <c r="E44" s="305"/>
      <c r="F44" s="305"/>
      <c r="G44" s="305"/>
      <c r="H44" s="305"/>
      <c r="I44" s="305"/>
      <c r="J44" s="305"/>
      <c r="K44" s="305"/>
      <c r="L44" s="22"/>
    </row>
    <row r="45" s="591" customFormat="true" ht="15" hidden="false" customHeight="false" outlineLevel="0" collapsed="false">
      <c r="A45" s="134"/>
      <c r="B45" s="86"/>
      <c r="C45" s="305" t="s">
        <v>392</v>
      </c>
      <c r="D45" s="305"/>
      <c r="E45" s="305"/>
      <c r="F45" s="305"/>
      <c r="G45" s="305"/>
      <c r="H45" s="305"/>
      <c r="I45" s="305"/>
      <c r="J45" s="305"/>
      <c r="K45" s="305"/>
      <c r="L45" s="590"/>
    </row>
    <row r="46" s="577" customFormat="true" ht="15" hidden="false" customHeight="false" outlineLevel="0" collapsed="false">
      <c r="A46" s="135"/>
      <c r="B46" s="83"/>
      <c r="C46" s="308" t="s">
        <v>388</v>
      </c>
      <c r="D46" s="308"/>
      <c r="E46" s="308"/>
      <c r="F46" s="308"/>
      <c r="G46" s="308"/>
      <c r="H46" s="308"/>
      <c r="I46" s="308"/>
      <c r="J46" s="308"/>
      <c r="K46" s="308"/>
      <c r="L46" s="22"/>
    </row>
    <row r="47" customFormat="false" ht="15" hidden="true" customHeight="false" outlineLevel="0" collapsed="false">
      <c r="C47" s="242"/>
      <c r="D47" s="242"/>
      <c r="E47" s="242"/>
      <c r="F47" s="242"/>
      <c r="G47" s="242"/>
      <c r="H47" s="242"/>
      <c r="I47" s="242"/>
      <c r="J47" s="242"/>
      <c r="K47" s="242"/>
    </row>
    <row r="48" customFormat="false" ht="15" hidden="false" customHeight="false" outlineLevel="0" collapsed="false">
      <c r="A48" s="131" t="s">
        <v>356</v>
      </c>
      <c r="B48" s="132"/>
      <c r="C48" s="132"/>
      <c r="D48" s="132"/>
      <c r="E48" s="132"/>
      <c r="F48" s="132"/>
      <c r="G48" s="132"/>
      <c r="H48" s="132"/>
      <c r="I48" s="132"/>
      <c r="J48" s="132"/>
      <c r="K48" s="133"/>
    </row>
    <row r="49" customFormat="false" ht="15" hidden="false" customHeight="false" outlineLevel="0" collapsed="false">
      <c r="A49" s="589" t="s">
        <v>385</v>
      </c>
      <c r="B49" s="85"/>
      <c r="C49" s="303" t="s">
        <v>386</v>
      </c>
      <c r="D49" s="303"/>
      <c r="E49" s="303"/>
      <c r="F49" s="303"/>
      <c r="G49" s="303"/>
      <c r="H49" s="303"/>
      <c r="I49" s="303"/>
      <c r="J49" s="303"/>
      <c r="K49" s="303"/>
    </row>
    <row r="50" customFormat="false" ht="15" hidden="false" customHeight="false" outlineLevel="0" collapsed="false">
      <c r="A50" s="134"/>
      <c r="B50" s="86"/>
      <c r="C50" s="305" t="s">
        <v>392</v>
      </c>
      <c r="D50" s="305"/>
      <c r="E50" s="305"/>
      <c r="F50" s="305"/>
      <c r="G50" s="305"/>
      <c r="H50" s="305"/>
      <c r="I50" s="305"/>
      <c r="J50" s="305"/>
      <c r="K50" s="305"/>
    </row>
    <row r="51" customFormat="false" ht="15" hidden="false" customHeight="false" outlineLevel="0" collapsed="false">
      <c r="A51" s="134"/>
      <c r="B51" s="86"/>
      <c r="C51" s="305" t="s">
        <v>391</v>
      </c>
      <c r="D51" s="305"/>
      <c r="E51" s="305"/>
      <c r="F51" s="305"/>
      <c r="G51" s="305"/>
      <c r="H51" s="305"/>
      <c r="I51" s="305"/>
      <c r="J51" s="305"/>
      <c r="K51" s="305"/>
    </row>
    <row r="52" customFormat="false" ht="15" hidden="false" customHeight="false" outlineLevel="0" collapsed="false">
      <c r="A52" s="134" t="s">
        <v>389</v>
      </c>
      <c r="B52" s="86"/>
      <c r="C52" s="305" t="s">
        <v>393</v>
      </c>
      <c r="D52" s="305"/>
      <c r="E52" s="305"/>
      <c r="F52" s="305"/>
      <c r="G52" s="305"/>
      <c r="H52" s="305"/>
      <c r="I52" s="305"/>
      <c r="J52" s="305"/>
      <c r="K52" s="305"/>
    </row>
    <row r="53" customFormat="false" ht="15" hidden="false" customHeight="false" outlineLevel="0" collapsed="false">
      <c r="A53" s="134"/>
      <c r="B53" s="86"/>
      <c r="C53" s="305" t="s">
        <v>387</v>
      </c>
      <c r="D53" s="305"/>
      <c r="E53" s="305"/>
      <c r="F53" s="305"/>
      <c r="G53" s="305"/>
      <c r="H53" s="305"/>
      <c r="I53" s="305"/>
      <c r="J53" s="305"/>
      <c r="K53" s="305"/>
    </row>
    <row r="54" customFormat="false" ht="15" hidden="false" customHeight="false" outlineLevel="0" collapsed="false">
      <c r="A54" s="135"/>
      <c r="B54" s="83"/>
      <c r="C54" s="308" t="s">
        <v>391</v>
      </c>
      <c r="D54" s="308"/>
      <c r="E54" s="308"/>
      <c r="F54" s="308"/>
      <c r="G54" s="308"/>
      <c r="H54" s="308"/>
      <c r="I54" s="308"/>
      <c r="J54" s="308"/>
      <c r="K54" s="308"/>
    </row>
    <row r="56" customFormat="false" ht="15" hidden="false" customHeight="false" outlineLevel="0" collapsed="false">
      <c r="A56" s="131" t="s">
        <v>225</v>
      </c>
      <c r="B56" s="132"/>
      <c r="C56" s="132"/>
      <c r="D56" s="132"/>
      <c r="E56" s="132"/>
      <c r="F56" s="132"/>
      <c r="G56" s="132"/>
      <c r="H56" s="132"/>
      <c r="I56" s="132"/>
      <c r="J56" s="132"/>
      <c r="K56" s="133"/>
    </row>
    <row r="57" customFormat="false" ht="15" hidden="false" customHeight="false" outlineLevel="0" collapsed="false">
      <c r="A57" s="589" t="s">
        <v>385</v>
      </c>
      <c r="B57" s="85"/>
      <c r="C57" s="303" t="s">
        <v>393</v>
      </c>
      <c r="D57" s="303"/>
      <c r="E57" s="303"/>
      <c r="F57" s="303"/>
      <c r="G57" s="303"/>
      <c r="H57" s="303"/>
      <c r="I57" s="303"/>
      <c r="J57" s="303"/>
      <c r="K57" s="303"/>
    </row>
    <row r="58" customFormat="false" ht="15" hidden="false" customHeight="false" outlineLevel="0" collapsed="false">
      <c r="A58" s="134"/>
      <c r="B58" s="86"/>
      <c r="C58" s="305" t="s">
        <v>392</v>
      </c>
      <c r="D58" s="305"/>
      <c r="E58" s="305"/>
      <c r="F58" s="305"/>
      <c r="G58" s="305"/>
      <c r="H58" s="305"/>
      <c r="I58" s="305"/>
      <c r="J58" s="305"/>
      <c r="K58" s="305"/>
    </row>
    <row r="59" customFormat="false" ht="15" hidden="false" customHeight="false" outlineLevel="0" collapsed="false">
      <c r="A59" s="134"/>
      <c r="B59" s="86"/>
      <c r="C59" s="305" t="s">
        <v>391</v>
      </c>
      <c r="D59" s="305"/>
      <c r="E59" s="305"/>
      <c r="F59" s="305"/>
      <c r="G59" s="305"/>
      <c r="H59" s="305"/>
      <c r="I59" s="305"/>
      <c r="J59" s="305"/>
      <c r="K59" s="305"/>
    </row>
    <row r="60" customFormat="false" ht="15" hidden="false" customHeight="false" outlineLevel="0" collapsed="false">
      <c r="A60" s="134" t="s">
        <v>389</v>
      </c>
      <c r="B60" s="86"/>
      <c r="C60" s="305" t="s">
        <v>393</v>
      </c>
      <c r="D60" s="305"/>
      <c r="E60" s="305"/>
      <c r="F60" s="305"/>
      <c r="G60" s="305"/>
      <c r="H60" s="305"/>
      <c r="I60" s="305"/>
      <c r="J60" s="305"/>
      <c r="K60" s="305"/>
    </row>
    <row r="61" customFormat="false" ht="15" hidden="false" customHeight="false" outlineLevel="0" collapsed="false">
      <c r="A61" s="134"/>
      <c r="B61" s="86"/>
      <c r="C61" s="305" t="s">
        <v>392</v>
      </c>
      <c r="D61" s="305"/>
      <c r="E61" s="305"/>
      <c r="F61" s="305"/>
      <c r="G61" s="305"/>
      <c r="H61" s="305"/>
      <c r="I61" s="305"/>
      <c r="J61" s="305"/>
      <c r="K61" s="305"/>
    </row>
    <row r="62" customFormat="false" ht="15" hidden="false" customHeight="false" outlineLevel="0" collapsed="false">
      <c r="A62" s="135"/>
      <c r="B62" s="83"/>
      <c r="C62" s="308" t="s">
        <v>391</v>
      </c>
      <c r="D62" s="308"/>
      <c r="E62" s="308"/>
      <c r="F62" s="308"/>
      <c r="G62" s="308"/>
      <c r="H62" s="308"/>
      <c r="I62" s="308"/>
      <c r="J62" s="308"/>
      <c r="K62" s="308"/>
    </row>
    <row r="63" customFormat="false" ht="15" hidden="false" customHeight="false" outlineLevel="0" collapsed="false"/>
  </sheetData>
  <mergeCells count="42">
    <mergeCell ref="C9:K9"/>
    <mergeCell ref="C10:K10"/>
    <mergeCell ref="C11:K11"/>
    <mergeCell ref="C12:K12"/>
    <mergeCell ref="C13:K13"/>
    <mergeCell ref="C14:K14"/>
    <mergeCell ref="C17:K17"/>
    <mergeCell ref="C18:K18"/>
    <mergeCell ref="C19:K19"/>
    <mergeCell ref="C20:K20"/>
    <mergeCell ref="C21:K21"/>
    <mergeCell ref="C22:K22"/>
    <mergeCell ref="C25:K25"/>
    <mergeCell ref="C26:K26"/>
    <mergeCell ref="C27:K27"/>
    <mergeCell ref="C28:K28"/>
    <mergeCell ref="C29:K29"/>
    <mergeCell ref="C30:K30"/>
    <mergeCell ref="C33:K33"/>
    <mergeCell ref="C34:K34"/>
    <mergeCell ref="C35:K35"/>
    <mergeCell ref="C36:K36"/>
    <mergeCell ref="C37:K37"/>
    <mergeCell ref="C38:K38"/>
    <mergeCell ref="C41:K41"/>
    <mergeCell ref="C42:K42"/>
    <mergeCell ref="C43:K43"/>
    <mergeCell ref="C44:K44"/>
    <mergeCell ref="C45:K45"/>
    <mergeCell ref="C46:K46"/>
    <mergeCell ref="C49:K49"/>
    <mergeCell ref="C50:K50"/>
    <mergeCell ref="C51:K51"/>
    <mergeCell ref="C52:K52"/>
    <mergeCell ref="C53:K53"/>
    <mergeCell ref="C54:K54"/>
    <mergeCell ref="C57:K57"/>
    <mergeCell ref="C58:K58"/>
    <mergeCell ref="C59:K59"/>
    <mergeCell ref="C60:K60"/>
    <mergeCell ref="C61:K61"/>
    <mergeCell ref="C62:K62"/>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4.xml><?xml version="1.0" encoding="utf-8"?>
<worksheet xmlns="http://schemas.openxmlformats.org/spreadsheetml/2006/main" xmlns:r="http://schemas.openxmlformats.org/officeDocument/2006/relationships">
  <sheetPr filterMode="false">
    <tabColor rgb="FF00FF00"/>
    <pageSetUpPr fitToPage="true"/>
  </sheetPr>
  <dimension ref="A1:Y89"/>
  <sheetViews>
    <sheetView showFormulas="false" showGridLines="false" showRowColHeaders="true" showZeros="true" rightToLeft="false" tabSelected="false" showOutlineSymbols="true" defaultGridColor="true" view="normal" topLeftCell="A42" colorId="64" zoomScale="80" zoomScaleNormal="80" zoomScalePageLayoutView="100" workbookViewId="0">
      <selection pane="topLeft" activeCell="C75" activeCellId="0" sqref="C75"/>
    </sheetView>
  </sheetViews>
  <sheetFormatPr defaultRowHeight="15" zeroHeight="true" outlineLevelRow="0" outlineLevelCol="0"/>
  <cols>
    <col collapsed="false" customWidth="true" hidden="false" outlineLevel="0" max="13" min="1" style="4" width="12.42"/>
    <col collapsed="false" customWidth="true" hidden="false" outlineLevel="0" max="14" min="14" style="22" width="1.85"/>
    <col collapsed="false" customWidth="true" hidden="true" outlineLevel="0" max="25" min="15" style="112" width="12.42"/>
    <col collapsed="false" customWidth="true" hidden="true" outlineLevel="0" max="1025" min="26" style="4" width="12.42"/>
  </cols>
  <sheetData>
    <row r="1" customFormat="false" ht="28.5" hidden="false" customHeight="false" outlineLevel="0" collapsed="false">
      <c r="A1" s="113" t="str">
        <f aca="false">'5.0 Economy'!A1</f>
        <v>Market Analysis </v>
      </c>
      <c r="B1" s="114"/>
      <c r="C1" s="114"/>
      <c r="D1" s="114"/>
      <c r="E1" s="114"/>
      <c r="F1" s="114"/>
      <c r="G1" s="114"/>
      <c r="H1" s="114"/>
      <c r="I1" s="114"/>
      <c r="J1" s="114"/>
      <c r="K1" s="114"/>
      <c r="L1" s="114"/>
      <c r="M1" s="115" t="s">
        <v>396</v>
      </c>
    </row>
    <row r="2" customFormat="false" ht="15" hidden="false" customHeight="false" outlineLevel="0" collapsed="false">
      <c r="A2" s="592"/>
      <c r="B2" s="116"/>
      <c r="C2" s="593"/>
      <c r="D2" s="593"/>
      <c r="E2" s="593"/>
      <c r="F2" s="122"/>
      <c r="G2" s="122"/>
      <c r="H2" s="593"/>
      <c r="I2" s="593"/>
      <c r="J2" s="594"/>
      <c r="K2" s="593"/>
      <c r="L2" s="593"/>
      <c r="M2" s="595"/>
    </row>
    <row r="3" customFormat="false" ht="15" hidden="false" customHeight="false" outlineLevel="0" collapsed="false">
      <c r="A3" s="592" t="s">
        <v>103</v>
      </c>
      <c r="B3" s="116"/>
      <c r="C3" s="596" t="str">
        <f aca="false">'Reference sheet'!C12</f>
        <v>TEST</v>
      </c>
      <c r="D3" s="596"/>
      <c r="E3" s="593"/>
      <c r="F3" s="122"/>
      <c r="G3" s="122"/>
      <c r="H3" s="597" t="s">
        <v>49</v>
      </c>
      <c r="I3" s="598" t="str">
        <f aca="false">'Reference sheet'!C17</f>
        <v>July</v>
      </c>
      <c r="J3" s="599" t="n">
        <f aca="false">'Reference sheet'!D17</f>
        <v>2018</v>
      </c>
      <c r="K3" s="600" t="s">
        <v>46</v>
      </c>
      <c r="L3" s="601"/>
      <c r="M3" s="602" t="n">
        <f aca="false">'Reference sheet'!C15</f>
        <v>1</v>
      </c>
    </row>
    <row r="4" customFormat="false" ht="15" hidden="false" customHeight="false" outlineLevel="0" collapsed="false">
      <c r="A4" s="603"/>
      <c r="B4" s="604"/>
      <c r="C4" s="605"/>
      <c r="D4" s="605"/>
      <c r="E4" s="605"/>
      <c r="F4" s="605"/>
      <c r="G4" s="605"/>
      <c r="H4" s="605"/>
      <c r="I4" s="604"/>
      <c r="J4" s="605"/>
      <c r="K4" s="605"/>
      <c r="L4" s="605"/>
      <c r="M4" s="606"/>
    </row>
    <row r="5" customFormat="false" ht="13.15" hidden="true" customHeight="true" outlineLevel="0" collapsed="false">
      <c r="A5" s="601"/>
      <c r="B5" s="601"/>
      <c r="C5" s="601"/>
      <c r="D5" s="601"/>
      <c r="E5" s="601"/>
      <c r="F5" s="601"/>
      <c r="G5" s="601"/>
      <c r="H5" s="601"/>
      <c r="I5" s="601"/>
      <c r="J5" s="601"/>
      <c r="K5" s="601"/>
      <c r="L5" s="601"/>
      <c r="M5" s="601"/>
    </row>
    <row r="6" customFormat="false" ht="13.15" hidden="false" customHeight="true" outlineLevel="0" collapsed="false">
      <c r="A6" s="607" t="s">
        <v>397</v>
      </c>
      <c r="B6" s="608"/>
      <c r="C6" s="608"/>
      <c r="D6" s="608"/>
      <c r="E6" s="608"/>
      <c r="F6" s="608"/>
      <c r="G6" s="609"/>
      <c r="H6" s="609"/>
      <c r="I6" s="609"/>
      <c r="J6" s="609"/>
      <c r="K6" s="608"/>
      <c r="L6" s="608"/>
      <c r="M6" s="610"/>
    </row>
    <row r="7" customFormat="false" ht="14.25" hidden="false" customHeight="true" outlineLevel="0" collapsed="false">
      <c r="A7" s="611" t="s">
        <v>398</v>
      </c>
      <c r="B7" s="612"/>
      <c r="C7" s="612"/>
      <c r="D7" s="613" t="s">
        <v>371</v>
      </c>
      <c r="E7" s="613"/>
      <c r="F7" s="613"/>
      <c r="G7" s="614" t="s">
        <v>399</v>
      </c>
      <c r="H7" s="614"/>
      <c r="I7" s="615" t="s">
        <v>400</v>
      </c>
      <c r="J7" s="615"/>
      <c r="K7" s="616" t="s">
        <v>401</v>
      </c>
      <c r="L7" s="616"/>
      <c r="M7" s="617" t="s">
        <v>174</v>
      </c>
    </row>
    <row r="8" s="87" customFormat="true" ht="15" hidden="false" customHeight="false" outlineLevel="0" collapsed="false">
      <c r="A8" s="618" t="s">
        <v>386</v>
      </c>
      <c r="B8" s="618"/>
      <c r="C8" s="618"/>
      <c r="D8" s="618"/>
      <c r="E8" s="618"/>
      <c r="F8" s="618"/>
      <c r="G8" s="619" t="s">
        <v>402</v>
      </c>
      <c r="H8" s="619"/>
      <c r="I8" s="620"/>
      <c r="J8" s="620"/>
      <c r="K8" s="621"/>
      <c r="L8" s="621"/>
      <c r="M8" s="622"/>
      <c r="N8" s="22"/>
      <c r="O8" s="112"/>
      <c r="P8" s="112"/>
      <c r="Q8" s="112"/>
      <c r="R8" s="112"/>
      <c r="S8" s="112"/>
      <c r="T8" s="112"/>
      <c r="U8" s="112"/>
      <c r="V8" s="112"/>
      <c r="W8" s="112"/>
      <c r="X8" s="112"/>
      <c r="Y8" s="112"/>
    </row>
    <row r="9" customFormat="false" ht="15" hidden="false" customHeight="false" outlineLevel="0" collapsed="false">
      <c r="A9" s="623" t="s">
        <v>395</v>
      </c>
      <c r="B9" s="623"/>
      <c r="C9" s="623"/>
      <c r="D9" s="623"/>
      <c r="E9" s="623"/>
      <c r="F9" s="623"/>
      <c r="G9" s="619" t="s">
        <v>402</v>
      </c>
      <c r="H9" s="619"/>
      <c r="I9" s="620"/>
      <c r="J9" s="620"/>
      <c r="K9" s="619"/>
      <c r="L9" s="619"/>
      <c r="M9" s="624"/>
    </row>
    <row r="10" customFormat="false" ht="13.15" hidden="false" customHeight="true" outlineLevel="0" collapsed="false">
      <c r="A10" s="623" t="s">
        <v>394</v>
      </c>
      <c r="B10" s="623"/>
      <c r="C10" s="623"/>
      <c r="D10" s="623"/>
      <c r="E10" s="623"/>
      <c r="F10" s="623"/>
      <c r="G10" s="619" t="s">
        <v>402</v>
      </c>
      <c r="H10" s="619"/>
      <c r="I10" s="620"/>
      <c r="J10" s="620"/>
      <c r="K10" s="619"/>
      <c r="L10" s="619"/>
      <c r="M10" s="624"/>
    </row>
    <row r="11" customFormat="false" ht="13.15" hidden="false" customHeight="true" outlineLevel="0" collapsed="false">
      <c r="A11" s="623" t="s">
        <v>403</v>
      </c>
      <c r="B11" s="623"/>
      <c r="C11" s="623"/>
      <c r="D11" s="623"/>
      <c r="E11" s="623"/>
      <c r="F11" s="623"/>
      <c r="G11" s="619" t="s">
        <v>402</v>
      </c>
      <c r="H11" s="619"/>
      <c r="I11" s="620"/>
      <c r="J11" s="620"/>
      <c r="K11" s="619"/>
      <c r="L11" s="619"/>
      <c r="M11" s="624"/>
    </row>
    <row r="12" customFormat="false" ht="13.15" hidden="false" customHeight="true" outlineLevel="0" collapsed="false">
      <c r="A12" s="623" t="s">
        <v>404</v>
      </c>
      <c r="B12" s="623"/>
      <c r="C12" s="623"/>
      <c r="D12" s="623"/>
      <c r="E12" s="623"/>
      <c r="F12" s="623"/>
      <c r="G12" s="619" t="s">
        <v>402</v>
      </c>
      <c r="H12" s="619"/>
      <c r="I12" s="620"/>
      <c r="J12" s="620"/>
      <c r="K12" s="619"/>
      <c r="L12" s="619"/>
      <c r="M12" s="624"/>
    </row>
    <row r="13" customFormat="false" ht="13.15" hidden="false" customHeight="true" outlineLevel="0" collapsed="false">
      <c r="A13" s="623" t="s">
        <v>405</v>
      </c>
      <c r="B13" s="623"/>
      <c r="C13" s="623"/>
      <c r="D13" s="623"/>
      <c r="E13" s="623"/>
      <c r="F13" s="623"/>
      <c r="G13" s="619" t="s">
        <v>402</v>
      </c>
      <c r="H13" s="619"/>
      <c r="I13" s="620"/>
      <c r="J13" s="620"/>
      <c r="K13" s="619"/>
      <c r="L13" s="619"/>
      <c r="M13" s="624"/>
    </row>
    <row r="14" customFormat="false" ht="13.15" hidden="false" customHeight="true" outlineLevel="0" collapsed="false">
      <c r="A14" s="623" t="s">
        <v>406</v>
      </c>
      <c r="B14" s="623"/>
      <c r="C14" s="623"/>
      <c r="D14" s="623"/>
      <c r="E14" s="623"/>
      <c r="F14" s="623"/>
      <c r="G14" s="619" t="s">
        <v>402</v>
      </c>
      <c r="H14" s="619"/>
      <c r="I14" s="620"/>
      <c r="J14" s="620"/>
      <c r="K14" s="619"/>
      <c r="L14" s="619"/>
      <c r="M14" s="624"/>
    </row>
    <row r="15" customFormat="false" ht="13.15" hidden="false" customHeight="true" outlineLevel="0" collapsed="false">
      <c r="A15" s="623" t="s">
        <v>407</v>
      </c>
      <c r="B15" s="623"/>
      <c r="C15" s="623"/>
      <c r="D15" s="623"/>
      <c r="E15" s="623"/>
      <c r="F15" s="623"/>
      <c r="G15" s="619" t="s">
        <v>402</v>
      </c>
      <c r="H15" s="619"/>
      <c r="I15" s="620"/>
      <c r="J15" s="620"/>
      <c r="K15" s="619"/>
      <c r="L15" s="619"/>
      <c r="M15" s="624"/>
    </row>
    <row r="16" customFormat="false" ht="13.15" hidden="false" customHeight="true" outlineLevel="0" collapsed="false">
      <c r="A16" s="623" t="s">
        <v>408</v>
      </c>
      <c r="B16" s="623"/>
      <c r="C16" s="623"/>
      <c r="D16" s="623"/>
      <c r="E16" s="623"/>
      <c r="F16" s="623"/>
      <c r="G16" s="619" t="s">
        <v>402</v>
      </c>
      <c r="H16" s="619"/>
      <c r="I16" s="620"/>
      <c r="J16" s="620"/>
      <c r="K16" s="619"/>
      <c r="L16" s="619"/>
      <c r="M16" s="624"/>
    </row>
    <row r="17" customFormat="false" ht="15" hidden="false" customHeight="false" outlineLevel="0" collapsed="false">
      <c r="A17" s="625" t="s">
        <v>409</v>
      </c>
      <c r="B17" s="625"/>
      <c r="C17" s="625"/>
      <c r="D17" s="626"/>
      <c r="E17" s="626"/>
      <c r="F17" s="626"/>
      <c r="G17" s="627" t="s">
        <v>402</v>
      </c>
      <c r="H17" s="627"/>
      <c r="I17" s="628"/>
      <c r="J17" s="628"/>
      <c r="K17" s="627"/>
      <c r="L17" s="627"/>
      <c r="M17" s="629"/>
    </row>
    <row r="18" customFormat="false" ht="15" hidden="false" customHeight="false" outlineLevel="0" collapsed="false">
      <c r="A18" s="612"/>
      <c r="B18" s="605"/>
      <c r="C18" s="605"/>
      <c r="D18" s="605"/>
      <c r="E18" s="605"/>
      <c r="F18" s="605"/>
      <c r="G18" s="605"/>
      <c r="H18" s="605"/>
      <c r="I18" s="605"/>
      <c r="J18" s="605"/>
      <c r="K18" s="605"/>
      <c r="L18" s="605"/>
      <c r="M18" s="612"/>
    </row>
    <row r="19" customFormat="false" ht="15" hidden="false" customHeight="false" outlineLevel="0" collapsed="false">
      <c r="A19" s="607" t="s">
        <v>410</v>
      </c>
      <c r="B19" s="630"/>
      <c r="C19" s="630"/>
      <c r="D19" s="630"/>
      <c r="E19" s="630"/>
      <c r="F19" s="630"/>
      <c r="G19" s="630"/>
      <c r="H19" s="630"/>
      <c r="I19" s="630"/>
      <c r="J19" s="630"/>
      <c r="K19" s="630"/>
      <c r="L19" s="630"/>
      <c r="M19" s="631"/>
    </row>
    <row r="20" customFormat="false" ht="15" hidden="false" customHeight="false" outlineLevel="0" collapsed="false">
      <c r="A20" s="632"/>
      <c r="B20" s="633"/>
      <c r="C20" s="633"/>
      <c r="D20" s="633"/>
      <c r="E20" s="633"/>
      <c r="F20" s="633"/>
      <c r="G20" s="633"/>
      <c r="H20" s="633"/>
      <c r="I20" s="633"/>
      <c r="J20" s="633"/>
      <c r="K20" s="633"/>
      <c r="L20" s="633"/>
      <c r="M20" s="634"/>
    </row>
    <row r="21" customFormat="false" ht="15" hidden="false" customHeight="false" outlineLevel="0" collapsed="false">
      <c r="A21" s="635"/>
      <c r="B21" s="636"/>
      <c r="C21" s="636"/>
      <c r="D21" s="636"/>
      <c r="E21" s="636"/>
      <c r="F21" s="636"/>
      <c r="G21" s="636"/>
      <c r="H21" s="636"/>
      <c r="I21" s="636"/>
      <c r="J21" s="636"/>
      <c r="K21" s="636"/>
      <c r="L21" s="636"/>
      <c r="M21" s="637"/>
    </row>
    <row r="22" customFormat="false" ht="15" hidden="false" customHeight="false" outlineLevel="0" collapsed="false">
      <c r="A22" s="635"/>
      <c r="B22" s="636"/>
      <c r="C22" s="636"/>
      <c r="D22" s="636"/>
      <c r="E22" s="636"/>
      <c r="F22" s="636"/>
      <c r="G22" s="636"/>
      <c r="H22" s="636"/>
      <c r="I22" s="636"/>
      <c r="J22" s="636"/>
      <c r="K22" s="636"/>
      <c r="L22" s="636"/>
      <c r="M22" s="637"/>
    </row>
    <row r="23" customFormat="false" ht="15" hidden="false" customHeight="false" outlineLevel="0" collapsed="false">
      <c r="A23" s="635"/>
      <c r="B23" s="636"/>
      <c r="C23" s="636"/>
      <c r="D23" s="636"/>
      <c r="E23" s="636"/>
      <c r="F23" s="636"/>
      <c r="G23" s="636"/>
      <c r="H23" s="636"/>
      <c r="I23" s="636"/>
      <c r="J23" s="636"/>
      <c r="K23" s="636"/>
      <c r="L23" s="636"/>
      <c r="M23" s="637"/>
    </row>
    <row r="24" customFormat="false" ht="15" hidden="false" customHeight="false" outlineLevel="0" collapsed="false">
      <c r="A24" s="638"/>
      <c r="B24" s="639"/>
      <c r="C24" s="639"/>
      <c r="D24" s="639"/>
      <c r="E24" s="639"/>
      <c r="F24" s="639"/>
      <c r="G24" s="639"/>
      <c r="H24" s="639"/>
      <c r="I24" s="639"/>
      <c r="J24" s="639"/>
      <c r="K24" s="639"/>
      <c r="L24" s="639"/>
      <c r="M24" s="640"/>
    </row>
    <row r="25" customFormat="false" ht="15" hidden="false" customHeight="false" outlineLevel="0" collapsed="false">
      <c r="A25" s="641"/>
      <c r="B25" s="206"/>
      <c r="C25" s="206"/>
      <c r="D25" s="206"/>
      <c r="E25" s="206"/>
      <c r="F25" s="206"/>
      <c r="G25" s="206"/>
      <c r="H25" s="206"/>
      <c r="I25" s="206"/>
      <c r="J25" s="206"/>
      <c r="K25" s="206"/>
      <c r="L25" s="206"/>
      <c r="M25" s="641"/>
    </row>
    <row r="26" customFormat="false" ht="15" hidden="true" customHeight="false" outlineLevel="0" collapsed="false">
      <c r="A26" s="593"/>
      <c r="B26" s="593"/>
      <c r="C26" s="593"/>
      <c r="D26" s="593"/>
      <c r="E26" s="593"/>
      <c r="F26" s="593"/>
      <c r="G26" s="593"/>
      <c r="H26" s="593"/>
      <c r="I26" s="593"/>
      <c r="J26" s="593"/>
      <c r="K26" s="593"/>
      <c r="L26" s="593"/>
      <c r="M26" s="593"/>
    </row>
    <row r="27" customFormat="false" ht="15" hidden="false" customHeight="false" outlineLevel="0" collapsed="false">
      <c r="A27" s="607" t="s">
        <v>411</v>
      </c>
      <c r="B27" s="630"/>
      <c r="C27" s="630"/>
      <c r="D27" s="630"/>
      <c r="E27" s="630"/>
      <c r="F27" s="630"/>
      <c r="G27" s="630"/>
      <c r="H27" s="630"/>
      <c r="I27" s="630"/>
      <c r="J27" s="630"/>
      <c r="K27" s="630"/>
      <c r="L27" s="630"/>
      <c r="M27" s="631"/>
    </row>
    <row r="28" customFormat="false" ht="15" hidden="false" customHeight="false" outlineLevel="0" collapsed="false">
      <c r="A28" s="611" t="s">
        <v>398</v>
      </c>
      <c r="B28" s="612"/>
      <c r="C28" s="612"/>
      <c r="D28" s="613" t="s">
        <v>371</v>
      </c>
      <c r="E28" s="613"/>
      <c r="F28" s="613"/>
      <c r="G28" s="614" t="s">
        <v>399</v>
      </c>
      <c r="H28" s="614"/>
      <c r="I28" s="615" t="s">
        <v>400</v>
      </c>
      <c r="J28" s="615"/>
      <c r="K28" s="642" t="s">
        <v>401</v>
      </c>
      <c r="L28" s="642"/>
      <c r="M28" s="617" t="s">
        <v>412</v>
      </c>
    </row>
    <row r="29" customFormat="false" ht="15" hidden="false" customHeight="false" outlineLevel="0" collapsed="false">
      <c r="A29" s="618"/>
      <c r="B29" s="618"/>
      <c r="C29" s="618"/>
      <c r="D29" s="618"/>
      <c r="E29" s="618"/>
      <c r="F29" s="618"/>
      <c r="G29" s="619"/>
      <c r="H29" s="619"/>
      <c r="I29" s="620"/>
      <c r="J29" s="620"/>
      <c r="K29" s="621"/>
      <c r="L29" s="621"/>
      <c r="M29" s="622" t="s">
        <v>42</v>
      </c>
    </row>
    <row r="30" customFormat="false" ht="15" hidden="false" customHeight="false" outlineLevel="0" collapsed="false">
      <c r="A30" s="623"/>
      <c r="B30" s="623"/>
      <c r="C30" s="623"/>
      <c r="D30" s="623"/>
      <c r="E30" s="623"/>
      <c r="F30" s="623"/>
      <c r="G30" s="619"/>
      <c r="H30" s="619"/>
      <c r="I30" s="620"/>
      <c r="J30" s="620"/>
      <c r="K30" s="619"/>
      <c r="L30" s="619"/>
      <c r="M30" s="624"/>
    </row>
    <row r="31" customFormat="false" ht="15" hidden="false" customHeight="false" outlineLevel="0" collapsed="false">
      <c r="A31" s="623"/>
      <c r="B31" s="623"/>
      <c r="C31" s="623"/>
      <c r="D31" s="623"/>
      <c r="E31" s="623"/>
      <c r="F31" s="623"/>
      <c r="G31" s="619"/>
      <c r="H31" s="619"/>
      <c r="I31" s="620"/>
      <c r="J31" s="620"/>
      <c r="K31" s="619"/>
      <c r="L31" s="619"/>
      <c r="M31" s="624"/>
    </row>
    <row r="32" customFormat="false" ht="15" hidden="false" customHeight="false" outlineLevel="0" collapsed="false">
      <c r="A32" s="623"/>
      <c r="B32" s="623"/>
      <c r="C32" s="623"/>
      <c r="D32" s="623"/>
      <c r="E32" s="623"/>
      <c r="F32" s="623"/>
      <c r="G32" s="619"/>
      <c r="H32" s="619"/>
      <c r="I32" s="620"/>
      <c r="J32" s="620"/>
      <c r="K32" s="619"/>
      <c r="L32" s="619"/>
      <c r="M32" s="624"/>
    </row>
    <row r="33" customFormat="false" ht="15" hidden="false" customHeight="false" outlineLevel="0" collapsed="false">
      <c r="A33" s="623"/>
      <c r="B33" s="623"/>
      <c r="C33" s="623"/>
      <c r="D33" s="623"/>
      <c r="E33" s="623"/>
      <c r="F33" s="623"/>
      <c r="G33" s="619"/>
      <c r="H33" s="619"/>
      <c r="I33" s="620"/>
      <c r="J33" s="620"/>
      <c r="K33" s="619"/>
      <c r="L33" s="619"/>
      <c r="M33" s="624"/>
    </row>
    <row r="34" customFormat="false" ht="15" hidden="false" customHeight="false" outlineLevel="0" collapsed="false">
      <c r="A34" s="623"/>
      <c r="B34" s="623"/>
      <c r="C34" s="623"/>
      <c r="D34" s="623"/>
      <c r="E34" s="623"/>
      <c r="F34" s="623"/>
      <c r="G34" s="619"/>
      <c r="H34" s="619"/>
      <c r="I34" s="620"/>
      <c r="J34" s="620"/>
      <c r="K34" s="619"/>
      <c r="L34" s="619"/>
      <c r="M34" s="624"/>
    </row>
    <row r="35" customFormat="false" ht="15" hidden="false" customHeight="false" outlineLevel="0" collapsed="false">
      <c r="A35" s="623"/>
      <c r="B35" s="623"/>
      <c r="C35" s="623"/>
      <c r="D35" s="623"/>
      <c r="E35" s="623"/>
      <c r="F35" s="623"/>
      <c r="G35" s="619"/>
      <c r="H35" s="619"/>
      <c r="I35" s="620"/>
      <c r="J35" s="620"/>
      <c r="K35" s="619"/>
      <c r="L35" s="619"/>
      <c r="M35" s="624"/>
    </row>
    <row r="36" customFormat="false" ht="15" hidden="false" customHeight="false" outlineLevel="0" collapsed="false">
      <c r="A36" s="623"/>
      <c r="B36" s="623"/>
      <c r="C36" s="623"/>
      <c r="D36" s="623"/>
      <c r="E36" s="623"/>
      <c r="F36" s="623"/>
      <c r="G36" s="619"/>
      <c r="H36" s="619"/>
      <c r="I36" s="620"/>
      <c r="J36" s="620"/>
      <c r="K36" s="619"/>
      <c r="L36" s="619"/>
      <c r="M36" s="624"/>
    </row>
    <row r="37" customFormat="false" ht="15" hidden="false" customHeight="false" outlineLevel="0" collapsed="false">
      <c r="A37" s="623"/>
      <c r="B37" s="623"/>
      <c r="C37" s="623"/>
      <c r="D37" s="623"/>
      <c r="E37" s="623"/>
      <c r="F37" s="623"/>
      <c r="G37" s="619"/>
      <c r="H37" s="619"/>
      <c r="I37" s="620"/>
      <c r="J37" s="620"/>
      <c r="K37" s="619"/>
      <c r="L37" s="619"/>
      <c r="M37" s="624"/>
    </row>
    <row r="38" customFormat="false" ht="15" hidden="false" customHeight="false" outlineLevel="0" collapsed="false">
      <c r="A38" s="625"/>
      <c r="B38" s="625"/>
      <c r="C38" s="625"/>
      <c r="D38" s="626"/>
      <c r="E38" s="626"/>
      <c r="F38" s="626"/>
      <c r="G38" s="628"/>
      <c r="H38" s="628"/>
      <c r="I38" s="628"/>
      <c r="J38" s="628"/>
      <c r="K38" s="627"/>
      <c r="L38" s="627"/>
      <c r="M38" s="629"/>
    </row>
    <row r="39" customFormat="false" ht="15" hidden="false" customHeight="false" outlineLevel="0" collapsed="false">
      <c r="A39" s="612"/>
      <c r="B39" s="605"/>
      <c r="C39" s="605"/>
      <c r="D39" s="605"/>
      <c r="E39" s="605"/>
      <c r="F39" s="605"/>
      <c r="G39" s="605"/>
      <c r="H39" s="605"/>
      <c r="I39" s="605"/>
      <c r="J39" s="605"/>
      <c r="K39" s="605"/>
      <c r="L39" s="605"/>
      <c r="M39" s="605"/>
      <c r="N39" s="16"/>
    </row>
    <row r="40" customFormat="false" ht="15" hidden="false" customHeight="false" outlineLevel="0" collapsed="false">
      <c r="A40" s="607" t="s">
        <v>348</v>
      </c>
      <c r="B40" s="608"/>
      <c r="C40" s="608"/>
      <c r="D40" s="608"/>
      <c r="E40" s="608"/>
      <c r="F40" s="608"/>
      <c r="G40" s="608"/>
      <c r="H40" s="608"/>
      <c r="I40" s="608"/>
      <c r="J40" s="608"/>
      <c r="K40" s="608"/>
      <c r="L40" s="608"/>
      <c r="M40" s="610"/>
    </row>
    <row r="41" customFormat="false" ht="15" hidden="false" customHeight="false" outlineLevel="0" collapsed="false">
      <c r="A41" s="632"/>
      <c r="B41" s="633"/>
      <c r="C41" s="633"/>
      <c r="D41" s="633"/>
      <c r="E41" s="633"/>
      <c r="F41" s="633"/>
      <c r="G41" s="633"/>
      <c r="H41" s="633"/>
      <c r="I41" s="633"/>
      <c r="J41" s="633"/>
      <c r="K41" s="633"/>
      <c r="L41" s="633"/>
      <c r="M41" s="634"/>
    </row>
    <row r="42" customFormat="false" ht="15" hidden="false" customHeight="true" outlineLevel="0" collapsed="false">
      <c r="A42" s="635"/>
      <c r="B42" s="636"/>
      <c r="C42" s="636"/>
      <c r="D42" s="636"/>
      <c r="E42" s="636"/>
      <c r="F42" s="636"/>
      <c r="G42" s="636"/>
      <c r="H42" s="636"/>
      <c r="I42" s="636"/>
      <c r="J42" s="636"/>
      <c r="K42" s="636"/>
      <c r="L42" s="636"/>
      <c r="M42" s="637"/>
    </row>
    <row r="43" customFormat="false" ht="15" hidden="false" customHeight="true" outlineLevel="0" collapsed="false">
      <c r="A43" s="635"/>
      <c r="B43" s="636"/>
      <c r="C43" s="636"/>
      <c r="D43" s="636"/>
      <c r="E43" s="636"/>
      <c r="F43" s="636"/>
      <c r="G43" s="636"/>
      <c r="H43" s="636"/>
      <c r="I43" s="636"/>
      <c r="J43" s="636"/>
      <c r="K43" s="636"/>
      <c r="L43" s="636"/>
      <c r="M43" s="637"/>
    </row>
    <row r="44" customFormat="false" ht="15" hidden="false" customHeight="true" outlineLevel="0" collapsed="false">
      <c r="A44" s="635"/>
      <c r="B44" s="636"/>
      <c r="C44" s="636"/>
      <c r="D44" s="636"/>
      <c r="E44" s="636"/>
      <c r="F44" s="636"/>
      <c r="G44" s="636"/>
      <c r="H44" s="636"/>
      <c r="I44" s="636"/>
      <c r="J44" s="636"/>
      <c r="K44" s="636"/>
      <c r="L44" s="636"/>
      <c r="M44" s="637"/>
    </row>
    <row r="45" customFormat="false" ht="15" hidden="false" customHeight="false" outlineLevel="0" collapsed="false">
      <c r="A45" s="635"/>
      <c r="B45" s="636"/>
      <c r="C45" s="636"/>
      <c r="D45" s="636"/>
      <c r="E45" s="636"/>
      <c r="F45" s="636"/>
      <c r="G45" s="636"/>
      <c r="H45" s="636"/>
      <c r="I45" s="636"/>
      <c r="J45" s="636"/>
      <c r="K45" s="636"/>
      <c r="L45" s="636"/>
      <c r="M45" s="637"/>
    </row>
    <row r="46" customFormat="false" ht="15" hidden="false" customHeight="false" outlineLevel="0" collapsed="false">
      <c r="A46" s="635"/>
      <c r="B46" s="636"/>
      <c r="C46" s="636"/>
      <c r="D46" s="636"/>
      <c r="E46" s="636"/>
      <c r="F46" s="636"/>
      <c r="G46" s="636"/>
      <c r="H46" s="636"/>
      <c r="I46" s="636"/>
      <c r="J46" s="636"/>
      <c r="K46" s="636"/>
      <c r="L46" s="636"/>
      <c r="M46" s="637"/>
    </row>
    <row r="47" customFormat="false" ht="15" hidden="false" customHeight="false" outlineLevel="0" collapsed="false">
      <c r="A47" s="638"/>
      <c r="B47" s="639"/>
      <c r="C47" s="639"/>
      <c r="D47" s="639"/>
      <c r="E47" s="639"/>
      <c r="F47" s="639"/>
      <c r="G47" s="639"/>
      <c r="H47" s="639"/>
      <c r="I47" s="639"/>
      <c r="J47" s="639"/>
      <c r="K47" s="639"/>
      <c r="L47" s="639"/>
      <c r="M47" s="640"/>
    </row>
    <row r="48" customFormat="false" ht="15" hidden="false" customHeight="false" outlineLevel="0" collapsed="false">
      <c r="A48" s="641"/>
      <c r="B48" s="206"/>
      <c r="C48" s="206"/>
      <c r="D48" s="206"/>
      <c r="E48" s="206"/>
      <c r="F48" s="206"/>
      <c r="G48" s="206"/>
      <c r="H48" s="206"/>
      <c r="I48" s="206"/>
      <c r="J48" s="206"/>
      <c r="K48" s="206"/>
      <c r="L48" s="206"/>
      <c r="M48" s="206"/>
      <c r="N48" s="16"/>
    </row>
    <row r="49" customFormat="false" ht="15" hidden="true" customHeight="false" outlineLevel="0" collapsed="false">
      <c r="A49" s="601"/>
      <c r="B49" s="601"/>
      <c r="C49" s="601"/>
      <c r="D49" s="601"/>
      <c r="E49" s="601"/>
      <c r="F49" s="601"/>
      <c r="G49" s="601"/>
      <c r="H49" s="601"/>
      <c r="I49" s="601"/>
      <c r="J49" s="601"/>
      <c r="K49" s="601"/>
      <c r="L49" s="601"/>
      <c r="M49" s="601"/>
    </row>
    <row r="50" customFormat="false" ht="15" hidden="false" customHeight="false" outlineLevel="0" collapsed="false">
      <c r="A50" s="607" t="s">
        <v>349</v>
      </c>
      <c r="B50" s="608"/>
      <c r="C50" s="608"/>
      <c r="D50" s="608"/>
      <c r="E50" s="608"/>
      <c r="F50" s="608"/>
      <c r="G50" s="608"/>
      <c r="H50" s="608"/>
      <c r="I50" s="608"/>
      <c r="J50" s="608"/>
      <c r="K50" s="608"/>
      <c r="L50" s="608"/>
      <c r="M50" s="610"/>
    </row>
    <row r="51" customFormat="false" ht="15" hidden="false" customHeight="false" outlineLevel="0" collapsed="false">
      <c r="A51" s="632"/>
      <c r="B51" s="633"/>
      <c r="C51" s="633"/>
      <c r="D51" s="633"/>
      <c r="E51" s="633"/>
      <c r="F51" s="633"/>
      <c r="G51" s="633"/>
      <c r="H51" s="633"/>
      <c r="I51" s="633"/>
      <c r="J51" s="633"/>
      <c r="K51" s="633"/>
      <c r="L51" s="633"/>
      <c r="M51" s="634"/>
    </row>
    <row r="52" customFormat="false" ht="15" hidden="false" customHeight="false" outlineLevel="0" collapsed="false">
      <c r="A52" s="635"/>
      <c r="B52" s="636"/>
      <c r="C52" s="636"/>
      <c r="D52" s="636"/>
      <c r="E52" s="636"/>
      <c r="F52" s="636"/>
      <c r="G52" s="636"/>
      <c r="H52" s="636"/>
      <c r="I52" s="636"/>
      <c r="J52" s="636"/>
      <c r="K52" s="636"/>
      <c r="L52" s="636"/>
      <c r="M52" s="637"/>
    </row>
    <row r="53" customFormat="false" ht="15" hidden="false" customHeight="false" outlineLevel="0" collapsed="false">
      <c r="A53" s="635"/>
      <c r="B53" s="636"/>
      <c r="C53" s="636"/>
      <c r="D53" s="636"/>
      <c r="E53" s="636"/>
      <c r="F53" s="636"/>
      <c r="G53" s="636"/>
      <c r="H53" s="636"/>
      <c r="I53" s="636"/>
      <c r="J53" s="636"/>
      <c r="K53" s="636"/>
      <c r="L53" s="636"/>
      <c r="M53" s="637"/>
    </row>
    <row r="54" customFormat="false" ht="15" hidden="false" customHeight="false" outlineLevel="0" collapsed="false">
      <c r="A54" s="635"/>
      <c r="B54" s="636"/>
      <c r="C54" s="636"/>
      <c r="D54" s="636"/>
      <c r="E54" s="636"/>
      <c r="F54" s="636"/>
      <c r="G54" s="636"/>
      <c r="H54" s="636"/>
      <c r="I54" s="636"/>
      <c r="J54" s="636"/>
      <c r="K54" s="636"/>
      <c r="L54" s="636"/>
      <c r="M54" s="637"/>
    </row>
    <row r="55" customFormat="false" ht="15" hidden="false" customHeight="false" outlineLevel="0" collapsed="false">
      <c r="A55" s="638"/>
      <c r="B55" s="639"/>
      <c r="C55" s="639"/>
      <c r="D55" s="639"/>
      <c r="E55" s="639"/>
      <c r="F55" s="639"/>
      <c r="G55" s="639"/>
      <c r="H55" s="639"/>
      <c r="I55" s="639"/>
      <c r="J55" s="639"/>
      <c r="K55" s="639"/>
      <c r="L55" s="639"/>
      <c r="M55" s="640"/>
    </row>
    <row r="56" customFormat="false" ht="15" hidden="false" customHeight="false" outlineLevel="0" collapsed="false">
      <c r="A56" s="641"/>
      <c r="B56" s="206"/>
      <c r="C56" s="206"/>
      <c r="D56" s="206"/>
      <c r="E56" s="206"/>
      <c r="F56" s="206"/>
      <c r="G56" s="206"/>
      <c r="H56" s="206"/>
      <c r="I56" s="206"/>
      <c r="J56" s="206"/>
      <c r="K56" s="206"/>
      <c r="L56" s="206"/>
      <c r="M56" s="206"/>
      <c r="N56" s="16"/>
    </row>
    <row r="57" customFormat="false" ht="15" hidden="true" customHeight="false" outlineLevel="0" collapsed="false">
      <c r="A57" s="601"/>
      <c r="B57" s="601"/>
      <c r="C57" s="601"/>
      <c r="D57" s="601"/>
      <c r="E57" s="601"/>
      <c r="F57" s="601"/>
      <c r="G57" s="601"/>
      <c r="H57" s="601"/>
      <c r="I57" s="601"/>
      <c r="J57" s="601"/>
      <c r="K57" s="601"/>
      <c r="L57" s="601"/>
      <c r="M57" s="601"/>
    </row>
    <row r="58" customFormat="false" ht="15" hidden="true" customHeight="false" outlineLevel="0" collapsed="false">
      <c r="A58" s="643"/>
      <c r="B58" s="643"/>
      <c r="C58" s="643"/>
      <c r="D58" s="643"/>
      <c r="E58" s="643"/>
      <c r="F58" s="643"/>
      <c r="G58" s="643"/>
      <c r="H58" s="643"/>
      <c r="I58" s="643"/>
      <c r="J58" s="601"/>
      <c r="K58" s="601"/>
      <c r="L58" s="601"/>
      <c r="M58" s="601"/>
    </row>
    <row r="59" customFormat="false" ht="15" hidden="true" customHeight="false" outlineLevel="0" collapsed="false">
      <c r="A59" s="644" t="s">
        <v>413</v>
      </c>
      <c r="B59" s="644" t="s">
        <v>414</v>
      </c>
      <c r="C59" s="644" t="s">
        <v>174</v>
      </c>
      <c r="D59" s="644"/>
      <c r="E59" s="644" t="s">
        <v>111</v>
      </c>
      <c r="F59" s="644" t="s">
        <v>402</v>
      </c>
      <c r="G59" s="644"/>
      <c r="H59" s="644" t="s">
        <v>415</v>
      </c>
      <c r="I59" s="644"/>
      <c r="J59" s="601"/>
      <c r="K59" s="601"/>
      <c r="L59" s="601"/>
      <c r="M59" s="601"/>
    </row>
    <row r="60" customFormat="false" ht="15" hidden="true" customHeight="false" outlineLevel="0" collapsed="false">
      <c r="A60" s="644" t="s">
        <v>416</v>
      </c>
      <c r="B60" s="644" t="s">
        <v>417</v>
      </c>
      <c r="C60" s="644" t="s">
        <v>359</v>
      </c>
      <c r="D60" s="644"/>
      <c r="E60" s="644" t="s">
        <v>112</v>
      </c>
      <c r="F60" s="644" t="s">
        <v>418</v>
      </c>
      <c r="G60" s="644"/>
      <c r="H60" s="644" t="s">
        <v>419</v>
      </c>
      <c r="I60" s="644"/>
      <c r="J60" s="601"/>
      <c r="K60" s="601"/>
      <c r="L60" s="601"/>
      <c r="M60" s="601"/>
    </row>
    <row r="61" customFormat="false" ht="15" hidden="true" customHeight="false" outlineLevel="0" collapsed="false">
      <c r="A61" s="644" t="s">
        <v>420</v>
      </c>
      <c r="B61" s="644" t="s">
        <v>421</v>
      </c>
      <c r="C61" s="644" t="s">
        <v>367</v>
      </c>
      <c r="D61" s="644"/>
      <c r="E61" s="644"/>
      <c r="F61" s="644" t="s">
        <v>422</v>
      </c>
      <c r="G61" s="644"/>
      <c r="H61" s="644" t="s">
        <v>423</v>
      </c>
      <c r="I61" s="644"/>
      <c r="J61" s="601"/>
      <c r="K61" s="601"/>
      <c r="L61" s="601"/>
      <c r="M61" s="601"/>
    </row>
    <row r="62" customFormat="false" ht="15" hidden="true" customHeight="false" outlineLevel="0" collapsed="false">
      <c r="A62" s="644" t="s">
        <v>424</v>
      </c>
      <c r="B62" s="644" t="s">
        <v>425</v>
      </c>
      <c r="C62" s="644" t="s">
        <v>355</v>
      </c>
      <c r="D62" s="644"/>
      <c r="E62" s="644"/>
      <c r="F62" s="644"/>
      <c r="G62" s="644"/>
      <c r="H62" s="644" t="s">
        <v>426</v>
      </c>
      <c r="I62" s="644"/>
      <c r="J62" s="601"/>
      <c r="K62" s="601"/>
      <c r="L62" s="601"/>
      <c r="M62" s="601"/>
    </row>
    <row r="63" customFormat="false" ht="15" hidden="true" customHeight="false" outlineLevel="0" collapsed="false">
      <c r="A63" s="644" t="s">
        <v>427</v>
      </c>
      <c r="B63" s="644"/>
      <c r="C63" s="644" t="s">
        <v>368</v>
      </c>
      <c r="D63" s="644"/>
      <c r="E63" s="644"/>
      <c r="F63" s="644"/>
      <c r="G63" s="644"/>
      <c r="H63" s="645" t="s">
        <v>428</v>
      </c>
      <c r="I63" s="644"/>
      <c r="J63" s="601"/>
      <c r="K63" s="601"/>
      <c r="L63" s="601"/>
      <c r="M63" s="601"/>
    </row>
    <row r="64" customFormat="false" ht="15" hidden="true" customHeight="false" outlineLevel="0" collapsed="false">
      <c r="A64" s="644" t="s">
        <v>429</v>
      </c>
      <c r="B64" s="644"/>
      <c r="C64" s="644" t="s">
        <v>357</v>
      </c>
      <c r="D64" s="644"/>
      <c r="E64" s="644"/>
      <c r="F64" s="644"/>
      <c r="G64" s="644"/>
      <c r="H64" s="644" t="s">
        <v>42</v>
      </c>
      <c r="I64" s="644"/>
      <c r="J64" s="601"/>
      <c r="K64" s="601"/>
      <c r="L64" s="601"/>
      <c r="M64" s="601"/>
    </row>
    <row r="65" customFormat="false" ht="15" hidden="true" customHeight="false" outlineLevel="0" collapsed="false">
      <c r="A65" s="644"/>
      <c r="B65" s="644"/>
      <c r="C65" s="644" t="s">
        <v>42</v>
      </c>
      <c r="D65" s="644"/>
      <c r="E65" s="644"/>
      <c r="F65" s="644"/>
      <c r="G65" s="644"/>
      <c r="H65" s="644"/>
      <c r="I65" s="644"/>
      <c r="J65" s="601"/>
      <c r="K65" s="601"/>
      <c r="L65" s="601"/>
      <c r="M65" s="601"/>
    </row>
    <row r="66" customFormat="false" ht="15" hidden="true" customHeight="false" outlineLevel="0" collapsed="false">
      <c r="A66" s="601"/>
      <c r="B66" s="601"/>
      <c r="C66" s="601"/>
      <c r="D66" s="601"/>
      <c r="E66" s="601"/>
      <c r="F66" s="601"/>
      <c r="G66" s="601"/>
      <c r="H66" s="601"/>
      <c r="I66" s="601"/>
      <c r="J66" s="601"/>
      <c r="K66" s="601"/>
      <c r="L66" s="601"/>
      <c r="M66" s="601"/>
    </row>
    <row r="67" customFormat="false" ht="15" hidden="false" customHeight="false" outlineLevel="0" collapsed="false">
      <c r="A67" s="607" t="s">
        <v>430</v>
      </c>
      <c r="B67" s="630"/>
      <c r="C67" s="630"/>
      <c r="D67" s="630"/>
      <c r="E67" s="630"/>
      <c r="F67" s="630"/>
      <c r="G67" s="630"/>
      <c r="H67" s="630"/>
      <c r="I67" s="630"/>
      <c r="J67" s="630"/>
      <c r="K67" s="630"/>
      <c r="L67" s="630"/>
      <c r="M67" s="631"/>
    </row>
    <row r="68" customFormat="false" ht="15" hidden="false" customHeight="false" outlineLevel="0" collapsed="false">
      <c r="A68" s="646"/>
      <c r="B68" s="647"/>
      <c r="C68" s="647"/>
      <c r="D68" s="647"/>
      <c r="E68" s="647"/>
      <c r="F68" s="647"/>
      <c r="G68" s="647"/>
      <c r="H68" s="647"/>
      <c r="I68" s="647"/>
      <c r="J68" s="647"/>
      <c r="K68" s="647"/>
      <c r="L68" s="647"/>
      <c r="M68" s="648"/>
    </row>
    <row r="69" customFormat="false" ht="15" hidden="false" customHeight="false" outlineLevel="0" collapsed="false">
      <c r="A69" s="649"/>
      <c r="B69" s="650"/>
      <c r="C69" s="650"/>
      <c r="D69" s="650"/>
      <c r="E69" s="650"/>
      <c r="F69" s="650"/>
      <c r="G69" s="650"/>
      <c r="H69" s="650"/>
      <c r="I69" s="650"/>
      <c r="J69" s="650"/>
      <c r="K69" s="650"/>
      <c r="L69" s="650"/>
      <c r="M69" s="651"/>
    </row>
    <row r="70" customFormat="false" ht="15" hidden="false" customHeight="false" outlineLevel="0" collapsed="false">
      <c r="A70" s="649"/>
      <c r="B70" s="650"/>
      <c r="C70" s="650"/>
      <c r="D70" s="650"/>
      <c r="E70" s="650"/>
      <c r="F70" s="650"/>
      <c r="G70" s="650"/>
      <c r="H70" s="650"/>
      <c r="I70" s="650"/>
      <c r="J70" s="650"/>
      <c r="K70" s="650"/>
      <c r="L70" s="650"/>
      <c r="M70" s="651"/>
    </row>
    <row r="71" customFormat="false" ht="15" hidden="false" customHeight="false" outlineLevel="0" collapsed="false">
      <c r="A71" s="649"/>
      <c r="B71" s="650"/>
      <c r="C71" s="650"/>
      <c r="D71" s="650"/>
      <c r="E71" s="650"/>
      <c r="F71" s="650"/>
      <c r="G71" s="650"/>
      <c r="H71" s="650"/>
      <c r="I71" s="650"/>
      <c r="J71" s="650"/>
      <c r="K71" s="650"/>
      <c r="L71" s="650"/>
      <c r="M71" s="651"/>
    </row>
    <row r="72" customFormat="false" ht="15" hidden="false" customHeight="false" outlineLevel="0" collapsed="false">
      <c r="A72" s="596"/>
      <c r="B72" s="596"/>
      <c r="C72" s="596"/>
      <c r="D72" s="596"/>
      <c r="E72" s="596"/>
      <c r="F72" s="596"/>
      <c r="G72" s="596"/>
      <c r="H72" s="596"/>
      <c r="I72" s="596"/>
      <c r="J72" s="596"/>
      <c r="K72" s="596"/>
      <c r="L72" s="596"/>
      <c r="M72" s="596"/>
    </row>
    <row r="73" customFormat="false" ht="15" hidden="false" customHeight="false" outlineLevel="0" collapsed="false">
      <c r="A73" s="607" t="s">
        <v>431</v>
      </c>
      <c r="B73" s="608"/>
      <c r="C73" s="608"/>
      <c r="D73" s="608"/>
      <c r="E73" s="608"/>
      <c r="F73" s="608"/>
      <c r="G73" s="608"/>
      <c r="H73" s="608"/>
      <c r="I73" s="630"/>
      <c r="J73" s="630"/>
      <c r="K73" s="630"/>
      <c r="L73" s="630"/>
      <c r="M73" s="631"/>
    </row>
    <row r="74" customFormat="false" ht="15" hidden="false" customHeight="false" outlineLevel="0" collapsed="false">
      <c r="A74" s="652"/>
      <c r="B74" s="653" t="s">
        <v>432</v>
      </c>
      <c r="C74" s="654"/>
    </row>
    <row r="75" customFormat="false" ht="15" hidden="false" customHeight="false" outlineLevel="0" collapsed="false">
      <c r="A75" s="655"/>
      <c r="B75" s="656" t="s">
        <v>433</v>
      </c>
      <c r="C75" s="657" t="s">
        <v>111</v>
      </c>
      <c r="D75" s="593"/>
      <c r="E75" s="593"/>
      <c r="F75" s="593"/>
      <c r="G75" s="593"/>
      <c r="H75" s="593"/>
      <c r="I75" s="596"/>
      <c r="J75" s="596"/>
      <c r="K75" s="596"/>
      <c r="L75" s="596"/>
      <c r="M75" s="596"/>
    </row>
    <row r="76" customFormat="false" ht="15" hidden="false" customHeight="false" outlineLevel="0" collapsed="false">
      <c r="A76" s="658"/>
      <c r="B76" s="602" t="s">
        <v>434</v>
      </c>
      <c r="C76" s="657" t="s">
        <v>111</v>
      </c>
      <c r="D76" s="593"/>
      <c r="E76" s="593"/>
      <c r="F76" s="593"/>
      <c r="G76" s="593"/>
      <c r="H76" s="593"/>
      <c r="I76" s="596"/>
      <c r="J76" s="596"/>
      <c r="K76" s="596"/>
      <c r="L76" s="596"/>
      <c r="M76" s="596"/>
    </row>
    <row r="77" customFormat="false" ht="15" hidden="false" customHeight="false" outlineLevel="0" collapsed="false">
      <c r="A77" s="658"/>
      <c r="B77" s="602" t="s">
        <v>173</v>
      </c>
      <c r="C77" s="657" t="s">
        <v>111</v>
      </c>
      <c r="D77" s="593"/>
      <c r="E77" s="593"/>
      <c r="F77" s="593"/>
      <c r="G77" s="593"/>
      <c r="H77" s="593"/>
      <c r="I77" s="596"/>
      <c r="J77" s="596"/>
      <c r="K77" s="596"/>
      <c r="L77" s="596"/>
      <c r="M77" s="596"/>
    </row>
    <row r="78" customFormat="false" ht="15" hidden="false" customHeight="false" outlineLevel="0" collapsed="false">
      <c r="A78" s="658"/>
      <c r="B78" s="602" t="s">
        <v>435</v>
      </c>
      <c r="C78" s="657" t="s">
        <v>111</v>
      </c>
      <c r="D78" s="593"/>
      <c r="E78" s="593"/>
      <c r="F78" s="593"/>
      <c r="G78" s="593"/>
      <c r="H78" s="593"/>
      <c r="I78" s="596"/>
      <c r="J78" s="596"/>
      <c r="K78" s="596"/>
      <c r="L78" s="596"/>
      <c r="M78" s="596"/>
    </row>
    <row r="79" customFormat="false" ht="15" hidden="false" customHeight="false" outlineLevel="0" collapsed="false">
      <c r="A79" s="659"/>
      <c r="B79" s="660" t="s">
        <v>42</v>
      </c>
      <c r="C79" s="657" t="s">
        <v>111</v>
      </c>
      <c r="D79" s="593"/>
      <c r="E79" s="593"/>
      <c r="F79" s="593"/>
      <c r="G79" s="593"/>
      <c r="H79" s="593"/>
      <c r="I79" s="596"/>
      <c r="J79" s="596"/>
      <c r="K79" s="596"/>
      <c r="L79" s="596"/>
      <c r="M79" s="596"/>
    </row>
    <row r="80" customFormat="false" ht="15" hidden="false" customHeight="false" outlineLevel="0" collapsed="false">
      <c r="D80" s="86"/>
      <c r="E80" s="661"/>
      <c r="F80" s="661"/>
      <c r="G80" s="661"/>
      <c r="H80" s="661"/>
      <c r="I80" s="661"/>
      <c r="J80" s="661"/>
      <c r="K80" s="661"/>
      <c r="L80" s="661"/>
      <c r="M80" s="661"/>
    </row>
    <row r="81" customFormat="false" ht="15" hidden="true" customHeight="false" outlineLevel="0" collapsed="false">
      <c r="A81" s="662"/>
    </row>
    <row r="82" customFormat="false" ht="15" hidden="true" customHeight="false" outlineLevel="0" collapsed="false">
      <c r="A82" s="662"/>
    </row>
    <row r="83" customFormat="false" ht="15" hidden="true" customHeight="false" outlineLevel="0" collapsed="false">
      <c r="A83" s="662"/>
    </row>
    <row r="86" customFormat="false" ht="0.75" hidden="true" customHeight="true" outlineLevel="0" collapsed="false"/>
    <row r="88" customFormat="false" ht="15" hidden="true" customHeight="false" outlineLevel="0" collapsed="false">
      <c r="B88" s="4" t="s">
        <v>111</v>
      </c>
    </row>
    <row r="89" customFormat="false" ht="15" hidden="true" customHeight="false" outlineLevel="0" collapsed="false">
      <c r="B89" s="4" t="s">
        <v>112</v>
      </c>
    </row>
  </sheetData>
  <mergeCells count="108">
    <mergeCell ref="D7:F7"/>
    <mergeCell ref="G7:H7"/>
    <mergeCell ref="I7:J7"/>
    <mergeCell ref="K7:L7"/>
    <mergeCell ref="A8:C8"/>
    <mergeCell ref="D8:F8"/>
    <mergeCell ref="G8:H8"/>
    <mergeCell ref="I8:J8"/>
    <mergeCell ref="K8:L8"/>
    <mergeCell ref="A9:C9"/>
    <mergeCell ref="D9:F9"/>
    <mergeCell ref="G9:H9"/>
    <mergeCell ref="I9:J9"/>
    <mergeCell ref="K9:L9"/>
    <mergeCell ref="A10:C10"/>
    <mergeCell ref="D10:F10"/>
    <mergeCell ref="G10:H10"/>
    <mergeCell ref="I10:J10"/>
    <mergeCell ref="K10:L10"/>
    <mergeCell ref="A11:C11"/>
    <mergeCell ref="D11:F11"/>
    <mergeCell ref="G11:H11"/>
    <mergeCell ref="I11:J11"/>
    <mergeCell ref="K11:L11"/>
    <mergeCell ref="A12:C12"/>
    <mergeCell ref="D12:F12"/>
    <mergeCell ref="G12:H12"/>
    <mergeCell ref="I12:J12"/>
    <mergeCell ref="K12:L12"/>
    <mergeCell ref="A13:C13"/>
    <mergeCell ref="D13:F13"/>
    <mergeCell ref="G13:H13"/>
    <mergeCell ref="I13:J13"/>
    <mergeCell ref="K13:L13"/>
    <mergeCell ref="A14:C14"/>
    <mergeCell ref="D14:F14"/>
    <mergeCell ref="G14:H14"/>
    <mergeCell ref="I14:J14"/>
    <mergeCell ref="K14:L14"/>
    <mergeCell ref="A15:C15"/>
    <mergeCell ref="D15:F15"/>
    <mergeCell ref="G15:H15"/>
    <mergeCell ref="I15:J15"/>
    <mergeCell ref="K15:L15"/>
    <mergeCell ref="A16:C16"/>
    <mergeCell ref="D16:F16"/>
    <mergeCell ref="G16:H16"/>
    <mergeCell ref="I16:J16"/>
    <mergeCell ref="K16:L16"/>
    <mergeCell ref="A17:C17"/>
    <mergeCell ref="D17:F17"/>
    <mergeCell ref="G17:H17"/>
    <mergeCell ref="I17:J17"/>
    <mergeCell ref="K17:L17"/>
    <mergeCell ref="D28:F28"/>
    <mergeCell ref="G28:H28"/>
    <mergeCell ref="I28:J28"/>
    <mergeCell ref="K28:L28"/>
    <mergeCell ref="A29:C29"/>
    <mergeCell ref="D29:F29"/>
    <mergeCell ref="G29:H29"/>
    <mergeCell ref="I29:J29"/>
    <mergeCell ref="K29:L29"/>
    <mergeCell ref="A30:C30"/>
    <mergeCell ref="D30:F30"/>
    <mergeCell ref="G30:H30"/>
    <mergeCell ref="I30:J30"/>
    <mergeCell ref="K30:L30"/>
    <mergeCell ref="A31:C31"/>
    <mergeCell ref="D31:F31"/>
    <mergeCell ref="G31:H31"/>
    <mergeCell ref="I31:J31"/>
    <mergeCell ref="K31:L31"/>
    <mergeCell ref="A32:C32"/>
    <mergeCell ref="D32:F32"/>
    <mergeCell ref="G32:H32"/>
    <mergeCell ref="I32:J32"/>
    <mergeCell ref="K32:L32"/>
    <mergeCell ref="A33:C33"/>
    <mergeCell ref="D33:F33"/>
    <mergeCell ref="G33:H33"/>
    <mergeCell ref="I33:J33"/>
    <mergeCell ref="K33:L33"/>
    <mergeCell ref="A34:C34"/>
    <mergeCell ref="D34:F34"/>
    <mergeCell ref="G34:H34"/>
    <mergeCell ref="I34:J34"/>
    <mergeCell ref="K34:L34"/>
    <mergeCell ref="A35:C35"/>
    <mergeCell ref="D35:F35"/>
    <mergeCell ref="G35:H35"/>
    <mergeCell ref="I35:J35"/>
    <mergeCell ref="K35:L35"/>
    <mergeCell ref="A36:C36"/>
    <mergeCell ref="D36:F36"/>
    <mergeCell ref="G36:H36"/>
    <mergeCell ref="I36:J36"/>
    <mergeCell ref="K36:L36"/>
    <mergeCell ref="A37:C37"/>
    <mergeCell ref="D37:F37"/>
    <mergeCell ref="G37:H37"/>
    <mergeCell ref="I37:J37"/>
    <mergeCell ref="K37:L37"/>
    <mergeCell ref="A38:C38"/>
    <mergeCell ref="D38:F38"/>
    <mergeCell ref="G38:H38"/>
    <mergeCell ref="I38:J38"/>
    <mergeCell ref="K38:L38"/>
  </mergeCells>
  <dataValidations count="7">
    <dataValidation allowBlank="true" operator="between" showDropDown="false" showErrorMessage="true" showInputMessage="true" sqref="A74" type="list">
      <formula1>$E$58:$E$60</formula1>
      <formula2>0</formula2>
    </dataValidation>
    <dataValidation allowBlank="true" operator="between" showDropDown="false" showErrorMessage="true" showInputMessage="true" sqref="K8:L17 K29:L38" type="list">
      <formula1>$A$58:$A$64</formula1>
      <formula2>0</formula2>
    </dataValidation>
    <dataValidation allowBlank="true" operator="between" showDropDown="false" showErrorMessage="true" showInputMessage="true" sqref="G8:H17 G29:H37" type="list">
      <formula1>$F$58:$F$61</formula1>
      <formula2>0</formula2>
    </dataValidation>
    <dataValidation allowBlank="true" operator="between" showDropDown="false" showErrorMessage="true" showInputMessage="true" sqref="M8:M17 M30:M38" type="list">
      <formula1>$B$58:$B$62</formula1>
      <formula2>0</formula2>
    </dataValidation>
    <dataValidation allowBlank="true" operator="between" showDropDown="false" showErrorMessage="true" showInputMessage="true" sqref="I8:I17 I29:I38 G38" type="list">
      <formula1>$H$58:$H$64</formula1>
      <formula2>0</formula2>
    </dataValidation>
    <dataValidation allowBlank="true" operator="between" showDropDown="false" showErrorMessage="true" showInputMessage="true" sqref="M29" type="list">
      <formula1>$C$58:$C$65</formula1>
      <formula2>0</formula2>
    </dataValidation>
    <dataValidation allowBlank="true" operator="between" showDropDown="false" showErrorMessage="true" showInputMessage="true" sqref="C75:C79" type="list">
      <formula1>$B$87:$B$89</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colBreaks count="1" manualBreakCount="1">
    <brk id="4" man="true" max="65535" min="0"/>
  </colBreaks>
  <drawing r:id="rId1"/>
</worksheet>
</file>

<file path=xl/worksheets/sheet25.xml><?xml version="1.0" encoding="utf-8"?>
<worksheet xmlns="http://schemas.openxmlformats.org/spreadsheetml/2006/main" xmlns:r="http://schemas.openxmlformats.org/officeDocument/2006/relationships">
  <sheetPr filterMode="false">
    <tabColor rgb="FF969696"/>
    <pageSetUpPr fitToPage="true"/>
  </sheetPr>
  <dimension ref="A1:Q64"/>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46" activeCellId="0" sqref="A46"/>
    </sheetView>
  </sheetViews>
  <sheetFormatPr defaultRowHeight="15" zeroHeight="true" outlineLevelRow="0" outlineLevelCol="0"/>
  <cols>
    <col collapsed="false" customWidth="false" hidden="false" outlineLevel="0" max="10" min="1" style="4" width="11.57"/>
    <col collapsed="false" customWidth="true" hidden="false" outlineLevel="0" max="11" min="11" style="4" width="32"/>
    <col collapsed="false" customWidth="true" hidden="false" outlineLevel="0" max="12" min="12" style="22" width="1.85"/>
    <col collapsed="false" customWidth="true" hidden="true" outlineLevel="0" max="1025" min="13" style="4" width="9.14"/>
  </cols>
  <sheetData>
    <row r="1" s="312" customFormat="true" ht="28.5" hidden="false" customHeight="false" outlineLevel="0" collapsed="false">
      <c r="A1" s="113" t="s">
        <v>436</v>
      </c>
      <c r="B1" s="114"/>
      <c r="C1" s="114"/>
      <c r="D1" s="114"/>
      <c r="E1" s="114"/>
      <c r="F1" s="114"/>
      <c r="G1" s="114"/>
      <c r="H1" s="114"/>
      <c r="I1" s="114"/>
      <c r="J1" s="114"/>
      <c r="K1" s="115" t="s">
        <v>437</v>
      </c>
      <c r="L1" s="310"/>
    </row>
    <row r="2" s="312" customFormat="true" ht="21" hidden="false" customHeight="false" outlineLevel="0" collapsed="false">
      <c r="A2" s="52"/>
      <c r="B2" s="116"/>
      <c r="C2" s="117"/>
      <c r="D2" s="86"/>
      <c r="E2" s="118"/>
      <c r="F2" s="48"/>
      <c r="G2" s="48"/>
      <c r="H2" s="119"/>
      <c r="I2" s="86"/>
      <c r="J2" s="86"/>
      <c r="K2" s="120"/>
      <c r="L2" s="310"/>
    </row>
    <row r="3" customFormat="false" ht="15" hidden="false" customHeight="false" outlineLevel="0" collapsed="false">
      <c r="A3" s="52" t="s">
        <v>103</v>
      </c>
      <c r="B3" s="116"/>
      <c r="C3" s="67" t="str">
        <f aca="false">'Reference sheet'!C12</f>
        <v>TEST</v>
      </c>
      <c r="D3" s="86"/>
      <c r="E3" s="118"/>
      <c r="F3" s="48"/>
      <c r="G3" s="121" t="s">
        <v>49</v>
      </c>
      <c r="H3" s="122"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3.15" hidden="false" customHeight="true" outlineLevel="0" collapsed="false"/>
    <row r="6" customFormat="false" ht="13.15" hidden="false" customHeight="true" outlineLevel="0" collapsed="false">
      <c r="A6" s="131" t="s">
        <v>438</v>
      </c>
      <c r="B6" s="276"/>
      <c r="C6" s="276"/>
      <c r="D6" s="276"/>
      <c r="E6" s="276"/>
      <c r="F6" s="276"/>
      <c r="G6" s="276"/>
      <c r="H6" s="276"/>
      <c r="I6" s="276"/>
      <c r="J6" s="276"/>
      <c r="K6" s="277"/>
    </row>
    <row r="7" customFormat="false" ht="13.15" hidden="false" customHeight="true" outlineLevel="0" collapsed="false">
      <c r="A7" s="506"/>
      <c r="B7" s="257"/>
      <c r="C7" s="257" t="n">
        <f aca="false">E7-1</f>
        <v>2016</v>
      </c>
      <c r="D7" s="257"/>
      <c r="E7" s="257" t="n">
        <f aca="false">G7-1</f>
        <v>2017</v>
      </c>
      <c r="F7" s="257"/>
      <c r="G7" s="257" t="n">
        <f aca="false">'Reference sheet'!C18</f>
        <v>2018</v>
      </c>
      <c r="H7" s="257"/>
      <c r="I7" s="663" t="s">
        <v>293</v>
      </c>
      <c r="J7" s="257"/>
      <c r="K7" s="664" t="s">
        <v>219</v>
      </c>
    </row>
    <row r="8" customFormat="false" ht="13.15" hidden="false" customHeight="true" outlineLevel="0" collapsed="false">
      <c r="A8" s="52" t="s">
        <v>165</v>
      </c>
      <c r="B8" s="48"/>
      <c r="C8" s="665" t="n">
        <f aca="false">'5.1 DAF Vehicle Parc Input'!G27</f>
        <v>0</v>
      </c>
      <c r="D8" s="86"/>
      <c r="E8" s="665" t="n">
        <f aca="false">'5.1 DAF Vehicle Parc Input'!F27</f>
        <v>0</v>
      </c>
      <c r="F8" s="86"/>
      <c r="G8" s="665" t="n">
        <f aca="false">'5.1 DAF Vehicle Parc Input'!E27</f>
        <v>0</v>
      </c>
      <c r="H8" s="86"/>
      <c r="I8" s="86" t="n">
        <f aca="false">SUM(C8:G8)</f>
        <v>0</v>
      </c>
      <c r="J8" s="86"/>
      <c r="K8" s="666" t="n">
        <f aca="false">IF($I$14=0,0,I8/$I$14)</f>
        <v>0</v>
      </c>
    </row>
    <row r="9" customFormat="false" ht="13.15" hidden="false" customHeight="true" outlineLevel="0" collapsed="false">
      <c r="A9" s="52" t="s">
        <v>166</v>
      </c>
      <c r="B9" s="48"/>
      <c r="C9" s="665" t="n">
        <f aca="false">'5.1 DAF Vehicle Parc Input'!G28</f>
        <v>0</v>
      </c>
      <c r="D9" s="86"/>
      <c r="E9" s="665" t="n">
        <f aca="false">'5.1 DAF Vehicle Parc Input'!F28</f>
        <v>0</v>
      </c>
      <c r="F9" s="86"/>
      <c r="G9" s="665" t="n">
        <f aca="false">'5.1 DAF Vehicle Parc Input'!E28</f>
        <v>0</v>
      </c>
      <c r="H9" s="86"/>
      <c r="I9" s="86" t="n">
        <f aca="false">SUM(C9:G9)</f>
        <v>0</v>
      </c>
      <c r="J9" s="86"/>
      <c r="K9" s="666" t="n">
        <f aca="false">IF($I$14=0,0,I9/$I$14)</f>
        <v>0</v>
      </c>
    </row>
    <row r="10" customFormat="false" ht="13.15" hidden="false" customHeight="true" outlineLevel="0" collapsed="false">
      <c r="A10" s="52" t="s">
        <v>167</v>
      </c>
      <c r="B10" s="48"/>
      <c r="C10" s="665" t="n">
        <f aca="false">'5.1 DAF Vehicle Parc Input'!G29</f>
        <v>0</v>
      </c>
      <c r="D10" s="86"/>
      <c r="E10" s="665" t="n">
        <f aca="false">'5.1 DAF Vehicle Parc Input'!F29</f>
        <v>0</v>
      </c>
      <c r="F10" s="86"/>
      <c r="G10" s="665" t="n">
        <f aca="false">'5.1 DAF Vehicle Parc Input'!E29</f>
        <v>0</v>
      </c>
      <c r="H10" s="86"/>
      <c r="I10" s="86" t="n">
        <f aca="false">SUM(C10:G10)</f>
        <v>0</v>
      </c>
      <c r="J10" s="86"/>
      <c r="K10" s="666" t="n">
        <f aca="false">IF($I$14=0,0,I10/$I$14)</f>
        <v>0</v>
      </c>
    </row>
    <row r="11" customFormat="false" ht="13.15" hidden="false" customHeight="true" outlineLevel="0" collapsed="false">
      <c r="A11" s="52" t="s">
        <v>168</v>
      </c>
      <c r="B11" s="48"/>
      <c r="C11" s="665" t="n">
        <f aca="false">'5.1 DAF Vehicle Parc Input'!G30</f>
        <v>0</v>
      </c>
      <c r="D11" s="86"/>
      <c r="E11" s="665" t="n">
        <f aca="false">'5.1 DAF Vehicle Parc Input'!F30</f>
        <v>0</v>
      </c>
      <c r="F11" s="86"/>
      <c r="G11" s="665" t="n">
        <f aca="false">'5.1 DAF Vehicle Parc Input'!E30</f>
        <v>0</v>
      </c>
      <c r="H11" s="86"/>
      <c r="I11" s="86" t="n">
        <f aca="false">SUM(C11:G11)</f>
        <v>0</v>
      </c>
      <c r="J11" s="86"/>
      <c r="K11" s="666" t="n">
        <f aca="false">IF($I$14=0,0,I11/$I$14)</f>
        <v>0</v>
      </c>
    </row>
    <row r="12" customFormat="false" ht="13.15" hidden="false" customHeight="true" outlineLevel="0" collapsed="false">
      <c r="A12" s="52" t="s">
        <v>169</v>
      </c>
      <c r="B12" s="48"/>
      <c r="C12" s="665" t="n">
        <f aca="false">'5.1 DAF Vehicle Parc Input'!G31</f>
        <v>0</v>
      </c>
      <c r="D12" s="86"/>
      <c r="E12" s="665" t="n">
        <f aca="false">'5.1 DAF Vehicle Parc Input'!F31</f>
        <v>0</v>
      </c>
      <c r="F12" s="86"/>
      <c r="G12" s="665" t="n">
        <f aca="false">'5.1 DAF Vehicle Parc Input'!E31</f>
        <v>0</v>
      </c>
      <c r="H12" s="86"/>
      <c r="I12" s="86" t="n">
        <f aca="false">SUM(C12:G12)</f>
        <v>0</v>
      </c>
      <c r="J12" s="86"/>
      <c r="K12" s="666" t="n">
        <f aca="false">IF($I$14=0,0,I12/$I$14)</f>
        <v>0</v>
      </c>
    </row>
    <row r="13" customFormat="false" ht="13.15" hidden="false" customHeight="true" outlineLevel="0" collapsed="false">
      <c r="A13" s="52" t="s">
        <v>170</v>
      </c>
      <c r="B13" s="48"/>
      <c r="C13" s="667" t="n">
        <f aca="false">'5.1 DAF Vehicle Parc Input'!G33</f>
        <v>0</v>
      </c>
      <c r="D13" s="86"/>
      <c r="E13" s="667" t="n">
        <f aca="false">'5.1 DAF Vehicle Parc Input'!F33</f>
        <v>0</v>
      </c>
      <c r="F13" s="86"/>
      <c r="G13" s="667" t="n">
        <f aca="false">'5.1 DAF Vehicle Parc Input'!E33</f>
        <v>0</v>
      </c>
      <c r="H13" s="86"/>
      <c r="I13" s="83" t="n">
        <f aca="false">SUM(C13:G13)</f>
        <v>0</v>
      </c>
      <c r="J13" s="86"/>
      <c r="K13" s="666" t="n">
        <f aca="false">IF($I$14=0,0,I13/$I$14)</f>
        <v>0</v>
      </c>
    </row>
    <row r="14" customFormat="false" ht="13.15" hidden="false" customHeight="true" outlineLevel="0" collapsed="false">
      <c r="A14" s="82" t="s">
        <v>293</v>
      </c>
      <c r="B14" s="107"/>
      <c r="C14" s="107" t="n">
        <f aca="false">SUM(C8:C13)</f>
        <v>0</v>
      </c>
      <c r="D14" s="107"/>
      <c r="E14" s="107" t="n">
        <f aca="false">SUM(E8:E13)</f>
        <v>0</v>
      </c>
      <c r="F14" s="83"/>
      <c r="G14" s="107" t="n">
        <f aca="false">SUM(G8:G13)</f>
        <v>0</v>
      </c>
      <c r="H14" s="83"/>
      <c r="I14" s="107" t="n">
        <f aca="false">SUM(I8:I13)</f>
        <v>0</v>
      </c>
      <c r="J14" s="83"/>
      <c r="K14" s="668" t="n">
        <f aca="false">IF($I$14=0,0,I14/$I$14)</f>
        <v>0</v>
      </c>
    </row>
    <row r="15" customFormat="false" ht="13.15" hidden="false" customHeight="true" outlineLevel="0" collapsed="false">
      <c r="A15" s="48"/>
      <c r="B15" s="48"/>
      <c r="C15" s="48"/>
      <c r="D15" s="48"/>
      <c r="E15" s="48"/>
      <c r="F15" s="48"/>
      <c r="G15" s="48"/>
      <c r="H15" s="48"/>
      <c r="I15" s="48"/>
      <c r="J15" s="48"/>
      <c r="K15" s="48"/>
    </row>
    <row r="16" customFormat="false" ht="13.15" hidden="false" customHeight="true" outlineLevel="0" collapsed="false">
      <c r="A16" s="131" t="s">
        <v>439</v>
      </c>
      <c r="B16" s="276"/>
      <c r="C16" s="276"/>
      <c r="D16" s="276"/>
      <c r="E16" s="276"/>
      <c r="F16" s="276"/>
      <c r="G16" s="276"/>
      <c r="H16" s="276"/>
      <c r="I16" s="276"/>
      <c r="J16" s="276"/>
      <c r="K16" s="277"/>
    </row>
    <row r="17" customFormat="false" ht="13.15" hidden="false" customHeight="true" outlineLevel="0" collapsed="false">
      <c r="A17" s="261"/>
      <c r="B17" s="158"/>
      <c r="C17" s="158"/>
      <c r="D17" s="158"/>
      <c r="E17" s="158"/>
      <c r="F17" s="158"/>
      <c r="G17" s="158"/>
      <c r="H17" s="158"/>
      <c r="I17" s="158"/>
      <c r="J17" s="158"/>
      <c r="K17" s="167"/>
    </row>
    <row r="18" customFormat="false" ht="13.15" hidden="false" customHeight="true" outlineLevel="0" collapsed="false">
      <c r="A18" s="262"/>
      <c r="B18" s="73"/>
      <c r="C18" s="73"/>
      <c r="D18" s="73"/>
      <c r="E18" s="73"/>
      <c r="F18" s="73"/>
      <c r="G18" s="73"/>
      <c r="H18" s="73"/>
      <c r="I18" s="73"/>
      <c r="J18" s="73"/>
      <c r="K18" s="263"/>
    </row>
    <row r="19" customFormat="false" ht="13.15" hidden="false" customHeight="true" outlineLevel="0" collapsed="false">
      <c r="A19" s="262"/>
      <c r="B19" s="73"/>
      <c r="C19" s="73"/>
      <c r="D19" s="73"/>
      <c r="E19" s="73"/>
      <c r="F19" s="73"/>
      <c r="G19" s="73"/>
      <c r="H19" s="73"/>
      <c r="I19" s="73"/>
      <c r="J19" s="73"/>
      <c r="K19" s="263"/>
    </row>
    <row r="20" customFormat="false" ht="13.15" hidden="false" customHeight="true" outlineLevel="0" collapsed="false">
      <c r="A20" s="266"/>
      <c r="B20" s="161"/>
      <c r="C20" s="161"/>
      <c r="D20" s="161"/>
      <c r="E20" s="161"/>
      <c r="F20" s="161"/>
      <c r="G20" s="161"/>
      <c r="H20" s="161"/>
      <c r="I20" s="161"/>
      <c r="J20" s="161"/>
      <c r="K20" s="267"/>
    </row>
    <row r="21" customFormat="false" ht="13.15" hidden="false" customHeight="true" outlineLevel="0" collapsed="false">
      <c r="Q21" s="669"/>
    </row>
    <row r="22" customFormat="false" ht="13.15" hidden="false" customHeight="true" outlineLevel="0" collapsed="false">
      <c r="A22" s="131" t="s">
        <v>440</v>
      </c>
      <c r="B22" s="132"/>
      <c r="C22" s="132"/>
      <c r="D22" s="132"/>
      <c r="E22" s="132"/>
      <c r="F22" s="132"/>
      <c r="G22" s="132"/>
      <c r="H22" s="132"/>
      <c r="I22" s="132"/>
      <c r="J22" s="132"/>
      <c r="K22" s="133"/>
    </row>
    <row r="23" customFormat="false" ht="13.15" hidden="false" customHeight="true" outlineLevel="0" collapsed="false">
      <c r="A23" s="261"/>
      <c r="B23" s="158"/>
      <c r="C23" s="158"/>
      <c r="D23" s="158"/>
      <c r="E23" s="158"/>
      <c r="F23" s="158"/>
      <c r="G23" s="158"/>
      <c r="H23" s="158"/>
      <c r="I23" s="158"/>
      <c r="J23" s="158"/>
      <c r="K23" s="167"/>
    </row>
    <row r="24" customFormat="false" ht="13.15" hidden="false" customHeight="true" outlineLevel="0" collapsed="false">
      <c r="A24" s="262"/>
      <c r="B24" s="73"/>
      <c r="C24" s="73"/>
      <c r="D24" s="73"/>
      <c r="E24" s="73"/>
      <c r="F24" s="73"/>
      <c r="G24" s="73"/>
      <c r="H24" s="73"/>
      <c r="I24" s="73"/>
      <c r="J24" s="73"/>
      <c r="K24" s="263"/>
    </row>
    <row r="25" customFormat="false" ht="13.15" hidden="false" customHeight="true" outlineLevel="0" collapsed="false">
      <c r="A25" s="262"/>
      <c r="B25" s="73"/>
      <c r="C25" s="73"/>
      <c r="D25" s="73"/>
      <c r="E25" s="73"/>
      <c r="F25" s="73"/>
      <c r="G25" s="73"/>
      <c r="H25" s="73"/>
      <c r="I25" s="73"/>
      <c r="J25" s="73"/>
      <c r="K25" s="263"/>
    </row>
    <row r="26" customFormat="false" ht="13.15" hidden="false" customHeight="true" outlineLevel="0" collapsed="false">
      <c r="A26" s="266"/>
      <c r="B26" s="161"/>
      <c r="C26" s="161"/>
      <c r="D26" s="161"/>
      <c r="E26" s="161"/>
      <c r="F26" s="161"/>
      <c r="G26" s="161"/>
      <c r="H26" s="161"/>
      <c r="I26" s="161"/>
      <c r="J26" s="161"/>
      <c r="K26" s="267"/>
    </row>
    <row r="27" customFormat="false" ht="13.15" hidden="false" customHeight="true" outlineLevel="0" collapsed="false"/>
    <row r="28" customFormat="false" ht="13.15" hidden="false" customHeight="true" outlineLevel="0" collapsed="false">
      <c r="A28" s="131" t="s">
        <v>441</v>
      </c>
      <c r="B28" s="132"/>
      <c r="C28" s="132"/>
      <c r="D28" s="132"/>
      <c r="E28" s="132"/>
      <c r="F28" s="132"/>
      <c r="G28" s="132"/>
      <c r="H28" s="132"/>
      <c r="I28" s="132"/>
      <c r="J28" s="132"/>
      <c r="K28" s="133"/>
    </row>
    <row r="29" customFormat="false" ht="13.15" hidden="false" customHeight="true" outlineLevel="0" collapsed="false">
      <c r="A29" s="261"/>
      <c r="B29" s="158"/>
      <c r="C29" s="158"/>
      <c r="D29" s="158"/>
      <c r="E29" s="158"/>
      <c r="F29" s="158"/>
      <c r="G29" s="158"/>
      <c r="H29" s="158"/>
      <c r="I29" s="158"/>
      <c r="J29" s="158"/>
      <c r="K29" s="167"/>
    </row>
    <row r="30" customFormat="false" ht="13.15" hidden="false" customHeight="true" outlineLevel="0" collapsed="false">
      <c r="A30" s="262"/>
      <c r="B30" s="73"/>
      <c r="C30" s="73"/>
      <c r="D30" s="73"/>
      <c r="E30" s="73"/>
      <c r="F30" s="73"/>
      <c r="G30" s="73"/>
      <c r="H30" s="73"/>
      <c r="I30" s="73"/>
      <c r="J30" s="73"/>
      <c r="K30" s="263"/>
    </row>
    <row r="31" customFormat="false" ht="13.15" hidden="false" customHeight="true" outlineLevel="0" collapsed="false">
      <c r="A31" s="262"/>
      <c r="B31" s="73"/>
      <c r="C31" s="73"/>
      <c r="D31" s="73"/>
      <c r="E31" s="73"/>
      <c r="F31" s="73"/>
      <c r="G31" s="73"/>
      <c r="H31" s="73"/>
      <c r="I31" s="73"/>
      <c r="J31" s="73"/>
      <c r="K31" s="263"/>
    </row>
    <row r="32" customFormat="false" ht="13.15" hidden="false" customHeight="true" outlineLevel="0" collapsed="false">
      <c r="A32" s="266"/>
      <c r="B32" s="161"/>
      <c r="C32" s="161"/>
      <c r="D32" s="161"/>
      <c r="E32" s="161"/>
      <c r="F32" s="161"/>
      <c r="G32" s="161"/>
      <c r="H32" s="161"/>
      <c r="I32" s="161"/>
      <c r="J32" s="161"/>
      <c r="K32" s="267"/>
    </row>
    <row r="33" customFormat="false" ht="15" hidden="false" customHeight="false" outlineLevel="0" collapsed="false"/>
    <row r="34" s="87" customFormat="true" ht="15" hidden="false" customHeight="false" outlineLevel="0" collapsed="false">
      <c r="A34" s="131" t="s">
        <v>442</v>
      </c>
      <c r="B34" s="132"/>
      <c r="C34" s="132"/>
      <c r="D34" s="132"/>
      <c r="E34" s="132"/>
      <c r="F34" s="132"/>
      <c r="G34" s="132"/>
      <c r="H34" s="132"/>
      <c r="I34" s="132"/>
      <c r="J34" s="132"/>
      <c r="K34" s="133"/>
      <c r="L34" s="22"/>
    </row>
    <row r="35" s="87" customFormat="true" ht="15" hidden="false" customHeight="false" outlineLevel="0" collapsed="false">
      <c r="A35" s="261"/>
      <c r="B35" s="158"/>
      <c r="C35" s="158"/>
      <c r="D35" s="158"/>
      <c r="E35" s="158"/>
      <c r="F35" s="158"/>
      <c r="G35" s="158"/>
      <c r="H35" s="158"/>
      <c r="I35" s="158"/>
      <c r="J35" s="158"/>
      <c r="K35" s="167"/>
      <c r="L35" s="22"/>
    </row>
    <row r="36" s="87" customFormat="true" ht="15" hidden="false" customHeight="false" outlineLevel="0" collapsed="false">
      <c r="A36" s="262"/>
      <c r="B36" s="73"/>
      <c r="C36" s="73"/>
      <c r="D36" s="73"/>
      <c r="E36" s="73"/>
      <c r="F36" s="73"/>
      <c r="G36" s="73"/>
      <c r="H36" s="73"/>
      <c r="I36" s="73"/>
      <c r="J36" s="73"/>
      <c r="K36" s="263"/>
      <c r="L36" s="22"/>
    </row>
    <row r="37" s="87" customFormat="true" ht="15" hidden="false" customHeight="false" outlineLevel="0" collapsed="false">
      <c r="A37" s="262"/>
      <c r="B37" s="73"/>
      <c r="C37" s="73"/>
      <c r="D37" s="73"/>
      <c r="E37" s="73"/>
      <c r="F37" s="73"/>
      <c r="G37" s="73"/>
      <c r="H37" s="73"/>
      <c r="I37" s="73"/>
      <c r="J37" s="73"/>
      <c r="K37" s="263"/>
      <c r="L37" s="22"/>
    </row>
    <row r="38" s="87" customFormat="true" ht="15" hidden="false" customHeight="false" outlineLevel="0" collapsed="false">
      <c r="A38" s="266"/>
      <c r="B38" s="161"/>
      <c r="C38" s="161"/>
      <c r="D38" s="161"/>
      <c r="E38" s="161"/>
      <c r="F38" s="161"/>
      <c r="G38" s="161"/>
      <c r="H38" s="161"/>
      <c r="I38" s="161"/>
      <c r="J38" s="161"/>
      <c r="K38" s="267"/>
      <c r="L38" s="22"/>
    </row>
    <row r="39" s="87" customFormat="true" ht="15" hidden="false" customHeight="false" outlineLevel="0" collapsed="false">
      <c r="A39" s="86"/>
      <c r="B39" s="86"/>
      <c r="C39" s="86"/>
      <c r="D39" s="86"/>
      <c r="E39" s="86"/>
      <c r="F39" s="86"/>
      <c r="G39" s="86"/>
      <c r="H39" s="86"/>
      <c r="I39" s="86"/>
      <c r="J39" s="86"/>
      <c r="K39" s="86"/>
      <c r="L39" s="22"/>
    </row>
    <row r="40" s="87" customFormat="true" ht="15" hidden="false" customHeight="false" outlineLevel="0" collapsed="false">
      <c r="A40" s="131" t="s">
        <v>443</v>
      </c>
      <c r="B40" s="132"/>
      <c r="C40" s="132"/>
      <c r="D40" s="132"/>
      <c r="E40" s="132"/>
      <c r="F40" s="132"/>
      <c r="G40" s="132"/>
      <c r="H40" s="132"/>
      <c r="I40" s="132"/>
      <c r="J40" s="132"/>
      <c r="K40" s="133"/>
      <c r="L40" s="22"/>
    </row>
    <row r="41" s="87" customFormat="true" ht="15" hidden="false" customHeight="false" outlineLevel="0" collapsed="false">
      <c r="A41" s="261"/>
      <c r="B41" s="158"/>
      <c r="C41" s="158"/>
      <c r="D41" s="158"/>
      <c r="E41" s="158"/>
      <c r="F41" s="158"/>
      <c r="G41" s="158"/>
      <c r="H41" s="158"/>
      <c r="I41" s="158"/>
      <c r="J41" s="158"/>
      <c r="K41" s="167"/>
      <c r="L41" s="22"/>
    </row>
    <row r="42" s="87" customFormat="true" ht="15" hidden="false" customHeight="false" outlineLevel="0" collapsed="false">
      <c r="A42" s="262"/>
      <c r="B42" s="73"/>
      <c r="C42" s="73"/>
      <c r="D42" s="73"/>
      <c r="E42" s="73"/>
      <c r="F42" s="73"/>
      <c r="G42" s="73"/>
      <c r="H42" s="73"/>
      <c r="I42" s="73"/>
      <c r="J42" s="73"/>
      <c r="K42" s="263"/>
      <c r="L42" s="22"/>
    </row>
    <row r="43" s="87" customFormat="true" ht="15" hidden="false" customHeight="false" outlineLevel="0" collapsed="false">
      <c r="A43" s="262"/>
      <c r="B43" s="73"/>
      <c r="C43" s="73"/>
      <c r="D43" s="73"/>
      <c r="E43" s="73"/>
      <c r="F43" s="73"/>
      <c r="G43" s="73"/>
      <c r="H43" s="73"/>
      <c r="I43" s="73"/>
      <c r="J43" s="73"/>
      <c r="K43" s="263"/>
      <c r="L43" s="22"/>
    </row>
    <row r="44" s="87" customFormat="true" ht="15" hidden="false" customHeight="false" outlineLevel="0" collapsed="false">
      <c r="A44" s="266"/>
      <c r="B44" s="161"/>
      <c r="C44" s="161"/>
      <c r="D44" s="161"/>
      <c r="E44" s="161"/>
      <c r="F44" s="161"/>
      <c r="G44" s="161"/>
      <c r="H44" s="161"/>
      <c r="I44" s="161"/>
      <c r="J44" s="161"/>
      <c r="K44" s="267" t="s">
        <v>444</v>
      </c>
      <c r="L44" s="22"/>
    </row>
    <row r="45" s="87" customFormat="true" ht="15" hidden="false" customHeight="false" outlineLevel="0" collapsed="false">
      <c r="A45" s="585"/>
      <c r="B45" s="268"/>
      <c r="C45" s="268"/>
      <c r="D45" s="268"/>
      <c r="E45" s="268"/>
      <c r="F45" s="268"/>
      <c r="G45" s="268"/>
      <c r="H45" s="268"/>
      <c r="I45" s="268"/>
      <c r="J45" s="268"/>
      <c r="K45" s="585"/>
      <c r="L45" s="22"/>
    </row>
    <row r="46" customFormat="false" ht="15" hidden="false" customHeight="false" outlineLevel="0" collapsed="false">
      <c r="A46" s="131" t="s">
        <v>445</v>
      </c>
      <c r="B46" s="276"/>
      <c r="C46" s="276"/>
      <c r="D46" s="276"/>
      <c r="E46" s="276"/>
      <c r="F46" s="276"/>
      <c r="G46" s="276"/>
      <c r="H46" s="276"/>
      <c r="I46" s="276"/>
      <c r="J46" s="276"/>
      <c r="K46" s="277"/>
    </row>
    <row r="47" customFormat="false" ht="15" hidden="false" customHeight="false" outlineLevel="0" collapsed="false">
      <c r="A47" s="261"/>
      <c r="B47" s="158"/>
      <c r="C47" s="158"/>
      <c r="D47" s="158"/>
      <c r="E47" s="158"/>
      <c r="F47" s="158"/>
      <c r="G47" s="158"/>
      <c r="H47" s="158"/>
      <c r="I47" s="158"/>
      <c r="J47" s="158"/>
      <c r="K47" s="167"/>
    </row>
    <row r="48" customFormat="false" ht="15" hidden="false" customHeight="false" outlineLevel="0" collapsed="false">
      <c r="A48" s="262"/>
      <c r="B48" s="73"/>
      <c r="C48" s="73"/>
      <c r="D48" s="73"/>
      <c r="E48" s="73"/>
      <c r="F48" s="73"/>
      <c r="G48" s="73"/>
      <c r="H48" s="73"/>
      <c r="I48" s="73"/>
      <c r="J48" s="73"/>
      <c r="K48" s="263"/>
    </row>
    <row r="49" customFormat="false" ht="15" hidden="false" customHeight="false" outlineLevel="0" collapsed="false">
      <c r="A49" s="262"/>
      <c r="B49" s="73"/>
      <c r="C49" s="73"/>
      <c r="D49" s="73"/>
      <c r="E49" s="73"/>
      <c r="F49" s="73"/>
      <c r="G49" s="73"/>
      <c r="H49" s="73"/>
      <c r="I49" s="73"/>
      <c r="J49" s="73"/>
      <c r="K49" s="263"/>
    </row>
    <row r="50" customFormat="false" ht="15" hidden="false" customHeight="false" outlineLevel="0" collapsed="false">
      <c r="A50" s="266"/>
      <c r="B50" s="161"/>
      <c r="C50" s="161"/>
      <c r="D50" s="161"/>
      <c r="E50" s="161"/>
      <c r="F50" s="161"/>
      <c r="G50" s="161"/>
      <c r="H50" s="161"/>
      <c r="I50" s="161"/>
      <c r="J50" s="161"/>
      <c r="K50" s="267"/>
    </row>
    <row r="51" customFormat="false" ht="15" hidden="false" customHeight="false" outlineLevel="0" collapsed="false"/>
    <row r="52" customFormat="false" ht="15" hidden="false" customHeight="false" outlineLevel="0" collapsed="false">
      <c r="A52" s="131" t="s">
        <v>446</v>
      </c>
      <c r="B52" s="276"/>
      <c r="C52" s="276"/>
      <c r="D52" s="276"/>
      <c r="E52" s="276"/>
      <c r="F52" s="276"/>
      <c r="G52" s="276"/>
      <c r="H52" s="276"/>
      <c r="I52" s="276"/>
      <c r="J52" s="276"/>
      <c r="K52" s="277"/>
    </row>
    <row r="53" customFormat="false" ht="15" hidden="false" customHeight="false" outlineLevel="0" collapsed="false">
      <c r="A53" s="261"/>
      <c r="B53" s="158"/>
      <c r="C53" s="158"/>
      <c r="D53" s="158"/>
      <c r="E53" s="158"/>
      <c r="F53" s="158"/>
      <c r="G53" s="158"/>
      <c r="H53" s="158"/>
      <c r="I53" s="158"/>
      <c r="J53" s="158"/>
      <c r="K53" s="167"/>
    </row>
    <row r="54" customFormat="false" ht="15" hidden="true" customHeight="false" outlineLevel="0" collapsed="false">
      <c r="A54" s="262"/>
      <c r="B54" s="73"/>
      <c r="C54" s="73"/>
      <c r="D54" s="73"/>
      <c r="E54" s="73"/>
      <c r="F54" s="73"/>
      <c r="G54" s="73"/>
      <c r="H54" s="73"/>
      <c r="I54" s="73"/>
      <c r="J54" s="73"/>
      <c r="K54" s="263"/>
    </row>
    <row r="55" customFormat="false" ht="15" hidden="true" customHeight="false" outlineLevel="0" collapsed="false">
      <c r="A55" s="262"/>
      <c r="B55" s="73"/>
      <c r="C55" s="73"/>
      <c r="D55" s="73"/>
      <c r="E55" s="73"/>
      <c r="F55" s="73"/>
      <c r="G55" s="73"/>
      <c r="H55" s="73"/>
      <c r="I55" s="73"/>
      <c r="J55" s="73"/>
      <c r="K55" s="263"/>
    </row>
    <row r="56" customFormat="false" ht="15" hidden="true" customHeight="false" outlineLevel="0" collapsed="false">
      <c r="A56" s="266"/>
      <c r="B56" s="161"/>
      <c r="C56" s="161"/>
      <c r="D56" s="161"/>
      <c r="E56" s="161"/>
      <c r="F56" s="161"/>
      <c r="G56" s="161"/>
      <c r="H56" s="161"/>
      <c r="I56" s="161"/>
      <c r="J56" s="161"/>
      <c r="K56" s="267"/>
    </row>
    <row r="58" s="281" customFormat="true" ht="15" hidden="true" customHeight="false" outlineLevel="0" collapsed="false">
      <c r="A58" s="131" t="s">
        <v>447</v>
      </c>
      <c r="B58" s="132"/>
      <c r="C58" s="132"/>
      <c r="D58" s="132"/>
      <c r="E58" s="132"/>
      <c r="F58" s="132"/>
      <c r="G58" s="132"/>
      <c r="H58" s="132"/>
      <c r="I58" s="132"/>
      <c r="J58" s="132"/>
      <c r="K58" s="133"/>
      <c r="L58" s="22"/>
    </row>
    <row r="59" customFormat="false" ht="15" hidden="true" customHeight="false" outlineLevel="0" collapsed="false">
      <c r="A59" s="261"/>
      <c r="B59" s="158"/>
      <c r="C59" s="158"/>
      <c r="D59" s="158"/>
      <c r="E59" s="158"/>
      <c r="F59" s="158"/>
      <c r="G59" s="158"/>
      <c r="H59" s="158"/>
      <c r="I59" s="158"/>
      <c r="J59" s="158"/>
      <c r="K59" s="167"/>
    </row>
    <row r="60" customFormat="false" ht="15" hidden="true" customHeight="false" outlineLevel="0" collapsed="false">
      <c r="A60" s="266"/>
      <c r="B60" s="161"/>
      <c r="C60" s="161"/>
      <c r="D60" s="161"/>
      <c r="E60" s="161"/>
      <c r="F60" s="161"/>
      <c r="G60" s="161"/>
      <c r="H60" s="161"/>
      <c r="I60" s="161"/>
      <c r="J60" s="161"/>
      <c r="K60" s="267"/>
    </row>
    <row r="64" customFormat="false" ht="15" hidden="false" customHeight="false" outlineLevel="0" collapsed="false"/>
    <row r="65"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6.xml><?xml version="1.0" encoding="utf-8"?>
<worksheet xmlns="http://schemas.openxmlformats.org/spreadsheetml/2006/main" xmlns:r="http://schemas.openxmlformats.org/officeDocument/2006/relationships">
  <sheetPr filterMode="false">
    <tabColor rgb="FF969696"/>
    <pageSetUpPr fitToPage="true"/>
  </sheetPr>
  <dimension ref="A1:W6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8" activeCellId="0" sqref="C8"/>
    </sheetView>
  </sheetViews>
  <sheetFormatPr defaultRowHeight="15" zeroHeight="true" outlineLevelRow="0" outlineLevelCol="0"/>
  <cols>
    <col collapsed="false" customWidth="true" hidden="false" outlineLevel="0" max="1" min="1" style="52" width="14.7"/>
    <col collapsed="false" customWidth="true" hidden="false" outlineLevel="0" max="10" min="2" style="48" width="14.7"/>
    <col collapsed="false" customWidth="true" hidden="false" outlineLevel="0" max="11" min="11" style="670" width="9.14"/>
    <col collapsed="false" customWidth="true" hidden="false" outlineLevel="0" max="12" min="12" style="16" width="1.14"/>
    <col collapsed="false" customWidth="true" hidden="true" outlineLevel="0" max="23" min="13" style="318" width="9.14"/>
    <col collapsed="false" customWidth="true" hidden="true" outlineLevel="0" max="1025" min="24" style="48" width="9.14"/>
  </cols>
  <sheetData>
    <row r="1" s="673" customFormat="true" ht="28.5" hidden="false" customHeight="false" outlineLevel="0" collapsed="false">
      <c r="A1" s="113" t="str">
        <f aca="false">'6.0 New Truck Sales'!A1</f>
        <v>Strategy and Implementation</v>
      </c>
      <c r="B1" s="114"/>
      <c r="C1" s="114"/>
      <c r="D1" s="114"/>
      <c r="E1" s="114"/>
      <c r="F1" s="114"/>
      <c r="G1" s="114"/>
      <c r="H1" s="114"/>
      <c r="I1" s="114"/>
      <c r="J1" s="114"/>
      <c r="K1" s="115" t="s">
        <v>448</v>
      </c>
      <c r="L1" s="671"/>
      <c r="M1" s="672"/>
      <c r="N1" s="672"/>
      <c r="O1" s="672"/>
      <c r="P1" s="672"/>
      <c r="Q1" s="672"/>
      <c r="R1" s="672"/>
      <c r="S1" s="672"/>
      <c r="T1" s="672"/>
      <c r="U1" s="672"/>
      <c r="V1" s="672"/>
      <c r="W1" s="672"/>
    </row>
    <row r="2" s="250" customFormat="true" ht="13.15" hidden="false" customHeight="true" outlineLevel="0" collapsed="false">
      <c r="A2" s="52"/>
      <c r="B2" s="116"/>
      <c r="C2" s="117"/>
      <c r="D2" s="86"/>
      <c r="E2" s="118"/>
      <c r="F2" s="48"/>
      <c r="G2" s="48"/>
      <c r="H2" s="119"/>
      <c r="I2" s="86"/>
      <c r="J2" s="86"/>
      <c r="K2" s="674"/>
      <c r="L2" s="675"/>
      <c r="M2" s="676"/>
      <c r="N2" s="676"/>
      <c r="O2" s="676"/>
      <c r="P2" s="676"/>
      <c r="Q2" s="676"/>
      <c r="R2" s="676"/>
      <c r="S2" s="676"/>
      <c r="T2" s="676"/>
      <c r="U2" s="676"/>
      <c r="V2" s="676"/>
      <c r="W2" s="676"/>
    </row>
    <row r="3" customFormat="false" ht="15" hidden="false" customHeight="false" outlineLevel="0" collapsed="false">
      <c r="A3" s="52" t="s">
        <v>103</v>
      </c>
      <c r="B3" s="116"/>
      <c r="C3" s="67" t="str">
        <f aca="false">'Reference sheet'!C12</f>
        <v>TEST</v>
      </c>
      <c r="D3" s="86"/>
      <c r="E3" s="118"/>
      <c r="G3" s="121" t="s">
        <v>49</v>
      </c>
      <c r="H3" s="123" t="str">
        <f aca="false">'Reference sheet'!C17</f>
        <v>July</v>
      </c>
      <c r="I3" s="123" t="n">
        <f aca="false">'Reference sheet'!D17</f>
        <v>2018</v>
      </c>
      <c r="J3" s="121" t="s">
        <v>46</v>
      </c>
      <c r="K3" s="677" t="n">
        <f aca="false">'Reference sheet'!C15</f>
        <v>1</v>
      </c>
    </row>
    <row r="4" customFormat="false" ht="15" hidden="false" customHeight="false" outlineLevel="0" collapsed="false">
      <c r="A4" s="82"/>
      <c r="B4" s="126"/>
      <c r="C4" s="107"/>
      <c r="D4" s="107"/>
      <c r="E4" s="107"/>
      <c r="F4" s="107"/>
      <c r="G4" s="127"/>
      <c r="H4" s="107"/>
      <c r="I4" s="107"/>
      <c r="J4" s="107"/>
      <c r="K4" s="678"/>
    </row>
    <row r="5" customFormat="false" ht="13.15" hidden="false" customHeight="true" outlineLevel="0" collapsed="false">
      <c r="A5" s="314"/>
    </row>
    <row r="6" customFormat="false" ht="13.15" hidden="false" customHeight="true" outlineLevel="0" collapsed="false">
      <c r="A6" s="131" t="s">
        <v>449</v>
      </c>
      <c r="B6" s="276"/>
      <c r="C6" s="276"/>
      <c r="D6" s="276"/>
      <c r="E6" s="276"/>
      <c r="F6" s="276"/>
      <c r="G6" s="276"/>
      <c r="H6" s="276"/>
      <c r="I6" s="276"/>
      <c r="J6" s="276"/>
      <c r="K6" s="679"/>
    </row>
    <row r="7" customFormat="false" ht="13.15" hidden="false" customHeight="true" outlineLevel="0" collapsed="false">
      <c r="A7" s="506"/>
      <c r="B7" s="257"/>
      <c r="C7" s="257" t="n">
        <f aca="false">E7-1</f>
        <v>2015</v>
      </c>
      <c r="D7" s="257"/>
      <c r="E7" s="257" t="n">
        <f aca="false">G7-1</f>
        <v>2016</v>
      </c>
      <c r="F7" s="257"/>
      <c r="G7" s="257" t="n">
        <f aca="false">'6.0 New Truck Sales'!G7-1</f>
        <v>2017</v>
      </c>
      <c r="H7" s="257"/>
      <c r="I7" s="663" t="s">
        <v>293</v>
      </c>
      <c r="J7" s="257"/>
      <c r="K7" s="680"/>
    </row>
    <row r="8" customFormat="false" ht="13.15" hidden="false" customHeight="true" outlineLevel="0" collapsed="false">
      <c r="A8" s="52" t="s">
        <v>293</v>
      </c>
      <c r="C8" s="681" t="n">
        <f aca="false">'5.1 DAF Vehicle Parc Input'!E43</f>
        <v>0</v>
      </c>
      <c r="E8" s="681" t="n">
        <f aca="false">'5.1 DAF Vehicle Parc Input'!G43</f>
        <v>0</v>
      </c>
      <c r="F8" s="86"/>
      <c r="G8" s="681" t="n">
        <f aca="false">'5.1 DAF Vehicle Parc Input'!I43</f>
        <v>0</v>
      </c>
      <c r="H8" s="86"/>
      <c r="I8" s="682" t="n">
        <f aca="false">SUM(C8:G8)</f>
        <v>0</v>
      </c>
      <c r="J8" s="86"/>
    </row>
    <row r="9" customFormat="false" ht="13.15" hidden="false" customHeight="true" outlineLevel="0" collapsed="false">
      <c r="A9" s="82"/>
      <c r="B9" s="107"/>
      <c r="C9" s="107"/>
      <c r="D9" s="107"/>
      <c r="E9" s="107"/>
      <c r="F9" s="107"/>
      <c r="G9" s="107"/>
      <c r="H9" s="107"/>
      <c r="I9" s="107"/>
      <c r="J9" s="107"/>
      <c r="K9" s="683"/>
    </row>
    <row r="10" customFormat="false" ht="13.15" hidden="false" customHeight="true" outlineLevel="0" collapsed="false">
      <c r="A10" s="314"/>
      <c r="K10" s="314"/>
    </row>
    <row r="11" customFormat="false" ht="13.15" hidden="false" customHeight="true" outlineLevel="0" collapsed="false">
      <c r="A11" s="131" t="s">
        <v>450</v>
      </c>
      <c r="B11" s="276"/>
      <c r="C11" s="276"/>
      <c r="D11" s="276"/>
      <c r="E11" s="276"/>
      <c r="F11" s="276"/>
      <c r="G11" s="276"/>
      <c r="H11" s="276"/>
      <c r="I11" s="276"/>
      <c r="J11" s="276"/>
      <c r="K11" s="679"/>
    </row>
    <row r="12" customFormat="false" ht="13.15" hidden="false" customHeight="true" outlineLevel="0" collapsed="false">
      <c r="A12" s="261"/>
      <c r="B12" s="158"/>
      <c r="C12" s="158"/>
      <c r="D12" s="158"/>
      <c r="E12" s="158"/>
      <c r="F12" s="158"/>
      <c r="G12" s="158"/>
      <c r="H12" s="158"/>
      <c r="I12" s="158"/>
      <c r="J12" s="158"/>
      <c r="K12" s="684"/>
    </row>
    <row r="13" customFormat="false" ht="13.15" hidden="false" customHeight="true" outlineLevel="0" collapsed="false">
      <c r="A13" s="262"/>
      <c r="B13" s="73"/>
      <c r="C13" s="73"/>
      <c r="D13" s="73"/>
      <c r="E13" s="73"/>
      <c r="F13" s="73"/>
      <c r="G13" s="73"/>
      <c r="H13" s="73"/>
      <c r="I13" s="73"/>
      <c r="J13" s="73"/>
      <c r="K13" s="685"/>
    </row>
    <row r="14" customFormat="false" ht="13.15" hidden="false" customHeight="true" outlineLevel="0" collapsed="false">
      <c r="A14" s="262"/>
      <c r="B14" s="73"/>
      <c r="C14" s="73"/>
      <c r="D14" s="73"/>
      <c r="E14" s="73"/>
      <c r="F14" s="73"/>
      <c r="G14" s="73"/>
      <c r="H14" s="73"/>
      <c r="I14" s="73"/>
      <c r="J14" s="73"/>
      <c r="K14" s="685"/>
    </row>
    <row r="15" customFormat="false" ht="13.15" hidden="false" customHeight="true" outlineLevel="0" collapsed="false">
      <c r="A15" s="262"/>
      <c r="B15" s="73"/>
      <c r="C15" s="73"/>
      <c r="D15" s="73"/>
      <c r="E15" s="73"/>
      <c r="F15" s="73"/>
      <c r="G15" s="73"/>
      <c r="H15" s="73"/>
      <c r="I15" s="73"/>
      <c r="J15" s="73"/>
      <c r="K15" s="685"/>
    </row>
    <row r="16" customFormat="false" ht="13.15" hidden="false" customHeight="true" outlineLevel="0" collapsed="false">
      <c r="A16" s="262"/>
      <c r="B16" s="73"/>
      <c r="C16" s="73"/>
      <c r="D16" s="73"/>
      <c r="E16" s="73"/>
      <c r="F16" s="73"/>
      <c r="G16" s="73"/>
      <c r="H16" s="73"/>
      <c r="I16" s="73"/>
      <c r="J16" s="73"/>
      <c r="K16" s="685"/>
    </row>
    <row r="17" customFormat="false" ht="13.15" hidden="false" customHeight="true" outlineLevel="0" collapsed="false">
      <c r="A17" s="266"/>
      <c r="B17" s="161"/>
      <c r="C17" s="161"/>
      <c r="D17" s="161"/>
      <c r="E17" s="161"/>
      <c r="F17" s="161"/>
      <c r="G17" s="161"/>
      <c r="H17" s="161"/>
      <c r="I17" s="161"/>
      <c r="J17" s="161"/>
      <c r="K17" s="686"/>
    </row>
    <row r="18" customFormat="false" ht="13.15" hidden="false" customHeight="true" outlineLevel="0" collapsed="false">
      <c r="A18" s="314"/>
      <c r="K18" s="314"/>
    </row>
    <row r="19" customFormat="false" ht="13.15" hidden="false" customHeight="true" outlineLevel="0" collapsed="false">
      <c r="A19" s="131" t="s">
        <v>440</v>
      </c>
      <c r="B19" s="132"/>
      <c r="C19" s="132"/>
      <c r="D19" s="132"/>
      <c r="E19" s="132"/>
      <c r="F19" s="132"/>
      <c r="G19" s="132"/>
      <c r="H19" s="132"/>
      <c r="I19" s="132"/>
      <c r="J19" s="132"/>
      <c r="K19" s="687"/>
    </row>
    <row r="20" customFormat="false" ht="13.15" hidden="false" customHeight="true" outlineLevel="0" collapsed="false">
      <c r="A20" s="261"/>
      <c r="B20" s="158"/>
      <c r="C20" s="158"/>
      <c r="D20" s="158"/>
      <c r="E20" s="158"/>
      <c r="F20" s="158"/>
      <c r="G20" s="158"/>
      <c r="H20" s="158"/>
      <c r="I20" s="158"/>
      <c r="J20" s="158"/>
      <c r="K20" s="684"/>
    </row>
    <row r="21" customFormat="false" ht="13.15" hidden="false" customHeight="true" outlineLevel="0" collapsed="false">
      <c r="A21" s="262"/>
      <c r="B21" s="73"/>
      <c r="C21" s="73"/>
      <c r="D21" s="73"/>
      <c r="E21" s="73"/>
      <c r="F21" s="73"/>
      <c r="G21" s="73"/>
      <c r="H21" s="73"/>
      <c r="I21" s="73"/>
      <c r="J21" s="73"/>
      <c r="K21" s="685"/>
    </row>
    <row r="22" customFormat="false" ht="13.15" hidden="false" customHeight="true" outlineLevel="0" collapsed="false">
      <c r="A22" s="262"/>
      <c r="B22" s="73"/>
      <c r="C22" s="73"/>
      <c r="D22" s="73"/>
      <c r="E22" s="73"/>
      <c r="F22" s="73"/>
      <c r="G22" s="73"/>
      <c r="H22" s="73"/>
      <c r="I22" s="73"/>
      <c r="J22" s="73"/>
      <c r="K22" s="685"/>
    </row>
    <row r="23" customFormat="false" ht="15" hidden="false" customHeight="false" outlineLevel="0" collapsed="false">
      <c r="A23" s="266"/>
      <c r="B23" s="161"/>
      <c r="C23" s="161"/>
      <c r="D23" s="161"/>
      <c r="E23" s="161"/>
      <c r="F23" s="161"/>
      <c r="G23" s="161"/>
      <c r="H23" s="161"/>
      <c r="I23" s="161"/>
      <c r="J23" s="161"/>
      <c r="K23" s="686"/>
    </row>
    <row r="24" customFormat="false" ht="15" hidden="false" customHeight="false" outlineLevel="0" collapsed="false">
      <c r="A24" s="314"/>
      <c r="K24" s="314"/>
    </row>
    <row r="25" customFormat="false" ht="15" hidden="false" customHeight="false" outlineLevel="0" collapsed="false">
      <c r="A25" s="131" t="s">
        <v>441</v>
      </c>
      <c r="B25" s="132"/>
      <c r="C25" s="132"/>
      <c r="D25" s="132"/>
      <c r="E25" s="132"/>
      <c r="F25" s="132"/>
      <c r="G25" s="132"/>
      <c r="H25" s="132"/>
      <c r="I25" s="132"/>
      <c r="J25" s="132"/>
      <c r="K25" s="687"/>
    </row>
    <row r="26" customFormat="false" ht="15" hidden="false" customHeight="false" outlineLevel="0" collapsed="false">
      <c r="A26" s="261"/>
      <c r="B26" s="158"/>
      <c r="C26" s="158"/>
      <c r="D26" s="158"/>
      <c r="E26" s="158"/>
      <c r="F26" s="158"/>
      <c r="G26" s="158"/>
      <c r="H26" s="158"/>
      <c r="I26" s="158"/>
      <c r="J26" s="158"/>
      <c r="K26" s="684"/>
    </row>
    <row r="27" customFormat="false" ht="15" hidden="false" customHeight="false" outlineLevel="0" collapsed="false">
      <c r="A27" s="262"/>
      <c r="B27" s="73"/>
      <c r="C27" s="73"/>
      <c r="D27" s="73"/>
      <c r="E27" s="73"/>
      <c r="F27" s="73"/>
      <c r="G27" s="73"/>
      <c r="H27" s="73"/>
      <c r="I27" s="73"/>
      <c r="J27" s="73"/>
      <c r="K27" s="685"/>
    </row>
    <row r="28" customFormat="false" ht="15" hidden="false" customHeight="false" outlineLevel="0" collapsed="false">
      <c r="A28" s="262"/>
      <c r="B28" s="73"/>
      <c r="C28" s="73"/>
      <c r="D28" s="73"/>
      <c r="E28" s="73"/>
      <c r="F28" s="73"/>
      <c r="G28" s="73"/>
      <c r="H28" s="73"/>
      <c r="I28" s="73"/>
      <c r="J28" s="73"/>
      <c r="K28" s="685"/>
    </row>
    <row r="29" customFormat="false" ht="15" hidden="false" customHeight="false" outlineLevel="0" collapsed="false">
      <c r="A29" s="266"/>
      <c r="B29" s="161"/>
      <c r="C29" s="161"/>
      <c r="D29" s="161"/>
      <c r="E29" s="161"/>
      <c r="F29" s="161"/>
      <c r="G29" s="161"/>
      <c r="H29" s="161"/>
      <c r="I29" s="161"/>
      <c r="J29" s="161"/>
      <c r="K29" s="686"/>
    </row>
    <row r="30" customFormat="false" ht="15" hidden="false" customHeight="false" outlineLevel="0" collapsed="false">
      <c r="A30" s="314"/>
      <c r="K30" s="314"/>
    </row>
    <row r="31" customFormat="false" ht="15" hidden="false" customHeight="false" outlineLevel="0" collapsed="false">
      <c r="A31" s="131" t="s">
        <v>442</v>
      </c>
      <c r="B31" s="132"/>
      <c r="C31" s="132"/>
      <c r="D31" s="132"/>
      <c r="E31" s="132"/>
      <c r="F31" s="132"/>
      <c r="G31" s="132"/>
      <c r="H31" s="132"/>
      <c r="I31" s="132"/>
      <c r="J31" s="132"/>
      <c r="K31" s="687"/>
    </row>
    <row r="32" customFormat="false" ht="15" hidden="false" customHeight="false" outlineLevel="0" collapsed="false">
      <c r="A32" s="261"/>
      <c r="B32" s="158"/>
      <c r="C32" s="158"/>
      <c r="D32" s="158"/>
      <c r="E32" s="158"/>
      <c r="F32" s="158"/>
      <c r="G32" s="158"/>
      <c r="H32" s="158"/>
      <c r="I32" s="158"/>
      <c r="J32" s="158"/>
      <c r="K32" s="684"/>
    </row>
    <row r="33" customFormat="false" ht="15" hidden="false" customHeight="false" outlineLevel="0" collapsed="false">
      <c r="A33" s="262"/>
      <c r="B33" s="73"/>
      <c r="C33" s="73"/>
      <c r="D33" s="73"/>
      <c r="E33" s="73"/>
      <c r="F33" s="73"/>
      <c r="G33" s="73"/>
      <c r="H33" s="73"/>
      <c r="I33" s="73"/>
      <c r="J33" s="73"/>
      <c r="K33" s="685"/>
    </row>
    <row r="34" customFormat="false" ht="15" hidden="false" customHeight="false" outlineLevel="0" collapsed="false">
      <c r="A34" s="262"/>
      <c r="B34" s="73"/>
      <c r="C34" s="73"/>
      <c r="D34" s="73"/>
      <c r="E34" s="73"/>
      <c r="F34" s="73"/>
      <c r="G34" s="73"/>
      <c r="H34" s="73"/>
      <c r="I34" s="73"/>
      <c r="J34" s="73"/>
      <c r="K34" s="685"/>
    </row>
    <row r="35" customFormat="false" ht="15" hidden="false" customHeight="false" outlineLevel="0" collapsed="false">
      <c r="A35" s="266"/>
      <c r="B35" s="161"/>
      <c r="C35" s="161"/>
      <c r="D35" s="161"/>
      <c r="E35" s="161"/>
      <c r="F35" s="161"/>
      <c r="G35" s="161"/>
      <c r="H35" s="161"/>
      <c r="I35" s="161"/>
      <c r="J35" s="161"/>
      <c r="K35" s="686"/>
    </row>
    <row r="36" customFormat="false" ht="15" hidden="false" customHeight="false" outlineLevel="0" collapsed="false">
      <c r="A36" s="284"/>
      <c r="B36" s="86"/>
      <c r="C36" s="86"/>
      <c r="D36" s="86"/>
      <c r="E36" s="86"/>
      <c r="F36" s="86"/>
      <c r="G36" s="86"/>
      <c r="H36" s="86"/>
      <c r="I36" s="86"/>
      <c r="J36" s="86"/>
      <c r="K36" s="284"/>
    </row>
    <row r="37" customFormat="false" ht="15" hidden="false" customHeight="false" outlineLevel="0" collapsed="false">
      <c r="A37" s="131" t="s">
        <v>443</v>
      </c>
      <c r="B37" s="132"/>
      <c r="C37" s="132"/>
      <c r="D37" s="132"/>
      <c r="E37" s="132"/>
      <c r="F37" s="132"/>
      <c r="G37" s="132"/>
      <c r="H37" s="132"/>
      <c r="I37" s="132"/>
      <c r="J37" s="132"/>
      <c r="K37" s="687"/>
    </row>
    <row r="38" customFormat="false" ht="15" hidden="false" customHeight="false" outlineLevel="0" collapsed="false">
      <c r="A38" s="261"/>
      <c r="B38" s="158"/>
      <c r="C38" s="158"/>
      <c r="D38" s="158"/>
      <c r="E38" s="158"/>
      <c r="F38" s="158"/>
      <c r="G38" s="158"/>
      <c r="H38" s="158"/>
      <c r="I38" s="158"/>
      <c r="J38" s="158"/>
      <c r="K38" s="684"/>
    </row>
    <row r="39" customFormat="false" ht="15" hidden="false" customHeight="false" outlineLevel="0" collapsed="false">
      <c r="A39" s="262"/>
      <c r="B39" s="73"/>
      <c r="C39" s="73"/>
      <c r="D39" s="73"/>
      <c r="E39" s="73"/>
      <c r="F39" s="73"/>
      <c r="G39" s="73"/>
      <c r="H39" s="73"/>
      <c r="I39" s="73"/>
      <c r="J39" s="73"/>
      <c r="K39" s="685"/>
    </row>
    <row r="40" customFormat="false" ht="15" hidden="false" customHeight="false" outlineLevel="0" collapsed="false">
      <c r="A40" s="262"/>
      <c r="B40" s="73"/>
      <c r="C40" s="73"/>
      <c r="D40" s="73"/>
      <c r="E40" s="73"/>
      <c r="F40" s="73"/>
      <c r="G40" s="73"/>
      <c r="H40" s="73"/>
      <c r="I40" s="73"/>
      <c r="J40" s="73"/>
      <c r="K40" s="685"/>
    </row>
    <row r="41" customFormat="false" ht="15" hidden="false" customHeight="false" outlineLevel="0" collapsed="false">
      <c r="A41" s="266"/>
      <c r="B41" s="161"/>
      <c r="C41" s="161"/>
      <c r="D41" s="161"/>
      <c r="E41" s="161"/>
      <c r="F41" s="161"/>
      <c r="G41" s="161"/>
      <c r="H41" s="161"/>
      <c r="I41" s="161"/>
      <c r="J41" s="161"/>
      <c r="K41" s="686"/>
    </row>
    <row r="42" customFormat="false" ht="15" hidden="false" customHeight="false" outlineLevel="0" collapsed="false">
      <c r="A42" s="688"/>
      <c r="B42" s="86"/>
      <c r="C42" s="86"/>
      <c r="D42" s="86"/>
      <c r="E42" s="86"/>
      <c r="F42" s="86"/>
      <c r="G42" s="86"/>
      <c r="H42" s="86"/>
      <c r="I42" s="86"/>
      <c r="J42" s="86"/>
      <c r="K42" s="284"/>
    </row>
    <row r="43" customFormat="false" ht="15" hidden="false" customHeight="false" outlineLevel="0" collapsed="false">
      <c r="A43" s="131" t="s">
        <v>451</v>
      </c>
      <c r="B43" s="132"/>
      <c r="C43" s="132"/>
      <c r="D43" s="132"/>
      <c r="E43" s="132"/>
      <c r="F43" s="132"/>
      <c r="G43" s="132"/>
      <c r="H43" s="132"/>
      <c r="I43" s="132"/>
      <c r="J43" s="132"/>
      <c r="K43" s="687"/>
    </row>
    <row r="44" customFormat="false" ht="15" hidden="false" customHeight="false" outlineLevel="0" collapsed="false">
      <c r="A44" s="261"/>
      <c r="B44" s="158"/>
      <c r="C44" s="158"/>
      <c r="D44" s="158"/>
      <c r="E44" s="158"/>
      <c r="F44" s="158"/>
      <c r="G44" s="158"/>
      <c r="H44" s="158"/>
      <c r="I44" s="158"/>
      <c r="J44" s="158"/>
      <c r="K44" s="684"/>
    </row>
    <row r="45" customFormat="false" ht="15" hidden="false" customHeight="false" outlineLevel="0" collapsed="false">
      <c r="A45" s="262"/>
      <c r="B45" s="73"/>
      <c r="C45" s="73"/>
      <c r="D45" s="73"/>
      <c r="E45" s="73"/>
      <c r="F45" s="73"/>
      <c r="G45" s="73"/>
      <c r="H45" s="73"/>
      <c r="I45" s="73"/>
      <c r="J45" s="73"/>
      <c r="K45" s="685"/>
    </row>
    <row r="46" customFormat="false" ht="15" hidden="false" customHeight="false" outlineLevel="0" collapsed="false">
      <c r="A46" s="262"/>
      <c r="B46" s="73"/>
      <c r="C46" s="73"/>
      <c r="D46" s="73"/>
      <c r="E46" s="73"/>
      <c r="F46" s="73"/>
      <c r="G46" s="73"/>
      <c r="H46" s="73"/>
      <c r="I46" s="73"/>
      <c r="J46" s="73"/>
      <c r="K46" s="685"/>
    </row>
    <row r="47" customFormat="false" ht="15" hidden="false" customHeight="false" outlineLevel="0" collapsed="false">
      <c r="A47" s="266"/>
      <c r="B47" s="161"/>
      <c r="C47" s="161"/>
      <c r="D47" s="161"/>
      <c r="E47" s="161"/>
      <c r="F47" s="161"/>
      <c r="G47" s="161"/>
      <c r="H47" s="161"/>
      <c r="I47" s="161"/>
      <c r="J47" s="161"/>
      <c r="K47" s="686"/>
    </row>
    <row r="48" customFormat="false" ht="15" hidden="false" customHeight="false" outlineLevel="0" collapsed="false">
      <c r="A48" s="314"/>
      <c r="B48" s="688"/>
      <c r="C48" s="688"/>
      <c r="D48" s="688"/>
      <c r="E48" s="688"/>
      <c r="F48" s="688"/>
      <c r="G48" s="688"/>
      <c r="H48" s="688"/>
      <c r="I48" s="688"/>
      <c r="J48" s="688"/>
      <c r="K48" s="688"/>
    </row>
    <row r="49" customFormat="false" ht="15" hidden="false" customHeight="false" outlineLevel="0" collapsed="false">
      <c r="A49" s="131" t="s">
        <v>452</v>
      </c>
      <c r="B49" s="689"/>
      <c r="C49" s="689"/>
      <c r="D49" s="689"/>
      <c r="E49" s="689"/>
      <c r="F49" s="689"/>
      <c r="G49" s="689"/>
      <c r="H49" s="689"/>
      <c r="I49" s="689"/>
      <c r="J49" s="689"/>
      <c r="K49" s="690"/>
    </row>
    <row r="50" customFormat="false" ht="15" hidden="false" customHeight="false" outlineLevel="0" collapsed="false">
      <c r="A50" s="261"/>
      <c r="B50" s="158"/>
      <c r="C50" s="158"/>
      <c r="D50" s="158"/>
      <c r="E50" s="158"/>
      <c r="F50" s="158"/>
      <c r="G50" s="158"/>
      <c r="H50" s="158"/>
      <c r="I50" s="158"/>
      <c r="J50" s="158"/>
      <c r="K50" s="684"/>
    </row>
    <row r="51" customFormat="false" ht="15" hidden="false" customHeight="false" outlineLevel="0" collapsed="false">
      <c r="A51" s="262"/>
      <c r="B51" s="73"/>
      <c r="C51" s="73"/>
      <c r="D51" s="73"/>
      <c r="E51" s="73"/>
      <c r="F51" s="73"/>
      <c r="G51" s="73"/>
      <c r="H51" s="73"/>
      <c r="I51" s="73"/>
      <c r="J51" s="73"/>
      <c r="K51" s="685"/>
    </row>
    <row r="52" customFormat="false" ht="15" hidden="false" customHeight="false" outlineLevel="0" collapsed="false">
      <c r="A52" s="262"/>
      <c r="B52" s="73"/>
      <c r="C52" s="73"/>
      <c r="D52" s="73"/>
      <c r="E52" s="73"/>
      <c r="F52" s="73"/>
      <c r="G52" s="73"/>
      <c r="H52" s="73"/>
      <c r="I52" s="73"/>
      <c r="J52" s="73"/>
      <c r="K52" s="685"/>
    </row>
    <row r="53" customFormat="false" ht="15" hidden="false" customHeight="false" outlineLevel="0" collapsed="false">
      <c r="A53" s="266"/>
      <c r="B53" s="161"/>
      <c r="C53" s="161"/>
      <c r="D53" s="161"/>
      <c r="E53" s="161"/>
      <c r="F53" s="161"/>
      <c r="G53" s="161"/>
      <c r="H53" s="161"/>
      <c r="I53" s="161"/>
      <c r="J53" s="161"/>
      <c r="K53" s="686"/>
    </row>
    <row r="54" customFormat="false" ht="15" hidden="false" customHeight="false" outlineLevel="0" collapsed="false">
      <c r="A54" s="314"/>
      <c r="K54" s="314"/>
    </row>
    <row r="55" customFormat="false" ht="15" hidden="false" customHeight="false" outlineLevel="0" collapsed="false">
      <c r="A55" s="131" t="s">
        <v>447</v>
      </c>
      <c r="B55" s="276"/>
      <c r="C55" s="276"/>
      <c r="D55" s="276"/>
      <c r="E55" s="276"/>
      <c r="F55" s="276"/>
      <c r="G55" s="276"/>
      <c r="H55" s="276"/>
      <c r="I55" s="276"/>
      <c r="J55" s="276"/>
      <c r="K55" s="679"/>
    </row>
    <row r="56" customFormat="false" ht="15" hidden="false" customHeight="false" outlineLevel="0" collapsed="false">
      <c r="A56" s="566"/>
      <c r="B56" s="158"/>
      <c r="C56" s="158"/>
      <c r="D56" s="158"/>
      <c r="E56" s="158"/>
      <c r="F56" s="158"/>
      <c r="G56" s="158"/>
      <c r="H56" s="158"/>
      <c r="I56" s="158"/>
      <c r="J56" s="158"/>
      <c r="K56" s="684"/>
    </row>
    <row r="57" customFormat="false" ht="15" hidden="false" customHeight="false" outlineLevel="0" collapsed="false">
      <c r="A57" s="353"/>
      <c r="B57" s="73"/>
      <c r="C57" s="73"/>
      <c r="D57" s="73"/>
      <c r="E57" s="73"/>
      <c r="F57" s="73"/>
      <c r="G57" s="73"/>
      <c r="H57" s="73"/>
      <c r="I57" s="73"/>
      <c r="J57" s="73"/>
      <c r="K57" s="685"/>
    </row>
    <row r="58" customFormat="false" ht="15" hidden="false" customHeight="false" outlineLevel="0" collapsed="false">
      <c r="A58" s="262"/>
      <c r="B58" s="73"/>
      <c r="C58" s="73"/>
      <c r="D58" s="73"/>
      <c r="E58" s="73"/>
      <c r="F58" s="73"/>
      <c r="G58" s="73"/>
      <c r="H58" s="73"/>
      <c r="I58" s="73"/>
      <c r="J58" s="73"/>
      <c r="K58" s="685"/>
    </row>
    <row r="59" customFormat="false" ht="15" hidden="false" customHeight="false" outlineLevel="0" collapsed="false">
      <c r="A59" s="266"/>
      <c r="B59" s="161"/>
      <c r="C59" s="161"/>
      <c r="D59" s="161"/>
      <c r="E59" s="161"/>
      <c r="F59" s="161"/>
      <c r="G59" s="161"/>
      <c r="H59" s="161"/>
      <c r="I59" s="161"/>
      <c r="J59" s="161"/>
      <c r="K59" s="686"/>
    </row>
    <row r="60"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7.xml><?xml version="1.0" encoding="utf-8"?>
<worksheet xmlns="http://schemas.openxmlformats.org/spreadsheetml/2006/main" xmlns:r="http://schemas.openxmlformats.org/officeDocument/2006/relationships">
  <sheetPr filterMode="false">
    <tabColor rgb="FF969696"/>
    <pageSetUpPr fitToPage="true"/>
  </sheetPr>
  <dimension ref="A1:L6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55" activePane="bottomLeft" state="frozen"/>
      <selection pane="topLeft" activeCell="A1" activeCellId="0" sqref="A1"/>
      <selection pane="bottomLeft" activeCell="D19" activeCellId="0" sqref="D19"/>
    </sheetView>
  </sheetViews>
  <sheetFormatPr defaultRowHeight="15" zeroHeight="true" outlineLevelRow="0" outlineLevelCol="0"/>
  <cols>
    <col collapsed="false" customWidth="true" hidden="false" outlineLevel="0" max="1" min="1" style="52" width="18.29"/>
    <col collapsed="false" customWidth="true" hidden="false" outlineLevel="0" max="2" min="2" style="48" width="7.71"/>
    <col collapsed="false" customWidth="true" hidden="false" outlineLevel="0" max="3" min="3" style="48" width="3.86"/>
    <col collapsed="false" customWidth="true" hidden="false" outlineLevel="0" max="4" min="4" style="48" width="9.14"/>
    <col collapsed="false" customWidth="true" hidden="false" outlineLevel="0" max="5" min="5" style="48" width="3.86"/>
    <col collapsed="false" customWidth="true" hidden="false" outlineLevel="0" max="10" min="6" style="48" width="16.29"/>
    <col collapsed="false" customWidth="false" hidden="false" outlineLevel="0" max="11" min="11" style="48" width="11.57"/>
    <col collapsed="false" customWidth="true" hidden="false" outlineLevel="0" max="12" min="12" style="48" width="1.58"/>
    <col collapsed="false" customWidth="true" hidden="true" outlineLevel="0" max="1025" min="13" style="48" width="9.14"/>
  </cols>
  <sheetData>
    <row r="1" customFormat="false" ht="28.5" hidden="false" customHeight="false" outlineLevel="0" collapsed="false">
      <c r="A1" s="113" t="str">
        <f aca="false">'6.0 New Truck Sales'!A1</f>
        <v>Strategy and Implementation</v>
      </c>
      <c r="B1" s="114"/>
      <c r="C1" s="114"/>
      <c r="D1" s="114"/>
      <c r="E1" s="114"/>
      <c r="F1" s="114"/>
      <c r="G1" s="114"/>
      <c r="H1" s="114"/>
      <c r="I1" s="114"/>
      <c r="J1" s="114"/>
      <c r="K1" s="115" t="s">
        <v>453</v>
      </c>
    </row>
    <row r="2" customFormat="false" ht="15" hidden="false" customHeight="false" outlineLevel="0" collapsed="false">
      <c r="B2" s="116"/>
      <c r="C2" s="117"/>
      <c r="D2" s="86"/>
      <c r="E2" s="118"/>
      <c r="H2" s="119"/>
      <c r="I2" s="86"/>
      <c r="J2" s="86"/>
      <c r="K2" s="120"/>
    </row>
    <row r="3" customFormat="false" ht="15" hidden="false" customHeight="false" outlineLevel="0" collapsed="false">
      <c r="A3" s="52" t="s">
        <v>103</v>
      </c>
      <c r="B3" s="48" t="str">
        <f aca="false">'Reference sheet'!C12</f>
        <v>TEST</v>
      </c>
      <c r="C3" s="67"/>
      <c r="D3" s="86"/>
      <c r="E3" s="118"/>
      <c r="G3" s="121" t="s">
        <v>49</v>
      </c>
      <c r="H3" s="313"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3.15" hidden="false" customHeight="true" outlineLevel="0" collapsed="false">
      <c r="A5" s="314"/>
    </row>
    <row r="6" customFormat="false" ht="15" hidden="false" customHeight="false" outlineLevel="0" collapsed="false">
      <c r="A6" s="131" t="s">
        <v>454</v>
      </c>
      <c r="B6" s="132"/>
      <c r="C6" s="132"/>
      <c r="D6" s="132"/>
      <c r="E6" s="132"/>
      <c r="F6" s="132"/>
      <c r="G6" s="132"/>
      <c r="H6" s="132"/>
      <c r="I6" s="132"/>
      <c r="J6" s="132"/>
      <c r="K6" s="133"/>
    </row>
    <row r="7" customFormat="false" ht="15" hidden="false" customHeight="false" outlineLevel="0" collapsed="false">
      <c r="A7" s="256"/>
      <c r="B7" s="257" t="s">
        <v>455</v>
      </c>
      <c r="C7" s="257"/>
      <c r="D7" s="257" t="s">
        <v>237</v>
      </c>
      <c r="E7" s="257"/>
      <c r="F7" s="257" t="s">
        <v>456</v>
      </c>
      <c r="G7" s="257"/>
      <c r="H7" s="257"/>
      <c r="I7" s="257"/>
      <c r="J7" s="257"/>
      <c r="K7" s="260"/>
    </row>
    <row r="8" customFormat="false" ht="15" hidden="false" customHeight="false" outlineLevel="0" collapsed="false">
      <c r="A8" s="52" t="s">
        <v>457</v>
      </c>
      <c r="B8" s="691"/>
      <c r="C8" s="86"/>
      <c r="D8" s="691"/>
      <c r="E8" s="86"/>
      <c r="F8" s="261"/>
      <c r="G8" s="158"/>
      <c r="H8" s="158"/>
      <c r="I8" s="158"/>
      <c r="J8" s="158"/>
      <c r="K8" s="167"/>
    </row>
    <row r="9" customFormat="false" ht="15" hidden="true" customHeight="false" outlineLevel="0" collapsed="false">
      <c r="A9" s="134"/>
      <c r="B9" s="86"/>
      <c r="C9" s="86"/>
      <c r="D9" s="71"/>
      <c r="E9" s="86"/>
      <c r="F9" s="262"/>
      <c r="G9" s="73"/>
      <c r="H9" s="73"/>
      <c r="I9" s="73"/>
      <c r="J9" s="73"/>
      <c r="K9" s="263"/>
    </row>
    <row r="10" customFormat="false" ht="15" hidden="false" customHeight="false" outlineLevel="0" collapsed="false">
      <c r="A10" s="134" t="s">
        <v>458</v>
      </c>
      <c r="B10" s="86"/>
      <c r="C10" s="86"/>
      <c r="D10" s="86"/>
      <c r="E10" s="86"/>
      <c r="F10" s="262"/>
      <c r="G10" s="73"/>
      <c r="H10" s="73"/>
      <c r="I10" s="73"/>
      <c r="J10" s="73"/>
      <c r="K10" s="263"/>
    </row>
    <row r="11" customFormat="false" ht="15" hidden="false" customHeight="false" outlineLevel="0" collapsed="false">
      <c r="A11" s="134"/>
      <c r="B11" s="86"/>
      <c r="C11" s="86"/>
      <c r="D11" s="86"/>
      <c r="E11" s="86"/>
      <c r="F11" s="262"/>
      <c r="G11" s="73"/>
      <c r="H11" s="73"/>
      <c r="I11" s="73"/>
      <c r="J11" s="73"/>
      <c r="K11" s="263"/>
    </row>
    <row r="12" customFormat="false" ht="15" hidden="false" customHeight="false" outlineLevel="0" collapsed="false">
      <c r="A12" s="134" t="s">
        <v>459</v>
      </c>
      <c r="B12" s="691"/>
      <c r="C12" s="86"/>
      <c r="D12" s="691"/>
      <c r="E12" s="86"/>
      <c r="F12" s="262"/>
      <c r="G12" s="73"/>
      <c r="H12" s="73"/>
      <c r="I12" s="73"/>
      <c r="J12" s="73"/>
      <c r="K12" s="263"/>
    </row>
    <row r="13" customFormat="false" ht="15" hidden="false" customHeight="false" outlineLevel="0" collapsed="false">
      <c r="A13" s="134" t="s">
        <v>460</v>
      </c>
      <c r="B13" s="86"/>
      <c r="C13" s="86"/>
      <c r="D13" s="101"/>
      <c r="E13" s="86"/>
      <c r="F13" s="262"/>
      <c r="G13" s="73"/>
      <c r="H13" s="73"/>
      <c r="I13" s="73"/>
      <c r="J13" s="73"/>
      <c r="K13" s="263"/>
    </row>
    <row r="14" customFormat="false" ht="15" hidden="false" customHeight="false" outlineLevel="0" collapsed="false">
      <c r="A14" s="134"/>
      <c r="B14" s="86"/>
      <c r="C14" s="86"/>
      <c r="D14" s="86"/>
      <c r="E14" s="86"/>
      <c r="F14" s="262"/>
      <c r="G14" s="73"/>
      <c r="H14" s="73"/>
      <c r="I14" s="73"/>
      <c r="J14" s="73"/>
      <c r="K14" s="263"/>
    </row>
    <row r="15" customFormat="false" ht="15" hidden="false" customHeight="false" outlineLevel="0" collapsed="false">
      <c r="A15" s="134" t="s">
        <v>461</v>
      </c>
      <c r="B15" s="691"/>
      <c r="C15" s="86"/>
      <c r="D15" s="691"/>
      <c r="E15" s="86"/>
      <c r="F15" s="262"/>
      <c r="G15" s="73"/>
      <c r="H15" s="73"/>
      <c r="I15" s="73"/>
      <c r="J15" s="73"/>
      <c r="K15" s="263"/>
    </row>
    <row r="16" customFormat="false" ht="15" hidden="false" customHeight="false" outlineLevel="0" collapsed="false">
      <c r="A16" s="134"/>
      <c r="B16" s="265"/>
      <c r="C16" s="86"/>
      <c r="D16" s="265"/>
      <c r="E16" s="86"/>
      <c r="F16" s="262"/>
      <c r="G16" s="73"/>
      <c r="H16" s="73"/>
      <c r="I16" s="73"/>
      <c r="J16" s="73"/>
      <c r="K16" s="263"/>
    </row>
    <row r="17" customFormat="false" ht="15" hidden="false" customHeight="false" outlineLevel="0" collapsed="false">
      <c r="A17" s="134"/>
      <c r="B17" s="86"/>
      <c r="C17" s="86"/>
      <c r="D17" s="86"/>
      <c r="E17" s="86"/>
      <c r="F17" s="262"/>
      <c r="G17" s="73"/>
      <c r="H17" s="73"/>
      <c r="I17" s="73"/>
      <c r="J17" s="73"/>
      <c r="K17" s="263"/>
    </row>
    <row r="18" customFormat="false" ht="15" hidden="false" customHeight="false" outlineLevel="0" collapsed="false">
      <c r="A18" s="134" t="s">
        <v>462</v>
      </c>
      <c r="B18" s="692"/>
      <c r="C18" s="86"/>
      <c r="D18" s="691"/>
      <c r="E18" s="86"/>
      <c r="F18" s="262"/>
      <c r="G18" s="73"/>
      <c r="H18" s="73"/>
      <c r="I18" s="73"/>
      <c r="J18" s="73"/>
      <c r="K18" s="263"/>
    </row>
    <row r="19" customFormat="false" ht="15" hidden="false" customHeight="false" outlineLevel="0" collapsed="false">
      <c r="A19" s="134" t="s">
        <v>463</v>
      </c>
      <c r="B19" s="265"/>
      <c r="C19" s="86"/>
      <c r="D19" s="693" t="e">
        <f aca="false">IF('7.2.2 Turnover Parts'!C15="","",'7.2.2 Turnover Parts'!C15)</f>
        <v>#VALUE!</v>
      </c>
      <c r="E19" s="86"/>
      <c r="F19" s="262"/>
      <c r="G19" s="73"/>
      <c r="H19" s="73"/>
      <c r="I19" s="73"/>
      <c r="J19" s="73"/>
      <c r="K19" s="263"/>
    </row>
    <row r="20" customFormat="false" ht="15" hidden="false" customHeight="false" outlineLevel="0" collapsed="false">
      <c r="A20" s="135"/>
      <c r="B20" s="83"/>
      <c r="C20" s="83"/>
      <c r="D20" s="83"/>
      <c r="E20" s="83"/>
      <c r="F20" s="266"/>
      <c r="G20" s="161"/>
      <c r="H20" s="161"/>
      <c r="I20" s="161"/>
      <c r="J20" s="161"/>
      <c r="K20" s="267"/>
    </row>
    <row r="21" customFormat="false" ht="15" hidden="false" customHeight="false" outlineLevel="0" collapsed="false">
      <c r="A21" s="284"/>
      <c r="B21" s="284"/>
      <c r="C21" s="284"/>
      <c r="D21" s="284"/>
      <c r="E21" s="284"/>
      <c r="F21" s="585"/>
      <c r="G21" s="585"/>
      <c r="H21" s="585"/>
      <c r="I21" s="585"/>
      <c r="J21" s="585"/>
      <c r="K21" s="585"/>
    </row>
    <row r="22" customFormat="false" ht="15" hidden="false" customHeight="false" outlineLevel="0" collapsed="false">
      <c r="A22" s="131" t="s">
        <v>464</v>
      </c>
      <c r="B22" s="276"/>
      <c r="C22" s="276"/>
      <c r="D22" s="276"/>
      <c r="E22" s="276"/>
      <c r="F22" s="276"/>
      <c r="G22" s="276"/>
      <c r="H22" s="276"/>
      <c r="I22" s="276"/>
      <c r="J22" s="276"/>
      <c r="K22" s="277"/>
    </row>
    <row r="23" customFormat="false" ht="15" hidden="false" customHeight="false" outlineLevel="0" collapsed="false">
      <c r="A23" s="261"/>
      <c r="B23" s="158"/>
      <c r="C23" s="158"/>
      <c r="D23" s="158"/>
      <c r="E23" s="158"/>
      <c r="F23" s="158"/>
      <c r="G23" s="158"/>
      <c r="H23" s="158"/>
      <c r="I23" s="158"/>
      <c r="J23" s="158"/>
      <c r="K23" s="167"/>
    </row>
    <row r="24" customFormat="false" ht="15" hidden="false" customHeight="false" outlineLevel="0" collapsed="false">
      <c r="A24" s="262"/>
      <c r="B24" s="73"/>
      <c r="C24" s="73"/>
      <c r="D24" s="73"/>
      <c r="E24" s="73"/>
      <c r="F24" s="73"/>
      <c r="G24" s="73"/>
      <c r="H24" s="73"/>
      <c r="I24" s="73"/>
      <c r="J24" s="73"/>
      <c r="K24" s="263"/>
    </row>
    <row r="25" customFormat="false" ht="15" hidden="false" customHeight="false" outlineLevel="0" collapsed="false">
      <c r="A25" s="262"/>
      <c r="B25" s="73"/>
      <c r="C25" s="73"/>
      <c r="D25" s="73"/>
      <c r="E25" s="73"/>
      <c r="F25" s="73"/>
      <c r="G25" s="73"/>
      <c r="H25" s="73"/>
      <c r="I25" s="73"/>
      <c r="J25" s="73"/>
      <c r="K25" s="263"/>
    </row>
    <row r="26" customFormat="false" ht="15" hidden="false" customHeight="false" outlineLevel="0" collapsed="false">
      <c r="A26" s="262"/>
      <c r="B26" s="73"/>
      <c r="C26" s="73"/>
      <c r="D26" s="73"/>
      <c r="E26" s="73"/>
      <c r="F26" s="73"/>
      <c r="G26" s="73"/>
      <c r="H26" s="73"/>
      <c r="I26" s="73"/>
      <c r="J26" s="73"/>
      <c r="K26" s="263"/>
    </row>
    <row r="27" customFormat="false" ht="15" hidden="false" customHeight="false" outlineLevel="0" collapsed="false">
      <c r="A27" s="262"/>
      <c r="B27" s="73"/>
      <c r="C27" s="73"/>
      <c r="D27" s="73"/>
      <c r="E27" s="73"/>
      <c r="F27" s="73"/>
      <c r="G27" s="73"/>
      <c r="H27" s="73"/>
      <c r="I27" s="73"/>
      <c r="J27" s="73"/>
      <c r="K27" s="263"/>
    </row>
    <row r="28" customFormat="false" ht="15" hidden="false" customHeight="false" outlineLevel="0" collapsed="false">
      <c r="A28" s="266"/>
      <c r="B28" s="161"/>
      <c r="C28" s="161"/>
      <c r="D28" s="161"/>
      <c r="E28" s="161"/>
      <c r="F28" s="161"/>
      <c r="G28" s="161"/>
      <c r="H28" s="161"/>
      <c r="I28" s="161"/>
      <c r="J28" s="161"/>
      <c r="K28" s="267"/>
    </row>
    <row r="29" customFormat="false" ht="15" hidden="false" customHeight="false" outlineLevel="0" collapsed="false">
      <c r="A29" s="314"/>
    </row>
    <row r="30" s="53" customFormat="true" ht="15" hidden="false" customHeight="false" outlineLevel="0" collapsed="false">
      <c r="A30" s="131" t="s">
        <v>440</v>
      </c>
      <c r="B30" s="132"/>
      <c r="C30" s="132"/>
      <c r="D30" s="132"/>
      <c r="E30" s="132"/>
      <c r="F30" s="132"/>
      <c r="G30" s="132"/>
      <c r="H30" s="132"/>
      <c r="I30" s="132"/>
      <c r="J30" s="132"/>
      <c r="K30" s="133"/>
      <c r="L30" s="86"/>
    </row>
    <row r="31" customFormat="false" ht="15" hidden="false" customHeight="false" outlineLevel="0" collapsed="false">
      <c r="A31" s="261"/>
      <c r="B31" s="158"/>
      <c r="C31" s="158"/>
      <c r="D31" s="158"/>
      <c r="E31" s="158"/>
      <c r="F31" s="158"/>
      <c r="G31" s="158"/>
      <c r="H31" s="158"/>
      <c r="I31" s="158"/>
      <c r="J31" s="158"/>
      <c r="K31" s="167"/>
    </row>
    <row r="32" customFormat="false" ht="15" hidden="false" customHeight="false" outlineLevel="0" collapsed="false">
      <c r="A32" s="262"/>
      <c r="B32" s="73"/>
      <c r="C32" s="73"/>
      <c r="D32" s="73"/>
      <c r="E32" s="73"/>
      <c r="F32" s="73"/>
      <c r="G32" s="73"/>
      <c r="H32" s="73"/>
      <c r="I32" s="73"/>
      <c r="J32" s="73"/>
      <c r="K32" s="263"/>
    </row>
    <row r="33" customFormat="false" ht="15" hidden="false" customHeight="false" outlineLevel="0" collapsed="false">
      <c r="A33" s="262"/>
      <c r="B33" s="73"/>
      <c r="C33" s="73"/>
      <c r="D33" s="73"/>
      <c r="E33" s="73"/>
      <c r="F33" s="73"/>
      <c r="G33" s="73"/>
      <c r="H33" s="73"/>
      <c r="I33" s="73"/>
      <c r="J33" s="73"/>
      <c r="K33" s="263"/>
    </row>
    <row r="34" customFormat="false" ht="15" hidden="false" customHeight="false" outlineLevel="0" collapsed="false">
      <c r="A34" s="266"/>
      <c r="B34" s="161"/>
      <c r="C34" s="161"/>
      <c r="D34" s="161"/>
      <c r="E34" s="161"/>
      <c r="F34" s="161"/>
      <c r="G34" s="161"/>
      <c r="H34" s="161"/>
      <c r="I34" s="161"/>
      <c r="J34" s="161"/>
      <c r="K34" s="267"/>
    </row>
    <row r="35" customFormat="false" ht="15" hidden="false" customHeight="false" outlineLevel="0" collapsed="false">
      <c r="A35" s="314"/>
    </row>
    <row r="36" customFormat="false" ht="15" hidden="false" customHeight="false" outlineLevel="0" collapsed="false">
      <c r="A36" s="131" t="s">
        <v>441</v>
      </c>
      <c r="B36" s="132"/>
      <c r="C36" s="132"/>
      <c r="D36" s="132"/>
      <c r="E36" s="132"/>
      <c r="F36" s="132"/>
      <c r="G36" s="132"/>
      <c r="H36" s="132"/>
      <c r="I36" s="132"/>
      <c r="J36" s="132"/>
      <c r="K36" s="133"/>
    </row>
    <row r="37" customFormat="false" ht="15" hidden="false" customHeight="false" outlineLevel="0" collapsed="false">
      <c r="A37" s="261"/>
      <c r="B37" s="158"/>
      <c r="C37" s="158"/>
      <c r="D37" s="158"/>
      <c r="E37" s="158"/>
      <c r="F37" s="158"/>
      <c r="G37" s="158"/>
      <c r="H37" s="158"/>
      <c r="I37" s="158"/>
      <c r="J37" s="158"/>
      <c r="K37" s="167"/>
    </row>
    <row r="38" customFormat="false" ht="15" hidden="false" customHeight="false" outlineLevel="0" collapsed="false">
      <c r="A38" s="262"/>
      <c r="B38" s="73"/>
      <c r="C38" s="73"/>
      <c r="D38" s="73"/>
      <c r="E38" s="73"/>
      <c r="F38" s="73"/>
      <c r="G38" s="73"/>
      <c r="H38" s="73"/>
      <c r="I38" s="73"/>
      <c r="J38" s="73"/>
      <c r="K38" s="263"/>
    </row>
    <row r="39" customFormat="false" ht="15" hidden="false" customHeight="false" outlineLevel="0" collapsed="false">
      <c r="A39" s="262"/>
      <c r="B39" s="73"/>
      <c r="C39" s="73"/>
      <c r="D39" s="73"/>
      <c r="E39" s="73"/>
      <c r="F39" s="73"/>
      <c r="G39" s="73"/>
      <c r="H39" s="73"/>
      <c r="I39" s="73"/>
      <c r="J39" s="73"/>
      <c r="K39" s="263"/>
    </row>
    <row r="40" customFormat="false" ht="15" hidden="false" customHeight="false" outlineLevel="0" collapsed="false">
      <c r="A40" s="266"/>
      <c r="B40" s="161"/>
      <c r="C40" s="161"/>
      <c r="D40" s="161"/>
      <c r="E40" s="161"/>
      <c r="F40" s="161"/>
      <c r="G40" s="161"/>
      <c r="H40" s="161"/>
      <c r="I40" s="161"/>
      <c r="J40" s="161"/>
      <c r="K40" s="267"/>
    </row>
    <row r="41" customFormat="false" ht="15" hidden="false" customHeight="false" outlineLevel="0" collapsed="false">
      <c r="A41" s="314"/>
    </row>
    <row r="42" customFormat="false" ht="15" hidden="false" customHeight="false" outlineLevel="0" collapsed="false">
      <c r="A42" s="131" t="s">
        <v>442</v>
      </c>
      <c r="B42" s="132"/>
      <c r="C42" s="132"/>
      <c r="D42" s="132"/>
      <c r="E42" s="132"/>
      <c r="F42" s="132"/>
      <c r="G42" s="132"/>
      <c r="H42" s="132"/>
      <c r="I42" s="132"/>
      <c r="J42" s="132"/>
      <c r="K42" s="133"/>
    </row>
    <row r="43" customFormat="false" ht="15" hidden="false" customHeight="false" outlineLevel="0" collapsed="false">
      <c r="A43" s="261"/>
      <c r="B43" s="158"/>
      <c r="C43" s="158"/>
      <c r="D43" s="158"/>
      <c r="E43" s="158"/>
      <c r="F43" s="158"/>
      <c r="G43" s="158"/>
      <c r="H43" s="158"/>
      <c r="I43" s="158"/>
      <c r="J43" s="158"/>
      <c r="K43" s="167"/>
    </row>
    <row r="44" customFormat="false" ht="15" hidden="false" customHeight="false" outlineLevel="0" collapsed="false">
      <c r="A44" s="262"/>
      <c r="B44" s="73"/>
      <c r="C44" s="73"/>
      <c r="D44" s="73"/>
      <c r="E44" s="73"/>
      <c r="F44" s="73"/>
      <c r="G44" s="73"/>
      <c r="H44" s="73"/>
      <c r="I44" s="73"/>
      <c r="J44" s="73"/>
      <c r="K44" s="263"/>
    </row>
    <row r="45" customFormat="false" ht="15" hidden="false" customHeight="false" outlineLevel="0" collapsed="false">
      <c r="A45" s="262"/>
      <c r="B45" s="73"/>
      <c r="C45" s="73"/>
      <c r="D45" s="73"/>
      <c r="E45" s="73"/>
      <c r="F45" s="73"/>
      <c r="G45" s="73"/>
      <c r="H45" s="73"/>
      <c r="I45" s="73"/>
      <c r="J45" s="73"/>
      <c r="K45" s="263"/>
    </row>
    <row r="46" customFormat="false" ht="15" hidden="false" customHeight="false" outlineLevel="0" collapsed="false">
      <c r="A46" s="266"/>
      <c r="B46" s="161"/>
      <c r="C46" s="161"/>
      <c r="D46" s="161"/>
      <c r="E46" s="161"/>
      <c r="F46" s="161"/>
      <c r="G46" s="161"/>
      <c r="H46" s="161"/>
      <c r="I46" s="161"/>
      <c r="J46" s="161"/>
      <c r="K46" s="267"/>
    </row>
    <row r="47" customFormat="false" ht="15" hidden="false" customHeight="false" outlineLevel="0" collapsed="false">
      <c r="A47" s="284"/>
      <c r="B47" s="86"/>
      <c r="C47" s="86"/>
      <c r="D47" s="86"/>
      <c r="E47" s="86"/>
      <c r="F47" s="86"/>
      <c r="G47" s="86"/>
      <c r="H47" s="86"/>
      <c r="I47" s="86"/>
      <c r="J47" s="86"/>
      <c r="K47" s="86"/>
    </row>
    <row r="48" customFormat="false" ht="15" hidden="false" customHeight="false" outlineLevel="0" collapsed="false">
      <c r="A48" s="131" t="s">
        <v>443</v>
      </c>
      <c r="B48" s="132"/>
      <c r="C48" s="132"/>
      <c r="D48" s="132"/>
      <c r="E48" s="132"/>
      <c r="F48" s="132"/>
      <c r="G48" s="132"/>
      <c r="H48" s="132"/>
      <c r="I48" s="132"/>
      <c r="J48" s="132"/>
      <c r="K48" s="133"/>
    </row>
    <row r="49" customFormat="false" ht="15" hidden="false" customHeight="false" outlineLevel="0" collapsed="false">
      <c r="A49" s="261"/>
      <c r="B49" s="158"/>
      <c r="C49" s="158"/>
      <c r="D49" s="158"/>
      <c r="E49" s="158"/>
      <c r="F49" s="158"/>
      <c r="G49" s="158"/>
      <c r="H49" s="158"/>
      <c r="I49" s="158"/>
      <c r="J49" s="158"/>
      <c r="K49" s="167"/>
    </row>
    <row r="50" customFormat="false" ht="15" hidden="false" customHeight="false" outlineLevel="0" collapsed="false">
      <c r="A50" s="262"/>
      <c r="B50" s="73"/>
      <c r="C50" s="73"/>
      <c r="D50" s="73"/>
      <c r="E50" s="73"/>
      <c r="F50" s="73"/>
      <c r="G50" s="73"/>
      <c r="H50" s="73"/>
      <c r="I50" s="73"/>
      <c r="J50" s="73"/>
      <c r="K50" s="263"/>
    </row>
    <row r="51" customFormat="false" ht="15" hidden="false" customHeight="false" outlineLevel="0" collapsed="false">
      <c r="A51" s="262"/>
      <c r="B51" s="73"/>
      <c r="C51" s="73"/>
      <c r="D51" s="73"/>
      <c r="E51" s="73"/>
      <c r="F51" s="73"/>
      <c r="G51" s="73"/>
      <c r="H51" s="73"/>
      <c r="I51" s="73"/>
      <c r="J51" s="73"/>
      <c r="K51" s="263"/>
    </row>
    <row r="52" customFormat="false" ht="15" hidden="false" customHeight="false" outlineLevel="0" collapsed="false">
      <c r="A52" s="266"/>
      <c r="B52" s="161"/>
      <c r="C52" s="161"/>
      <c r="D52" s="161"/>
      <c r="E52" s="161"/>
      <c r="F52" s="161"/>
      <c r="G52" s="161"/>
      <c r="H52" s="161"/>
      <c r="I52" s="161"/>
      <c r="J52" s="161"/>
      <c r="K52" s="267"/>
    </row>
    <row r="53" customFormat="false" ht="15" hidden="false" customHeight="false" outlineLevel="0" collapsed="false">
      <c r="A53" s="585"/>
      <c r="B53" s="585"/>
      <c r="C53" s="585"/>
      <c r="D53" s="585"/>
      <c r="E53" s="585"/>
      <c r="F53" s="585"/>
      <c r="G53" s="585"/>
      <c r="H53" s="585"/>
      <c r="I53" s="585"/>
      <c r="J53" s="585"/>
      <c r="K53" s="585"/>
    </row>
    <row r="54" customFormat="false" ht="15" hidden="false" customHeight="false" outlineLevel="0" collapsed="false">
      <c r="A54" s="131" t="s">
        <v>465</v>
      </c>
      <c r="B54" s="276"/>
      <c r="C54" s="276"/>
      <c r="D54" s="276"/>
      <c r="E54" s="276"/>
      <c r="F54" s="276"/>
      <c r="G54" s="276"/>
      <c r="H54" s="276"/>
      <c r="I54" s="276"/>
      <c r="J54" s="276"/>
      <c r="K54" s="277"/>
    </row>
    <row r="55" customFormat="false" ht="15" hidden="false" customHeight="false" outlineLevel="0" collapsed="false">
      <c r="A55" s="261"/>
      <c r="B55" s="158"/>
      <c r="C55" s="158"/>
      <c r="D55" s="158"/>
      <c r="E55" s="158"/>
      <c r="F55" s="158"/>
      <c r="G55" s="158"/>
      <c r="H55" s="158"/>
      <c r="I55" s="158"/>
      <c r="J55" s="158"/>
      <c r="K55" s="167"/>
    </row>
    <row r="56" customFormat="false" ht="15" hidden="false" customHeight="false" outlineLevel="0" collapsed="false">
      <c r="A56" s="262"/>
      <c r="B56" s="73"/>
      <c r="C56" s="73"/>
      <c r="D56" s="73"/>
      <c r="E56" s="73"/>
      <c r="F56" s="73"/>
      <c r="G56" s="73"/>
      <c r="H56" s="73"/>
      <c r="I56" s="73"/>
      <c r="J56" s="73"/>
      <c r="K56" s="263"/>
    </row>
    <row r="57" customFormat="false" ht="15" hidden="false" customHeight="false" outlineLevel="0" collapsed="false">
      <c r="A57" s="262"/>
      <c r="B57" s="73"/>
      <c r="C57" s="73"/>
      <c r="D57" s="73"/>
      <c r="E57" s="73"/>
      <c r="F57" s="73"/>
      <c r="G57" s="73"/>
      <c r="H57" s="73"/>
      <c r="I57" s="73"/>
      <c r="J57" s="73"/>
      <c r="K57" s="263"/>
    </row>
    <row r="58" customFormat="false" ht="15" hidden="false" customHeight="false" outlineLevel="0" collapsed="false">
      <c r="A58" s="266"/>
      <c r="B58" s="161"/>
      <c r="C58" s="161"/>
      <c r="D58" s="161"/>
      <c r="E58" s="161"/>
      <c r="F58" s="161"/>
      <c r="G58" s="161"/>
      <c r="H58" s="161"/>
      <c r="I58" s="161"/>
      <c r="J58" s="161"/>
      <c r="K58" s="267"/>
    </row>
    <row r="59" customFormat="false" ht="15" hidden="false" customHeight="false" outlineLevel="0" collapsed="false">
      <c r="A59" s="314"/>
    </row>
    <row r="60" customFormat="false" ht="15" hidden="false" customHeight="false" outlineLevel="0" collapsed="false">
      <c r="A60" s="131" t="s">
        <v>466</v>
      </c>
      <c r="B60" s="276"/>
      <c r="C60" s="276"/>
      <c r="D60" s="276"/>
      <c r="E60" s="276"/>
      <c r="F60" s="276"/>
      <c r="G60" s="276"/>
      <c r="H60" s="276"/>
      <c r="I60" s="276"/>
      <c r="J60" s="276"/>
      <c r="K60" s="277"/>
    </row>
    <row r="61" customFormat="false" ht="15" hidden="false" customHeight="false" outlineLevel="0" collapsed="false">
      <c r="A61" s="261"/>
      <c r="B61" s="158"/>
      <c r="C61" s="158"/>
      <c r="D61" s="158"/>
      <c r="E61" s="158"/>
      <c r="F61" s="158"/>
      <c r="G61" s="158"/>
      <c r="H61" s="158"/>
      <c r="I61" s="158"/>
      <c r="J61" s="158"/>
      <c r="K61" s="167"/>
    </row>
    <row r="62" customFormat="false" ht="15" hidden="false" customHeight="false" outlineLevel="0" collapsed="false">
      <c r="A62" s="262"/>
      <c r="B62" s="73"/>
      <c r="C62" s="73"/>
      <c r="D62" s="73"/>
      <c r="E62" s="73"/>
      <c r="F62" s="73"/>
      <c r="G62" s="73"/>
      <c r="H62" s="73"/>
      <c r="I62" s="73"/>
      <c r="J62" s="73"/>
      <c r="K62" s="263"/>
    </row>
    <row r="63" customFormat="false" ht="15" hidden="false" customHeight="false" outlineLevel="0" collapsed="false">
      <c r="A63" s="262"/>
      <c r="B63" s="73"/>
      <c r="C63" s="73"/>
      <c r="D63" s="73"/>
      <c r="E63" s="73"/>
      <c r="F63" s="73"/>
      <c r="G63" s="73"/>
      <c r="H63" s="73"/>
      <c r="I63" s="73"/>
      <c r="J63" s="73"/>
      <c r="K63" s="263"/>
    </row>
    <row r="64" customFormat="false" ht="15" hidden="false" customHeight="false" outlineLevel="0" collapsed="false">
      <c r="A64" s="266"/>
      <c r="B64" s="161"/>
      <c r="C64" s="161"/>
      <c r="D64" s="161"/>
      <c r="E64" s="161"/>
      <c r="F64" s="161"/>
      <c r="G64" s="161"/>
      <c r="H64" s="161"/>
      <c r="I64" s="161"/>
      <c r="J64" s="161"/>
      <c r="K64" s="267"/>
    </row>
    <row r="65" customFormat="false" ht="15" hidden="false" customHeight="false" outlineLevel="0" collapsed="false">
      <c r="A65" s="314"/>
    </row>
    <row r="66" customFormat="false" ht="15" hidden="false" customHeight="false" outlineLevel="0" collapsed="false">
      <c r="A66" s="131" t="s">
        <v>447</v>
      </c>
      <c r="B66" s="132"/>
      <c r="C66" s="132"/>
      <c r="D66" s="132"/>
      <c r="E66" s="132"/>
      <c r="F66" s="132"/>
      <c r="G66" s="132"/>
      <c r="H66" s="132"/>
      <c r="I66" s="132"/>
      <c r="J66" s="132"/>
      <c r="K66" s="133"/>
    </row>
    <row r="67" customFormat="false" ht="15" hidden="false" customHeight="false" outlineLevel="0" collapsed="false">
      <c r="A67" s="261"/>
      <c r="B67" s="158"/>
      <c r="C67" s="158"/>
      <c r="D67" s="158"/>
      <c r="E67" s="158"/>
      <c r="F67" s="158"/>
      <c r="G67" s="158"/>
      <c r="H67" s="158"/>
      <c r="I67" s="158"/>
      <c r="J67" s="158"/>
      <c r="K67" s="167"/>
    </row>
    <row r="68" customFormat="false" ht="15" hidden="false" customHeight="false" outlineLevel="0" collapsed="false">
      <c r="A68" s="266"/>
      <c r="B68" s="161"/>
      <c r="C68" s="161"/>
      <c r="D68" s="161"/>
      <c r="E68" s="161"/>
      <c r="F68" s="161"/>
      <c r="G68" s="161"/>
      <c r="H68" s="161"/>
      <c r="I68" s="161"/>
      <c r="J68" s="161"/>
      <c r="K68" s="267"/>
    </row>
    <row r="69" customFormat="false" ht="15" hidden="false" customHeight="false" outlineLevel="0" collapsed="false">
      <c r="A69" s="257"/>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8.xml><?xml version="1.0" encoding="utf-8"?>
<worksheet xmlns="http://schemas.openxmlformats.org/spreadsheetml/2006/main" xmlns:r="http://schemas.openxmlformats.org/officeDocument/2006/relationships">
  <sheetPr filterMode="false">
    <tabColor rgb="FF969696"/>
    <pageSetUpPr fitToPage="true"/>
  </sheetPr>
  <dimension ref="A1:L43"/>
  <sheetViews>
    <sheetView showFormulas="false" showGridLines="false" showRowColHeaders="true" showZeros="true" rightToLeft="false" tabSelected="false" showOutlineSymbols="true" defaultGridColor="true" view="normal" topLeftCell="A22" colorId="64" zoomScale="100" zoomScaleNormal="100" zoomScalePageLayoutView="100" workbookViewId="0">
      <selection pane="topLeft" activeCell="C24" activeCellId="0" sqref="C24"/>
    </sheetView>
  </sheetViews>
  <sheetFormatPr defaultRowHeight="15" zeroHeight="true" outlineLevelRow="0" outlineLevelCol="0"/>
  <cols>
    <col collapsed="false" customWidth="true" hidden="false" outlineLevel="0" max="1" min="1" style="52" width="13.86"/>
    <col collapsed="false" customWidth="true" hidden="false" outlineLevel="0" max="11" min="2" style="48" width="13.86"/>
    <col collapsed="false" customWidth="true" hidden="false" outlineLevel="0" max="12" min="12" style="16" width="1.14"/>
    <col collapsed="false" customWidth="true" hidden="true" outlineLevel="0" max="1025" min="13" style="48" width="10.99"/>
  </cols>
  <sheetData>
    <row r="1" customFormat="false" ht="28.5" hidden="false" customHeight="false" outlineLevel="0" collapsed="false">
      <c r="A1" s="113" t="str">
        <f aca="false">'6.0 New Truck Sales'!A1</f>
        <v>Strategy and Implementation</v>
      </c>
      <c r="B1" s="114"/>
      <c r="C1" s="114"/>
      <c r="D1" s="114"/>
      <c r="E1" s="114"/>
      <c r="F1" s="114"/>
      <c r="G1" s="114"/>
      <c r="H1" s="114"/>
      <c r="I1" s="114"/>
      <c r="J1" s="114"/>
      <c r="K1" s="115" t="s">
        <v>467</v>
      </c>
    </row>
    <row r="2" customFormat="false" ht="15" hidden="false" customHeight="false" outlineLevel="0" collapsed="false">
      <c r="B2" s="116"/>
      <c r="C2" s="117"/>
      <c r="D2" s="86"/>
      <c r="E2" s="118"/>
      <c r="H2" s="119"/>
      <c r="I2" s="86"/>
      <c r="J2" s="86"/>
      <c r="K2" s="120"/>
    </row>
    <row r="3" customFormat="false" ht="15" hidden="false" customHeight="false" outlineLevel="0" collapsed="false">
      <c r="A3" s="52" t="s">
        <v>103</v>
      </c>
      <c r="B3" s="116"/>
      <c r="C3" s="67" t="str">
        <f aca="false">'Reference sheet'!C12</f>
        <v>TEST</v>
      </c>
      <c r="D3" s="86"/>
      <c r="E3" s="118"/>
      <c r="G3" s="121" t="s">
        <v>49</v>
      </c>
      <c r="H3" s="122"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3.15" hidden="false" customHeight="true" outlineLevel="0" collapsed="false">
      <c r="A5" s="314"/>
    </row>
    <row r="6" customFormat="false" ht="15" hidden="false" customHeight="false" outlineLevel="0" collapsed="false">
      <c r="A6" s="131" t="s">
        <v>468</v>
      </c>
      <c r="B6" s="132"/>
      <c r="C6" s="132"/>
      <c r="D6" s="132"/>
      <c r="E6" s="132"/>
      <c r="F6" s="132"/>
      <c r="G6" s="132"/>
      <c r="H6" s="132"/>
      <c r="I6" s="132"/>
      <c r="J6" s="132"/>
      <c r="K6" s="133"/>
    </row>
    <row r="7" customFormat="false" ht="15" hidden="false" customHeight="false" outlineLevel="0" collapsed="false">
      <c r="A7" s="261"/>
      <c r="B7" s="158"/>
      <c r="C7" s="158"/>
      <c r="D7" s="158"/>
      <c r="E7" s="158"/>
      <c r="F7" s="158"/>
      <c r="G7" s="158"/>
      <c r="H7" s="158"/>
      <c r="I7" s="158"/>
      <c r="J7" s="158"/>
      <c r="K7" s="167"/>
    </row>
    <row r="8" customFormat="false" ht="15" hidden="false" customHeight="false" outlineLevel="0" collapsed="false">
      <c r="A8" s="262"/>
      <c r="B8" s="73"/>
      <c r="C8" s="73"/>
      <c r="D8" s="73"/>
      <c r="E8" s="73"/>
      <c r="F8" s="73"/>
      <c r="G8" s="73"/>
      <c r="H8" s="73"/>
      <c r="I8" s="73"/>
      <c r="J8" s="73"/>
      <c r="K8" s="263"/>
    </row>
    <row r="9" customFormat="false" ht="15" hidden="false" customHeight="false" outlineLevel="0" collapsed="false">
      <c r="A9" s="262"/>
      <c r="B9" s="73"/>
      <c r="C9" s="73"/>
      <c r="D9" s="73"/>
      <c r="E9" s="73"/>
      <c r="F9" s="73"/>
      <c r="G9" s="73"/>
      <c r="H9" s="73"/>
      <c r="I9" s="73"/>
      <c r="J9" s="73"/>
      <c r="K9" s="263"/>
    </row>
    <row r="10" customFormat="false" ht="15" hidden="false" customHeight="false" outlineLevel="0" collapsed="false">
      <c r="A10" s="262"/>
      <c r="B10" s="73"/>
      <c r="C10" s="73"/>
      <c r="D10" s="73"/>
      <c r="E10" s="73"/>
      <c r="F10" s="73"/>
      <c r="G10" s="73"/>
      <c r="H10" s="73"/>
      <c r="I10" s="73"/>
      <c r="J10" s="73"/>
      <c r="K10" s="263"/>
    </row>
    <row r="11" customFormat="false" ht="15" hidden="false" customHeight="false" outlineLevel="0" collapsed="false">
      <c r="A11" s="266"/>
      <c r="B11" s="161"/>
      <c r="C11" s="161"/>
      <c r="D11" s="161"/>
      <c r="E11" s="161"/>
      <c r="F11" s="161"/>
      <c r="G11" s="161"/>
      <c r="H11" s="161"/>
      <c r="I11" s="161"/>
      <c r="J11" s="161"/>
      <c r="K11" s="267"/>
    </row>
    <row r="12" customFormat="false" ht="15" hidden="false" customHeight="false" outlineLevel="0" collapsed="false">
      <c r="A12" s="314"/>
    </row>
    <row r="13" customFormat="false" ht="15" hidden="false" customHeight="false" outlineLevel="0" collapsed="false">
      <c r="A13" s="131" t="s">
        <v>469</v>
      </c>
      <c r="B13" s="132"/>
      <c r="C13" s="132"/>
      <c r="D13" s="132"/>
      <c r="E13" s="132"/>
      <c r="F13" s="132"/>
      <c r="G13" s="132"/>
      <c r="H13" s="132"/>
      <c r="I13" s="132"/>
      <c r="J13" s="132"/>
      <c r="K13" s="133"/>
    </row>
    <row r="14" customFormat="false" ht="15" hidden="false" customHeight="false" outlineLevel="0" collapsed="false">
      <c r="A14" s="506" t="s">
        <v>470</v>
      </c>
      <c r="B14" s="257"/>
      <c r="C14" s="694"/>
      <c r="D14" s="257"/>
      <c r="E14" s="257"/>
      <c r="F14" s="257"/>
      <c r="G14" s="257"/>
      <c r="H14" s="257"/>
      <c r="I14" s="257"/>
      <c r="J14" s="257"/>
      <c r="K14" s="260"/>
    </row>
    <row r="15" customFormat="false" ht="15" hidden="false" customHeight="false" outlineLevel="0" collapsed="false">
      <c r="A15" s="52" t="s">
        <v>471</v>
      </c>
      <c r="C15" s="695"/>
      <c r="K15" s="54"/>
    </row>
    <row r="16" customFormat="false" ht="15" hidden="false" customHeight="false" outlineLevel="0" collapsed="false">
      <c r="A16" s="52" t="s">
        <v>472</v>
      </c>
      <c r="C16" s="696" t="n">
        <f aca="false">C14*C15</f>
        <v>0</v>
      </c>
      <c r="K16" s="54"/>
    </row>
    <row r="17" customFormat="false" ht="15" hidden="false" customHeight="false" outlineLevel="0" collapsed="false">
      <c r="K17" s="54"/>
    </row>
    <row r="18" customFormat="false" ht="15" hidden="false" customHeight="false" outlineLevel="0" collapsed="false">
      <c r="A18" s="52" t="s">
        <v>473</v>
      </c>
      <c r="C18" s="261"/>
      <c r="D18" s="158"/>
      <c r="E18" s="158"/>
      <c r="F18" s="158"/>
      <c r="G18" s="158"/>
      <c r="H18" s="158"/>
      <c r="I18" s="158"/>
      <c r="J18" s="158"/>
      <c r="K18" s="167"/>
    </row>
    <row r="19" customFormat="false" ht="15" hidden="false" customHeight="false" outlineLevel="0" collapsed="false">
      <c r="A19" s="274"/>
      <c r="B19" s="265"/>
      <c r="C19" s="262"/>
      <c r="D19" s="73"/>
      <c r="E19" s="73"/>
      <c r="F19" s="73"/>
      <c r="G19" s="73"/>
      <c r="H19" s="73"/>
      <c r="I19" s="73"/>
      <c r="J19" s="73"/>
      <c r="K19" s="263"/>
    </row>
    <row r="20" customFormat="false" ht="15" hidden="false" customHeight="false" outlineLevel="0" collapsed="false">
      <c r="A20" s="288"/>
      <c r="B20" s="268"/>
      <c r="C20" s="266"/>
      <c r="D20" s="161"/>
      <c r="E20" s="161"/>
      <c r="F20" s="161"/>
      <c r="G20" s="161"/>
      <c r="H20" s="161"/>
      <c r="I20" s="161"/>
      <c r="J20" s="161"/>
      <c r="K20" s="267"/>
    </row>
    <row r="21" customFormat="false" ht="15" hidden="false" customHeight="false" outlineLevel="0" collapsed="false">
      <c r="A21" s="314"/>
    </row>
    <row r="22" customFormat="false" ht="15" hidden="false" customHeight="false" outlineLevel="0" collapsed="false">
      <c r="A22" s="131" t="s">
        <v>474</v>
      </c>
      <c r="B22" s="132"/>
      <c r="C22" s="132"/>
      <c r="D22" s="132"/>
      <c r="E22" s="132"/>
      <c r="F22" s="132"/>
      <c r="G22" s="132"/>
      <c r="H22" s="132"/>
      <c r="I22" s="132"/>
      <c r="J22" s="132"/>
      <c r="K22" s="133"/>
    </row>
    <row r="23" customFormat="false" ht="15" hidden="false" customHeight="false" outlineLevel="0" collapsed="false">
      <c r="A23" s="506" t="s">
        <v>475</v>
      </c>
      <c r="B23" s="257"/>
      <c r="C23" s="691"/>
      <c r="D23" s="697"/>
      <c r="E23" s="697" t="s">
        <v>476</v>
      </c>
      <c r="F23" s="697"/>
      <c r="G23" s="698" t="n">
        <f aca="false">'7.2.3 Turnover Service &amp; Body'!C15</f>
        <v>0.00450008783175006</v>
      </c>
      <c r="H23" s="697"/>
      <c r="I23" s="697"/>
      <c r="J23" s="697"/>
      <c r="K23" s="699"/>
    </row>
    <row r="24" customFormat="false" ht="15" hidden="false" customHeight="false" outlineLevel="0" collapsed="false">
      <c r="A24" s="52" t="s">
        <v>473</v>
      </c>
      <c r="C24" s="261"/>
      <c r="D24" s="158"/>
      <c r="E24" s="158"/>
      <c r="F24" s="158"/>
      <c r="G24" s="158"/>
      <c r="H24" s="158"/>
      <c r="I24" s="158"/>
      <c r="J24" s="158"/>
      <c r="K24" s="167"/>
    </row>
    <row r="25" customFormat="false" ht="15" hidden="false" customHeight="false" outlineLevel="0" collapsed="false">
      <c r="C25" s="262"/>
      <c r="D25" s="73"/>
      <c r="E25" s="73"/>
      <c r="F25" s="73"/>
      <c r="G25" s="73"/>
      <c r="H25" s="73"/>
      <c r="I25" s="73"/>
      <c r="J25" s="73"/>
      <c r="K25" s="263"/>
    </row>
    <row r="26" customFormat="false" ht="15" hidden="false" customHeight="false" outlineLevel="0" collapsed="false">
      <c r="A26" s="82"/>
      <c r="B26" s="107"/>
      <c r="C26" s="266"/>
      <c r="D26" s="161"/>
      <c r="E26" s="161"/>
      <c r="F26" s="161"/>
      <c r="G26" s="161"/>
      <c r="H26" s="161"/>
      <c r="I26" s="161"/>
      <c r="J26" s="161"/>
      <c r="K26" s="267"/>
    </row>
    <row r="27" customFormat="false" ht="15" hidden="false" customHeight="false" outlineLevel="0" collapsed="false">
      <c r="A27" s="314"/>
    </row>
    <row r="28" s="53" customFormat="true" ht="15" hidden="false" customHeight="false" outlineLevel="0" collapsed="false">
      <c r="A28" s="131" t="s">
        <v>477</v>
      </c>
      <c r="B28" s="276"/>
      <c r="C28" s="276"/>
      <c r="D28" s="276"/>
      <c r="E28" s="276"/>
      <c r="F28" s="276"/>
      <c r="G28" s="276"/>
      <c r="H28" s="276"/>
      <c r="I28" s="276"/>
      <c r="J28" s="276"/>
      <c r="K28" s="277"/>
      <c r="L28" s="16"/>
    </row>
    <row r="29" customFormat="false" ht="15" hidden="false" customHeight="false" outlineLevel="0" collapsed="false">
      <c r="A29" s="261"/>
      <c r="B29" s="158"/>
      <c r="C29" s="158"/>
      <c r="D29" s="158"/>
      <c r="E29" s="158"/>
      <c r="F29" s="158"/>
      <c r="G29" s="158"/>
      <c r="H29" s="158"/>
      <c r="I29" s="158"/>
      <c r="J29" s="158"/>
      <c r="K29" s="167"/>
    </row>
    <row r="30" customFormat="false" ht="15" hidden="false" customHeight="false" outlineLevel="0" collapsed="false">
      <c r="A30" s="262"/>
      <c r="B30" s="73"/>
      <c r="C30" s="73"/>
      <c r="D30" s="73"/>
      <c r="E30" s="73"/>
      <c r="F30" s="73"/>
      <c r="G30" s="73"/>
      <c r="H30" s="73"/>
      <c r="I30" s="73"/>
      <c r="J30" s="73"/>
      <c r="K30" s="263"/>
    </row>
    <row r="31" customFormat="false" ht="15" hidden="false" customHeight="false" outlineLevel="0" collapsed="false">
      <c r="A31" s="262"/>
      <c r="B31" s="73"/>
      <c r="C31" s="73"/>
      <c r="D31" s="73"/>
      <c r="E31" s="73"/>
      <c r="F31" s="73"/>
      <c r="G31" s="73"/>
      <c r="H31" s="73"/>
      <c r="I31" s="73"/>
      <c r="J31" s="73"/>
      <c r="K31" s="263"/>
    </row>
    <row r="32" customFormat="false" ht="15" hidden="false" customHeight="false" outlineLevel="0" collapsed="false">
      <c r="A32" s="266"/>
      <c r="B32" s="161"/>
      <c r="C32" s="161"/>
      <c r="D32" s="161"/>
      <c r="E32" s="161"/>
      <c r="F32" s="161"/>
      <c r="G32" s="161"/>
      <c r="H32" s="161"/>
      <c r="I32" s="161"/>
      <c r="J32" s="161"/>
      <c r="K32" s="267"/>
    </row>
    <row r="33" customFormat="false" ht="15" hidden="false" customHeight="false" outlineLevel="0" collapsed="false">
      <c r="A33" s="314"/>
    </row>
    <row r="34" customFormat="false" ht="15" hidden="false" customHeight="false" outlineLevel="0" collapsed="false">
      <c r="A34" s="131" t="s">
        <v>478</v>
      </c>
      <c r="B34" s="276"/>
      <c r="C34" s="276"/>
      <c r="D34" s="276"/>
      <c r="E34" s="276"/>
      <c r="F34" s="276"/>
      <c r="G34" s="276"/>
      <c r="H34" s="276"/>
      <c r="I34" s="276"/>
      <c r="J34" s="276"/>
      <c r="K34" s="277"/>
    </row>
    <row r="35" customFormat="false" ht="15" hidden="false" customHeight="false" outlineLevel="0" collapsed="false">
      <c r="A35" s="261"/>
      <c r="B35" s="158"/>
      <c r="C35" s="158"/>
      <c r="D35" s="158"/>
      <c r="E35" s="158"/>
      <c r="F35" s="158"/>
      <c r="G35" s="158"/>
      <c r="H35" s="158"/>
      <c r="I35" s="158"/>
      <c r="J35" s="158"/>
      <c r="K35" s="167"/>
    </row>
    <row r="36" customFormat="false" ht="15" hidden="false" customHeight="false" outlineLevel="0" collapsed="false">
      <c r="A36" s="262"/>
      <c r="B36" s="73"/>
      <c r="C36" s="73"/>
      <c r="D36" s="73"/>
      <c r="E36" s="73"/>
      <c r="F36" s="73"/>
      <c r="G36" s="73"/>
      <c r="H36" s="73"/>
      <c r="I36" s="73"/>
      <c r="J36" s="73"/>
      <c r="K36" s="263"/>
    </row>
    <row r="37" customFormat="false" ht="15" hidden="false" customHeight="false" outlineLevel="0" collapsed="false">
      <c r="A37" s="262"/>
      <c r="B37" s="73"/>
      <c r="C37" s="73"/>
      <c r="D37" s="73"/>
      <c r="E37" s="73"/>
      <c r="F37" s="73"/>
      <c r="G37" s="73"/>
      <c r="H37" s="73"/>
      <c r="I37" s="73"/>
      <c r="J37" s="73"/>
      <c r="K37" s="263"/>
    </row>
    <row r="38" customFormat="false" ht="15" hidden="false" customHeight="false" outlineLevel="0" collapsed="false">
      <c r="A38" s="266"/>
      <c r="B38" s="161"/>
      <c r="C38" s="161"/>
      <c r="D38" s="161"/>
      <c r="E38" s="161"/>
      <c r="F38" s="161"/>
      <c r="G38" s="161"/>
      <c r="H38" s="161"/>
      <c r="I38" s="161"/>
      <c r="J38" s="161"/>
      <c r="K38" s="267"/>
    </row>
    <row r="39" customFormat="false" ht="15" hidden="false" customHeight="false" outlineLevel="0" collapsed="false">
      <c r="A39" s="314"/>
    </row>
    <row r="40" customFormat="false" ht="15" hidden="false" customHeight="false" outlineLevel="0" collapsed="false">
      <c r="A40" s="131" t="s">
        <v>479</v>
      </c>
      <c r="B40" s="132"/>
      <c r="C40" s="132"/>
      <c r="D40" s="132"/>
      <c r="E40" s="132"/>
      <c r="F40" s="132"/>
      <c r="G40" s="132"/>
      <c r="H40" s="132"/>
      <c r="I40" s="132"/>
      <c r="J40" s="132"/>
      <c r="K40" s="133"/>
    </row>
    <row r="41" customFormat="false" ht="15" hidden="false" customHeight="false" outlineLevel="0" collapsed="false">
      <c r="A41" s="261"/>
      <c r="B41" s="158"/>
      <c r="C41" s="158"/>
      <c r="D41" s="158"/>
      <c r="E41" s="158"/>
      <c r="F41" s="158"/>
      <c r="G41" s="158"/>
      <c r="H41" s="158"/>
      <c r="I41" s="158"/>
      <c r="J41" s="158"/>
      <c r="K41" s="167"/>
    </row>
    <row r="42" customFormat="false" ht="15" hidden="false" customHeight="false" outlineLevel="0" collapsed="false">
      <c r="A42" s="266"/>
      <c r="B42" s="161"/>
      <c r="C42" s="161"/>
      <c r="D42" s="161"/>
      <c r="E42" s="161"/>
      <c r="F42" s="161"/>
      <c r="G42" s="161"/>
      <c r="H42" s="161"/>
      <c r="I42" s="161"/>
      <c r="J42" s="161"/>
      <c r="K42" s="267"/>
    </row>
    <row r="43" customFormat="false" ht="15" hidden="false" customHeight="false" outlineLevel="0" collapsed="false">
      <c r="A43" s="257"/>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29.xml><?xml version="1.0" encoding="utf-8"?>
<worksheet xmlns="http://schemas.openxmlformats.org/spreadsheetml/2006/main" xmlns:r="http://schemas.openxmlformats.org/officeDocument/2006/relationships">
  <sheetPr filterMode="false">
    <pageSetUpPr fitToPage="false"/>
  </sheetPr>
  <dimension ref="A1:AF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3" activeCellId="0" sqref="H13"/>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5.43"/>
    <col collapsed="false" customWidth="true" hidden="false" outlineLevel="0" max="6" min="6" style="16" width="2.71"/>
    <col collapsed="false" customWidth="true" hidden="false" outlineLevel="0" max="21" min="7" style="4" width="8.86"/>
    <col collapsed="false" customWidth="true" hidden="false" outlineLevel="0" max="22" min="22" style="4" width="8.42"/>
    <col collapsed="false" customWidth="true" hidden="false" outlineLevel="0" max="23" min="23" style="4" width="3.57"/>
    <col collapsed="false" customWidth="true" hidden="true" outlineLevel="0" max="26" min="24" style="4" width="2.85"/>
    <col collapsed="false" customWidth="true" hidden="true" outlineLevel="0" max="30" min="27" style="4" width="5.14"/>
    <col collapsed="false" customWidth="true" hidden="true" outlineLevel="0" max="31" min="31" style="4" width="8.57"/>
    <col collapsed="false" customWidth="true" hidden="true" outlineLevel="0" max="32" min="32" style="4" width="2"/>
    <col collapsed="false" customWidth="true" hidden="true" outlineLevel="0" max="255" min="33" style="4" width="9.14"/>
    <col collapsed="false" customWidth="false" hidden="true" outlineLevel="0" max="1025" min="256" style="4" width="11.52"/>
  </cols>
  <sheetData>
    <row r="1" customFormat="false" ht="15" hidden="false" customHeight="false" outlineLevel="0" collapsed="false">
      <c r="A1" s="700"/>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4"/>
    </row>
    <row r="2" customFormat="false" ht="37.5" hidden="false" customHeight="true" outlineLevel="0" collapsed="false">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8"/>
    </row>
    <row r="3" customFormat="false" ht="28.5" hidden="false" customHeight="false" outlineLevel="0" collapsed="false">
      <c r="A3" s="384" t="s">
        <v>480</v>
      </c>
      <c r="B3" s="384"/>
      <c r="C3" s="384"/>
      <c r="D3" s="384"/>
      <c r="E3" s="384"/>
      <c r="F3" s="384"/>
      <c r="G3" s="384"/>
      <c r="H3" s="384"/>
      <c r="I3" s="384"/>
      <c r="J3" s="384"/>
      <c r="K3" s="384"/>
      <c r="L3" s="384"/>
      <c r="M3" s="384"/>
      <c r="N3" s="384"/>
      <c r="O3" s="384"/>
      <c r="P3" s="384"/>
      <c r="Q3" s="384"/>
      <c r="R3" s="384"/>
      <c r="S3" s="384"/>
      <c r="T3" s="384"/>
      <c r="U3" s="384"/>
      <c r="V3" s="384"/>
      <c r="W3" s="384"/>
      <c r="X3" s="701"/>
      <c r="Y3" s="701"/>
      <c r="Z3" s="701"/>
      <c r="AA3" s="701"/>
      <c r="AB3" s="701"/>
      <c r="AC3" s="701"/>
      <c r="AD3" s="701"/>
      <c r="AE3" s="701"/>
      <c r="AF3" s="701"/>
    </row>
    <row r="4" customFormat="false" ht="15" hidden="false" customHeight="true" outlineLevel="0" collapsed="false">
      <c r="A4" s="90"/>
      <c r="B4" s="91"/>
      <c r="C4" s="91"/>
      <c r="D4" s="91"/>
      <c r="E4" s="91"/>
      <c r="F4" s="91"/>
      <c r="G4" s="91"/>
      <c r="H4" s="91"/>
      <c r="I4" s="91"/>
      <c r="J4" s="91"/>
      <c r="K4" s="91"/>
      <c r="L4" s="91"/>
      <c r="M4" s="91"/>
      <c r="N4" s="91"/>
      <c r="O4" s="91"/>
      <c r="P4" s="91"/>
      <c r="Q4" s="91"/>
      <c r="R4" s="91"/>
      <c r="S4" s="91"/>
      <c r="T4" s="91"/>
      <c r="U4" s="91"/>
      <c r="V4" s="91"/>
      <c r="W4" s="93"/>
      <c r="X4" s="93"/>
      <c r="Y4" s="93"/>
      <c r="Z4" s="93"/>
      <c r="AA4" s="93"/>
      <c r="AB4" s="93"/>
      <c r="AC4" s="93"/>
      <c r="AD4" s="93"/>
      <c r="AE4" s="93"/>
      <c r="AF4" s="94"/>
    </row>
    <row r="5" customFormat="false" ht="15" hidden="false" customHeight="false" outlineLevel="0" collapsed="false">
      <c r="A5" s="90"/>
      <c r="B5" s="398" t="s">
        <v>174</v>
      </c>
      <c r="C5" s="403"/>
      <c r="D5" s="398" t="s">
        <v>481</v>
      </c>
      <c r="E5" s="398"/>
      <c r="F5" s="399"/>
      <c r="G5" s="398" t="s">
        <v>325</v>
      </c>
      <c r="H5" s="398"/>
      <c r="I5" s="398"/>
      <c r="J5" s="398"/>
      <c r="K5" s="398"/>
      <c r="L5" s="398"/>
      <c r="M5" s="398"/>
      <c r="N5" s="398"/>
      <c r="O5" s="398"/>
      <c r="P5" s="398"/>
      <c r="Q5" s="398"/>
      <c r="R5" s="398"/>
      <c r="S5" s="398"/>
      <c r="T5" s="398"/>
      <c r="U5" s="398"/>
      <c r="V5" s="702"/>
      <c r="W5" s="91"/>
      <c r="X5" s="91"/>
      <c r="Y5" s="91"/>
      <c r="Z5" s="91"/>
      <c r="AA5" s="91"/>
      <c r="AB5" s="91"/>
      <c r="AC5" s="91"/>
      <c r="AD5" s="91"/>
      <c r="AE5" s="91"/>
      <c r="AF5" s="96"/>
    </row>
    <row r="6" customFormat="false" ht="15" hidden="false" customHeight="false" outlineLevel="0" collapsed="false">
      <c r="A6" s="90"/>
      <c r="B6" s="402" t="s">
        <v>298</v>
      </c>
      <c r="C6" s="403"/>
      <c r="D6" s="431" t="s">
        <v>482</v>
      </c>
      <c r="E6" s="417" t="s">
        <v>483</v>
      </c>
      <c r="F6" s="403"/>
      <c r="G6" s="431" t="s">
        <v>299</v>
      </c>
      <c r="H6" s="432" t="s">
        <v>300</v>
      </c>
      <c r="I6" s="432" t="s">
        <v>301</v>
      </c>
      <c r="J6" s="432" t="s">
        <v>302</v>
      </c>
      <c r="K6" s="432" t="s">
        <v>303</v>
      </c>
      <c r="L6" s="432" t="s">
        <v>304</v>
      </c>
      <c r="M6" s="432" t="s">
        <v>305</v>
      </c>
      <c r="N6" s="432" t="s">
        <v>306</v>
      </c>
      <c r="O6" s="432" t="s">
        <v>307</v>
      </c>
      <c r="P6" s="432" t="s">
        <v>308</v>
      </c>
      <c r="Q6" s="432" t="s">
        <v>309</v>
      </c>
      <c r="R6" s="432" t="s">
        <v>310</v>
      </c>
      <c r="S6" s="432" t="s">
        <v>311</v>
      </c>
      <c r="T6" s="432" t="s">
        <v>312</v>
      </c>
      <c r="U6" s="417" t="s">
        <v>313</v>
      </c>
      <c r="V6" s="403"/>
      <c r="W6" s="91"/>
      <c r="X6" s="91"/>
      <c r="Y6" s="91"/>
      <c r="Z6" s="91"/>
      <c r="AA6" s="91"/>
      <c r="AB6" s="91"/>
      <c r="AC6" s="91"/>
      <c r="AD6" s="91"/>
      <c r="AE6" s="91"/>
      <c r="AF6" s="96"/>
    </row>
    <row r="7" customFormat="false" ht="15" hidden="false" customHeight="false" outlineLevel="0" collapsed="false">
      <c r="A7" s="90"/>
      <c r="B7" s="418" t="n">
        <v>45</v>
      </c>
      <c r="C7" s="98"/>
      <c r="D7" s="703" t="s">
        <v>484</v>
      </c>
      <c r="E7" s="703" t="n">
        <v>2</v>
      </c>
      <c r="F7" s="98"/>
      <c r="G7" s="704" t="n">
        <v>1460.44830026614</v>
      </c>
      <c r="H7" s="704" t="n">
        <v>1532.76144560429</v>
      </c>
      <c r="I7" s="704" t="n">
        <v>2227.59107967428</v>
      </c>
      <c r="J7" s="704" t="n">
        <v>2400.63415868632</v>
      </c>
      <c r="K7" s="704" t="n">
        <v>2354.45562887253</v>
      </c>
      <c r="L7" s="704" t="n">
        <v>1914.63561859744</v>
      </c>
      <c r="M7" s="704" t="n">
        <v>2034.30034475978</v>
      </c>
      <c r="N7" s="704" t="n">
        <v>2153.96507092212</v>
      </c>
      <c r="O7" s="704" t="n">
        <v>2273.62979708446</v>
      </c>
      <c r="P7" s="704" t="n">
        <v>2393.2945232468</v>
      </c>
      <c r="Q7" s="704" t="n">
        <v>2297.56274231693</v>
      </c>
      <c r="R7" s="704" t="n">
        <v>2201.83096138706</v>
      </c>
      <c r="S7" s="704" t="n">
        <v>2106.09918045719</v>
      </c>
      <c r="T7" s="704" t="n">
        <v>2010.36739952732</v>
      </c>
      <c r="U7" s="705" t="n">
        <v>1914.63561859744</v>
      </c>
      <c r="V7" s="706"/>
      <c r="W7" s="91"/>
      <c r="X7" s="91"/>
      <c r="Y7" s="91"/>
      <c r="Z7" s="91"/>
      <c r="AA7" s="91"/>
      <c r="AB7" s="91"/>
      <c r="AC7" s="91"/>
      <c r="AD7" s="91"/>
      <c r="AE7" s="91"/>
      <c r="AF7" s="96"/>
    </row>
    <row r="8" customFormat="false" ht="15" hidden="false" customHeight="false" outlineLevel="0" collapsed="false">
      <c r="A8" s="90"/>
      <c r="B8" s="707" t="n">
        <v>55</v>
      </c>
      <c r="C8" s="99"/>
      <c r="D8" s="707" t="s">
        <v>484</v>
      </c>
      <c r="E8" s="708" t="n">
        <v>2</v>
      </c>
      <c r="F8" s="98"/>
      <c r="G8" s="704" t="n">
        <v>1512.32201024369</v>
      </c>
      <c r="H8" s="704" t="n">
        <v>1262.59035217674</v>
      </c>
      <c r="I8" s="704" t="n">
        <v>1877.65801756423</v>
      </c>
      <c r="J8" s="704" t="n">
        <v>2296.28848498243</v>
      </c>
      <c r="K8" s="704" t="n">
        <v>2659.22047611802</v>
      </c>
      <c r="L8" s="704" t="n">
        <v>2943.27070167155</v>
      </c>
      <c r="M8" s="704" t="n">
        <v>3127.22512052602</v>
      </c>
      <c r="N8" s="704" t="n">
        <v>3311.1795393805</v>
      </c>
      <c r="O8" s="704" t="n">
        <v>3495.13395823497</v>
      </c>
      <c r="P8" s="704" t="n">
        <v>3679.08837708944</v>
      </c>
      <c r="Q8" s="704" t="n">
        <v>3531.92484200586</v>
      </c>
      <c r="R8" s="704" t="n">
        <v>3384.76130692229</v>
      </c>
      <c r="S8" s="704" t="n">
        <v>3237.59777183871</v>
      </c>
      <c r="T8" s="704" t="n">
        <v>3090.43423675513</v>
      </c>
      <c r="U8" s="705" t="n">
        <v>2943.27070167155</v>
      </c>
      <c r="V8" s="706"/>
      <c r="W8" s="91"/>
      <c r="X8" s="91"/>
      <c r="Y8" s="91"/>
      <c r="Z8" s="91"/>
      <c r="AA8" s="91"/>
      <c r="AB8" s="91"/>
      <c r="AC8" s="91"/>
      <c r="AD8" s="91"/>
      <c r="AE8" s="91"/>
      <c r="AF8" s="96"/>
    </row>
    <row r="9" customFormat="false" ht="15" hidden="false" customHeight="false" outlineLevel="0" collapsed="false">
      <c r="A9" s="90"/>
      <c r="B9" s="707"/>
      <c r="C9" s="99"/>
      <c r="D9" s="707"/>
      <c r="E9" s="709" t="n">
        <v>3</v>
      </c>
      <c r="F9" s="98"/>
      <c r="G9" s="704" t="n">
        <v>1869.94858747339</v>
      </c>
      <c r="H9" s="704" t="n">
        <v>1724.91366185026</v>
      </c>
      <c r="I9" s="704" t="n">
        <v>3103.49231176823</v>
      </c>
      <c r="J9" s="704" t="n">
        <v>3293.69967663031</v>
      </c>
      <c r="K9" s="704" t="n">
        <v>3826.06592668078</v>
      </c>
      <c r="L9" s="704" t="n">
        <v>4234.77058016287</v>
      </c>
      <c r="M9" s="704" t="n">
        <v>4499.44374142305</v>
      </c>
      <c r="N9" s="704" t="n">
        <v>4764.11690268323</v>
      </c>
      <c r="O9" s="704" t="n">
        <v>5028.79006394341</v>
      </c>
      <c r="P9" s="704" t="n">
        <v>5293.46322520359</v>
      </c>
      <c r="Q9" s="704" t="n">
        <v>5081.72469619545</v>
      </c>
      <c r="R9" s="704" t="n">
        <v>4869.98616718731</v>
      </c>
      <c r="S9" s="704" t="n">
        <v>4658.24763817916</v>
      </c>
      <c r="T9" s="704" t="n">
        <v>4446.50910917102</v>
      </c>
      <c r="U9" s="705" t="n">
        <v>4234.77058016287</v>
      </c>
      <c r="V9" s="706"/>
      <c r="W9" s="91"/>
      <c r="X9" s="91"/>
      <c r="Y9" s="91"/>
      <c r="Z9" s="91"/>
      <c r="AA9" s="91"/>
      <c r="AB9" s="91"/>
      <c r="AC9" s="91"/>
      <c r="AD9" s="91"/>
      <c r="AE9" s="91"/>
      <c r="AF9" s="96"/>
    </row>
    <row r="10" customFormat="false" ht="15" hidden="false" customHeight="false" outlineLevel="0" collapsed="false">
      <c r="A10" s="90"/>
      <c r="B10" s="707"/>
      <c r="C10" s="98"/>
      <c r="D10" s="418" t="s">
        <v>485</v>
      </c>
      <c r="E10" s="418" t="n">
        <v>2</v>
      </c>
      <c r="F10" s="98"/>
      <c r="G10" s="704" t="n">
        <v>1647.08706067766</v>
      </c>
      <c r="H10" s="704" t="n">
        <v>1120.516895171</v>
      </c>
      <c r="I10" s="704" t="n">
        <v>1389.24452999417</v>
      </c>
      <c r="J10" s="704" t="n">
        <v>2178.56793238225</v>
      </c>
      <c r="K10" s="704" t="n">
        <v>2552.86184224389</v>
      </c>
      <c r="L10" s="704" t="n">
        <v>2927.15575210552</v>
      </c>
      <c r="M10" s="704" t="n">
        <v>3110.10298661212</v>
      </c>
      <c r="N10" s="704" t="n">
        <v>3293.05022111871</v>
      </c>
      <c r="O10" s="704" t="n">
        <v>3475.9974556253</v>
      </c>
      <c r="P10" s="704" t="n">
        <v>3658.9446901319</v>
      </c>
      <c r="Q10" s="704" t="n">
        <v>3512.58690252662</v>
      </c>
      <c r="R10" s="704" t="n">
        <v>3366.22911492135</v>
      </c>
      <c r="S10" s="704" t="n">
        <v>3219.87132731607</v>
      </c>
      <c r="T10" s="704" t="n">
        <v>3073.5135397108</v>
      </c>
      <c r="U10" s="705" t="n">
        <v>2927.15575210552</v>
      </c>
      <c r="V10" s="706"/>
      <c r="W10" s="91"/>
      <c r="X10" s="91"/>
      <c r="Y10" s="91"/>
      <c r="Z10" s="91"/>
      <c r="AA10" s="91"/>
      <c r="AB10" s="91"/>
      <c r="AC10" s="91"/>
      <c r="AD10" s="91"/>
      <c r="AE10" s="91"/>
      <c r="AF10" s="96"/>
    </row>
    <row r="11" customFormat="false" ht="15" hidden="false" customHeight="false" outlineLevel="0" collapsed="false">
      <c r="A11" s="90"/>
      <c r="B11" s="420" t="n">
        <v>65</v>
      </c>
      <c r="C11" s="99"/>
      <c r="D11" s="418" t="s">
        <v>484</v>
      </c>
      <c r="E11" s="418" t="n">
        <v>2</v>
      </c>
      <c r="F11" s="98"/>
      <c r="G11" s="704" t="n">
        <v>1379.66117991263</v>
      </c>
      <c r="H11" s="704" t="n">
        <v>1063.80666870373</v>
      </c>
      <c r="I11" s="704" t="n">
        <v>1855.64308724454</v>
      </c>
      <c r="J11" s="704" t="n">
        <v>2166.13068929535</v>
      </c>
      <c r="K11" s="704" t="n">
        <v>2313.1523908185</v>
      </c>
      <c r="L11" s="704" t="n">
        <v>2039.41192958769</v>
      </c>
      <c r="M11" s="704" t="n">
        <v>2166.87517518692</v>
      </c>
      <c r="N11" s="704" t="n">
        <v>2294.33842078615</v>
      </c>
      <c r="O11" s="704" t="n">
        <v>2421.80166638538</v>
      </c>
      <c r="P11" s="704" t="n">
        <v>2549.26491198461</v>
      </c>
      <c r="Q11" s="704" t="n">
        <v>2447.29431550523</v>
      </c>
      <c r="R11" s="704" t="n">
        <v>2345.32371902584</v>
      </c>
      <c r="S11" s="704" t="n">
        <v>2243.35312254646</v>
      </c>
      <c r="T11" s="704" t="n">
        <v>2141.38252606707</v>
      </c>
      <c r="U11" s="705" t="n">
        <v>2039.41192958769</v>
      </c>
      <c r="V11" s="706"/>
      <c r="W11" s="91"/>
      <c r="X11" s="91"/>
      <c r="Y11" s="91"/>
      <c r="Z11" s="91"/>
      <c r="AA11" s="91"/>
      <c r="AB11" s="91"/>
      <c r="AC11" s="91"/>
      <c r="AD11" s="91"/>
      <c r="AE11" s="91"/>
      <c r="AF11" s="96"/>
    </row>
    <row r="12" customFormat="false" ht="15" hidden="false" customHeight="false" outlineLevel="0" collapsed="false">
      <c r="A12" s="90"/>
      <c r="B12" s="707" t="n">
        <v>75</v>
      </c>
      <c r="C12" s="99"/>
      <c r="D12" s="707" t="s">
        <v>484</v>
      </c>
      <c r="E12" s="418" t="n">
        <v>2</v>
      </c>
      <c r="F12" s="98"/>
      <c r="G12" s="704" t="n">
        <v>1440.45225724112</v>
      </c>
      <c r="H12" s="704" t="n">
        <v>987.854270517466</v>
      </c>
      <c r="I12" s="704" t="n">
        <v>1822.83481486385</v>
      </c>
      <c r="J12" s="704" t="n">
        <v>2100.35464658683</v>
      </c>
      <c r="K12" s="704" t="n">
        <v>2363.45460197765</v>
      </c>
      <c r="L12" s="704" t="n">
        <v>2683.54435806528</v>
      </c>
      <c r="M12" s="704" t="n">
        <v>2851.26588044436</v>
      </c>
      <c r="N12" s="704" t="n">
        <v>3018.98740282344</v>
      </c>
      <c r="O12" s="704" t="n">
        <v>3186.70892520252</v>
      </c>
      <c r="P12" s="704" t="n">
        <v>3354.4304475816</v>
      </c>
      <c r="Q12" s="704" t="n">
        <v>3220.25322967834</v>
      </c>
      <c r="R12" s="704" t="n">
        <v>3086.07601177507</v>
      </c>
      <c r="S12" s="704" t="n">
        <v>2951.89879387181</v>
      </c>
      <c r="T12" s="704" t="n">
        <v>2817.72157596855</v>
      </c>
      <c r="U12" s="705" t="n">
        <v>2683.54435806528</v>
      </c>
      <c r="V12" s="706"/>
      <c r="W12" s="91"/>
      <c r="X12" s="91"/>
      <c r="Y12" s="91"/>
      <c r="Z12" s="91"/>
      <c r="AA12" s="91"/>
      <c r="AB12" s="91"/>
      <c r="AC12" s="91"/>
      <c r="AD12" s="91"/>
      <c r="AE12" s="91"/>
      <c r="AF12" s="96"/>
    </row>
    <row r="13" customFormat="false" ht="15" hidden="false" customHeight="false" outlineLevel="0" collapsed="false">
      <c r="A13" s="90"/>
      <c r="B13" s="707"/>
      <c r="C13" s="99"/>
      <c r="D13" s="707"/>
      <c r="E13" s="418" t="n">
        <v>3</v>
      </c>
      <c r="F13" s="98"/>
      <c r="G13" s="704" t="n">
        <v>1804.63323523623</v>
      </c>
      <c r="H13" s="704" t="n">
        <v>1421.83342785408</v>
      </c>
      <c r="I13" s="704" t="n">
        <v>2269.02982132662</v>
      </c>
      <c r="J13" s="704" t="n">
        <v>2757.51594816113</v>
      </c>
      <c r="K13" s="704" t="n">
        <v>3512.83018773695</v>
      </c>
      <c r="L13" s="704" t="n">
        <v>3207.2044992574</v>
      </c>
      <c r="M13" s="704" t="n">
        <v>3407.65478046099</v>
      </c>
      <c r="N13" s="704" t="n">
        <v>3608.10506166457</v>
      </c>
      <c r="O13" s="704" t="n">
        <v>3808.55534286816</v>
      </c>
      <c r="P13" s="704" t="n">
        <v>4009.00562407175</v>
      </c>
      <c r="Q13" s="704" t="n">
        <v>3848.64539910888</v>
      </c>
      <c r="R13" s="704" t="n">
        <v>3688.28517414601</v>
      </c>
      <c r="S13" s="704" t="n">
        <v>3527.92494918314</v>
      </c>
      <c r="T13" s="704" t="n">
        <v>3367.56472422027</v>
      </c>
      <c r="U13" s="705" t="n">
        <v>3207.2044992574</v>
      </c>
      <c r="V13" s="706"/>
      <c r="W13" s="91"/>
      <c r="X13" s="91"/>
      <c r="Y13" s="91"/>
      <c r="Z13" s="91"/>
      <c r="AA13" s="91"/>
      <c r="AB13" s="91"/>
      <c r="AC13" s="91"/>
      <c r="AD13" s="91"/>
      <c r="AE13" s="91"/>
      <c r="AF13" s="96"/>
    </row>
    <row r="14" customFormat="false" ht="15" hidden="false" customHeight="false" outlineLevel="0" collapsed="false">
      <c r="A14" s="90"/>
      <c r="B14" s="707"/>
      <c r="C14" s="99"/>
      <c r="D14" s="707"/>
      <c r="E14" s="418" t="n">
        <v>4</v>
      </c>
      <c r="F14" s="98"/>
      <c r="G14" s="704" t="n">
        <v>2506.18651320498</v>
      </c>
      <c r="H14" s="704" t="n">
        <v>2281.81588764888</v>
      </c>
      <c r="I14" s="704" t="n">
        <v>4480.05612567377</v>
      </c>
      <c r="J14" s="704" t="n">
        <v>6165.73229519786</v>
      </c>
      <c r="K14" s="704" t="n">
        <v>6009.60646357101</v>
      </c>
      <c r="L14" s="704" t="n">
        <v>5489.52327304548</v>
      </c>
      <c r="M14" s="704" t="n">
        <v>5832.61847761083</v>
      </c>
      <c r="N14" s="704" t="n">
        <v>6175.71368217617</v>
      </c>
      <c r="O14" s="704" t="n">
        <v>6518.80888674151</v>
      </c>
      <c r="P14" s="704" t="n">
        <v>6861.90409130685</v>
      </c>
      <c r="Q14" s="704" t="n">
        <v>6587.42792765458</v>
      </c>
      <c r="R14" s="704" t="n">
        <v>6312.95176400231</v>
      </c>
      <c r="S14" s="704" t="n">
        <v>6038.47560035003</v>
      </c>
      <c r="T14" s="704" t="n">
        <v>5763.99943669776</v>
      </c>
      <c r="U14" s="705" t="n">
        <v>5489.52327304548</v>
      </c>
      <c r="V14" s="706"/>
      <c r="W14" s="91"/>
      <c r="X14" s="91"/>
      <c r="Y14" s="91"/>
      <c r="Z14" s="91"/>
      <c r="AA14" s="91"/>
      <c r="AB14" s="91"/>
      <c r="AC14" s="91"/>
      <c r="AD14" s="91"/>
      <c r="AE14" s="91"/>
      <c r="AF14" s="96"/>
    </row>
    <row r="15" customFormat="false" ht="15" hidden="false" customHeight="false" outlineLevel="0" collapsed="false">
      <c r="A15" s="90"/>
      <c r="B15" s="707"/>
      <c r="C15" s="99"/>
      <c r="D15" s="418" t="s">
        <v>485</v>
      </c>
      <c r="E15" s="418" t="n">
        <v>2</v>
      </c>
      <c r="F15" s="98"/>
      <c r="G15" s="704" t="n">
        <v>1552.36969147897</v>
      </c>
      <c r="H15" s="704" t="n">
        <v>1031.39932085593</v>
      </c>
      <c r="I15" s="704" t="n">
        <v>2574.70773807576</v>
      </c>
      <c r="J15" s="704" t="n">
        <v>3066.67889218222</v>
      </c>
      <c r="K15" s="704" t="n">
        <v>3632.66626318584</v>
      </c>
      <c r="L15" s="704" t="n">
        <v>2413.41852684185</v>
      </c>
      <c r="M15" s="704" t="n">
        <v>2564.25718476946</v>
      </c>
      <c r="N15" s="704" t="n">
        <v>2715.09584269708</v>
      </c>
      <c r="O15" s="704" t="n">
        <v>2865.93450062469</v>
      </c>
      <c r="P15" s="704" t="n">
        <v>3016.77315855231</v>
      </c>
      <c r="Q15" s="704" t="n">
        <v>2896.10223221022</v>
      </c>
      <c r="R15" s="704" t="n">
        <v>2775.43130586812</v>
      </c>
      <c r="S15" s="704" t="n">
        <v>2654.76037952603</v>
      </c>
      <c r="T15" s="704" t="n">
        <v>2534.08945318394</v>
      </c>
      <c r="U15" s="705" t="n">
        <v>2413.41852684185</v>
      </c>
      <c r="V15" s="706"/>
      <c r="W15" s="91"/>
      <c r="X15" s="91"/>
      <c r="Y15" s="91"/>
      <c r="Z15" s="91"/>
      <c r="AA15" s="91"/>
      <c r="AB15" s="91"/>
      <c r="AC15" s="91"/>
      <c r="AD15" s="91"/>
      <c r="AE15" s="91"/>
      <c r="AF15" s="96"/>
    </row>
    <row r="16" customFormat="false" ht="15" hidden="false" customHeight="false" outlineLevel="0" collapsed="false">
      <c r="A16" s="90"/>
      <c r="B16" s="707" t="n">
        <v>85</v>
      </c>
      <c r="C16" s="99"/>
      <c r="D16" s="707" t="s">
        <v>484</v>
      </c>
      <c r="E16" s="418" t="n">
        <v>2</v>
      </c>
      <c r="F16" s="98"/>
      <c r="G16" s="704" t="n">
        <v>1672.4187481579</v>
      </c>
      <c r="H16" s="704" t="n">
        <v>1736.14562521471</v>
      </c>
      <c r="I16" s="704" t="n">
        <v>2290.24442758662</v>
      </c>
      <c r="J16" s="704" t="n">
        <v>2692.48958760256</v>
      </c>
      <c r="K16" s="704" t="n">
        <v>3410.21562071818</v>
      </c>
      <c r="L16" s="704" t="n">
        <v>2640.30245972378</v>
      </c>
      <c r="M16" s="704" t="n">
        <v>2805.32136345652</v>
      </c>
      <c r="N16" s="704" t="n">
        <v>2970.34026718925</v>
      </c>
      <c r="O16" s="704" t="n">
        <v>3135.35917092199</v>
      </c>
      <c r="P16" s="704" t="n">
        <v>3300.37807465473</v>
      </c>
      <c r="Q16" s="704" t="n">
        <v>3168.36295166854</v>
      </c>
      <c r="R16" s="704" t="n">
        <v>3036.34782868235</v>
      </c>
      <c r="S16" s="704" t="n">
        <v>2904.33270569616</v>
      </c>
      <c r="T16" s="704" t="n">
        <v>2772.31758270997</v>
      </c>
      <c r="U16" s="705" t="n">
        <v>2640.30245972378</v>
      </c>
      <c r="V16" s="706"/>
      <c r="W16" s="91"/>
      <c r="X16" s="91"/>
      <c r="Y16" s="91"/>
      <c r="Z16" s="91"/>
      <c r="AA16" s="91"/>
      <c r="AB16" s="91"/>
      <c r="AC16" s="91"/>
      <c r="AD16" s="91"/>
      <c r="AE16" s="91"/>
      <c r="AF16" s="96"/>
    </row>
    <row r="17" customFormat="false" ht="15" hidden="false" customHeight="false" outlineLevel="0" collapsed="false">
      <c r="A17" s="90"/>
      <c r="B17" s="707"/>
      <c r="C17" s="99"/>
      <c r="D17" s="707"/>
      <c r="E17" s="418" t="n">
        <v>3</v>
      </c>
      <c r="F17" s="98"/>
      <c r="G17" s="704" t="n">
        <v>1697.46587133507</v>
      </c>
      <c r="H17" s="704" t="n">
        <v>1524.91426631252</v>
      </c>
      <c r="I17" s="704" t="n">
        <v>2634.89101690207</v>
      </c>
      <c r="J17" s="704" t="n">
        <v>3515.68458743809</v>
      </c>
      <c r="K17" s="704" t="n">
        <v>3904.68854448408</v>
      </c>
      <c r="L17" s="704" t="n">
        <v>4360.50623854254</v>
      </c>
      <c r="M17" s="704" t="n">
        <v>4633.03787845145</v>
      </c>
      <c r="N17" s="704" t="n">
        <v>4905.56951836036</v>
      </c>
      <c r="O17" s="704" t="n">
        <v>5178.10115826927</v>
      </c>
      <c r="P17" s="704" t="n">
        <v>5450.63279817818</v>
      </c>
      <c r="Q17" s="704" t="n">
        <v>5232.60748625105</v>
      </c>
      <c r="R17" s="704" t="n">
        <v>5014.58217432392</v>
      </c>
      <c r="S17" s="704" t="n">
        <v>4796.5568623968</v>
      </c>
      <c r="T17" s="704" t="n">
        <v>4578.53155046967</v>
      </c>
      <c r="U17" s="705" t="n">
        <v>4360.50623854254</v>
      </c>
      <c r="V17" s="706"/>
      <c r="W17" s="91"/>
      <c r="X17" s="91"/>
      <c r="Y17" s="91"/>
      <c r="Z17" s="91"/>
      <c r="AA17" s="91"/>
      <c r="AB17" s="91"/>
      <c r="AC17" s="91"/>
      <c r="AD17" s="91"/>
      <c r="AE17" s="91"/>
      <c r="AF17" s="96"/>
    </row>
    <row r="18" customFormat="false" ht="15" hidden="false" customHeight="false" outlineLevel="0" collapsed="false">
      <c r="A18" s="90"/>
      <c r="B18" s="707"/>
      <c r="C18" s="99"/>
      <c r="D18" s="707"/>
      <c r="E18" s="418" t="n">
        <v>4</v>
      </c>
      <c r="F18" s="98"/>
      <c r="G18" s="704" t="n">
        <v>3028.90681661101</v>
      </c>
      <c r="H18" s="704" t="n">
        <v>3279.52765775131</v>
      </c>
      <c r="I18" s="704" t="n">
        <v>6019.6903322174</v>
      </c>
      <c r="J18" s="704" t="n">
        <v>7161.10871655903</v>
      </c>
      <c r="K18" s="704" t="n">
        <v>6255.31585395597</v>
      </c>
      <c r="L18" s="704" t="n">
        <v>6278.96094663201</v>
      </c>
      <c r="M18" s="704" t="n">
        <v>6671.39600579652</v>
      </c>
      <c r="N18" s="704" t="n">
        <v>7063.83106496102</v>
      </c>
      <c r="O18" s="704" t="n">
        <v>7456.26612412552</v>
      </c>
      <c r="P18" s="704" t="n">
        <v>7848.70118329002</v>
      </c>
      <c r="Q18" s="704" t="n">
        <v>7534.75313595842</v>
      </c>
      <c r="R18" s="704" t="n">
        <v>7220.80508862682</v>
      </c>
      <c r="S18" s="704" t="n">
        <v>6906.85704129522</v>
      </c>
      <c r="T18" s="704" t="n">
        <v>6592.90899396362</v>
      </c>
      <c r="U18" s="705" t="n">
        <v>6278.96094663201</v>
      </c>
      <c r="V18" s="706"/>
      <c r="W18" s="91"/>
      <c r="X18" s="91"/>
      <c r="Y18" s="91"/>
      <c r="Z18" s="91"/>
      <c r="AA18" s="91"/>
      <c r="AB18" s="91"/>
      <c r="AC18" s="91"/>
      <c r="AD18" s="91"/>
      <c r="AE18" s="91"/>
      <c r="AF18" s="96"/>
    </row>
    <row r="19" customFormat="false" ht="15" hidden="false" customHeight="false" outlineLevel="0" collapsed="false">
      <c r="A19" s="90"/>
      <c r="B19" s="707"/>
      <c r="C19" s="99"/>
      <c r="D19" s="707" t="s">
        <v>485</v>
      </c>
      <c r="E19" s="418" t="n">
        <v>2</v>
      </c>
      <c r="F19" s="98"/>
      <c r="G19" s="704" t="n">
        <v>1614.99154638773</v>
      </c>
      <c r="H19" s="704" t="n">
        <v>1341.98331619232</v>
      </c>
      <c r="I19" s="704" t="n">
        <v>2148.64290036188</v>
      </c>
      <c r="J19" s="704" t="n">
        <v>2409.05916224668</v>
      </c>
      <c r="K19" s="704" t="n">
        <v>2948.84805131467</v>
      </c>
      <c r="L19" s="704" t="n">
        <v>3393.5432041724</v>
      </c>
      <c r="M19" s="704" t="n">
        <v>3605.63965443318</v>
      </c>
      <c r="N19" s="704" t="n">
        <v>3817.73610469395</v>
      </c>
      <c r="O19" s="704" t="n">
        <v>4029.83255495473</v>
      </c>
      <c r="P19" s="704" t="n">
        <v>4241.9290052155</v>
      </c>
      <c r="Q19" s="704" t="n">
        <v>4072.25184500688</v>
      </c>
      <c r="R19" s="704" t="n">
        <v>3902.57468479826</v>
      </c>
      <c r="S19" s="704" t="n">
        <v>3732.89752458964</v>
      </c>
      <c r="T19" s="704" t="n">
        <v>3563.22036438102</v>
      </c>
      <c r="U19" s="705" t="n">
        <v>3393.5432041724</v>
      </c>
      <c r="V19" s="706"/>
      <c r="W19" s="91"/>
      <c r="X19" s="91"/>
      <c r="Y19" s="91"/>
      <c r="Z19" s="91"/>
      <c r="AA19" s="91"/>
      <c r="AB19" s="91"/>
      <c r="AC19" s="91"/>
      <c r="AD19" s="91"/>
      <c r="AE19" s="91"/>
      <c r="AF19" s="96"/>
    </row>
    <row r="20" customFormat="false" ht="15" hidden="false" customHeight="false" outlineLevel="0" collapsed="false">
      <c r="A20" s="90"/>
      <c r="B20" s="707"/>
      <c r="C20" s="99"/>
      <c r="D20" s="707"/>
      <c r="E20" s="418" t="n">
        <v>3</v>
      </c>
      <c r="F20" s="98"/>
      <c r="G20" s="704" t="n">
        <v>2170.680287485</v>
      </c>
      <c r="H20" s="704" t="n">
        <v>1726.76868935785</v>
      </c>
      <c r="I20" s="704" t="n">
        <v>3707.64848972035</v>
      </c>
      <c r="J20" s="704" t="n">
        <v>4470.89852071293</v>
      </c>
      <c r="K20" s="704" t="n">
        <v>4675.69823781649</v>
      </c>
      <c r="L20" s="704" t="n">
        <v>4827.24567025793</v>
      </c>
      <c r="M20" s="704" t="n">
        <v>5128.94852464904</v>
      </c>
      <c r="N20" s="704" t="n">
        <v>5430.65137904017</v>
      </c>
      <c r="O20" s="704" t="n">
        <v>5732.35423343129</v>
      </c>
      <c r="P20" s="704" t="n">
        <v>6034.05708782241</v>
      </c>
      <c r="Q20" s="704" t="n">
        <v>5792.69480430951</v>
      </c>
      <c r="R20" s="704" t="n">
        <v>5551.33252079661</v>
      </c>
      <c r="S20" s="704" t="n">
        <v>5309.97023728372</v>
      </c>
      <c r="T20" s="704" t="n">
        <v>5068.60795377082</v>
      </c>
      <c r="U20" s="705" t="n">
        <v>4827.24567025793</v>
      </c>
      <c r="V20" s="706"/>
      <c r="W20" s="91"/>
      <c r="X20" s="91"/>
      <c r="Y20" s="91"/>
      <c r="Z20" s="91"/>
      <c r="AA20" s="91"/>
      <c r="AB20" s="91"/>
      <c r="AC20" s="91"/>
      <c r="AD20" s="91"/>
      <c r="AE20" s="91"/>
      <c r="AF20" s="96"/>
    </row>
    <row r="21" customFormat="false" ht="15" hidden="false" customHeight="false" outlineLevel="0" collapsed="false">
      <c r="A21" s="90"/>
      <c r="B21" s="707" t="n">
        <v>95</v>
      </c>
      <c r="C21" s="99"/>
      <c r="D21" s="707" t="s">
        <v>484</v>
      </c>
      <c r="E21" s="418" t="n">
        <v>2</v>
      </c>
      <c r="F21" s="98"/>
      <c r="G21" s="704" t="n">
        <v>1614.45307747715</v>
      </c>
      <c r="H21" s="704" t="n">
        <v>1287.67776203354</v>
      </c>
      <c r="I21" s="704" t="n">
        <v>2113.82696653254</v>
      </c>
      <c r="J21" s="704" t="n">
        <v>3311.29911558094</v>
      </c>
      <c r="K21" s="704" t="n">
        <v>2397.80494952567</v>
      </c>
      <c r="L21" s="704" t="n">
        <v>2435.60619889623</v>
      </c>
      <c r="M21" s="704" t="n">
        <v>2587.83158632725</v>
      </c>
      <c r="N21" s="704" t="n">
        <v>2740.05697375826</v>
      </c>
      <c r="O21" s="704" t="n">
        <v>2892.28236118928</v>
      </c>
      <c r="P21" s="704" t="n">
        <v>3044.50774862029</v>
      </c>
      <c r="Q21" s="704" t="n">
        <v>2922.72743867548</v>
      </c>
      <c r="R21" s="704" t="n">
        <v>2800.94712873067</v>
      </c>
      <c r="S21" s="704" t="n">
        <v>2679.16681878586</v>
      </c>
      <c r="T21" s="704" t="n">
        <v>2557.38650884105</v>
      </c>
      <c r="U21" s="705" t="n">
        <v>2435.60619889623</v>
      </c>
      <c r="V21" s="706"/>
      <c r="W21" s="91"/>
      <c r="X21" s="91"/>
      <c r="Y21" s="91"/>
      <c r="Z21" s="91"/>
      <c r="AA21" s="91"/>
      <c r="AB21" s="91"/>
      <c r="AC21" s="91"/>
      <c r="AD21" s="91"/>
      <c r="AE21" s="91"/>
      <c r="AF21" s="96"/>
    </row>
    <row r="22" customFormat="false" ht="15" hidden="false" customHeight="false" outlineLevel="0" collapsed="false">
      <c r="A22" s="90"/>
      <c r="B22" s="707"/>
      <c r="C22" s="99"/>
      <c r="D22" s="707"/>
      <c r="E22" s="418" t="n">
        <v>3</v>
      </c>
      <c r="F22" s="98"/>
      <c r="G22" s="704" t="n">
        <v>1981.92034678672</v>
      </c>
      <c r="H22" s="704" t="n">
        <v>2043.50382700445</v>
      </c>
      <c r="I22" s="704" t="n">
        <v>3343.93660805462</v>
      </c>
      <c r="J22" s="704" t="n">
        <v>3523.42073086391</v>
      </c>
      <c r="K22" s="704" t="n">
        <v>3069.0899985194</v>
      </c>
      <c r="L22" s="704" t="n">
        <v>3117.38214112073</v>
      </c>
      <c r="M22" s="704" t="n">
        <v>3312.21852494077</v>
      </c>
      <c r="N22" s="704" t="n">
        <v>3507.05490876082</v>
      </c>
      <c r="O22" s="704" t="n">
        <v>3701.89129258086</v>
      </c>
      <c r="P22" s="704" t="n">
        <v>3896.72767640091</v>
      </c>
      <c r="Q22" s="704" t="n">
        <v>3740.85856934487</v>
      </c>
      <c r="R22" s="704" t="n">
        <v>3584.98946228884</v>
      </c>
      <c r="S22" s="704" t="n">
        <v>3429.1203552328</v>
      </c>
      <c r="T22" s="704" t="n">
        <v>3273.25124817676</v>
      </c>
      <c r="U22" s="705" t="n">
        <v>3117.38214112073</v>
      </c>
      <c r="V22" s="706"/>
      <c r="W22" s="91"/>
      <c r="X22" s="91"/>
      <c r="Y22" s="91"/>
      <c r="Z22" s="91"/>
      <c r="AA22" s="91"/>
      <c r="AB22" s="91"/>
      <c r="AC22" s="91"/>
      <c r="AD22" s="91"/>
      <c r="AE22" s="91"/>
      <c r="AF22" s="96"/>
    </row>
    <row r="23" customFormat="false" ht="15" hidden="false" customHeight="false" outlineLevel="0" collapsed="false">
      <c r="A23" s="90"/>
      <c r="B23" s="707"/>
      <c r="C23" s="99"/>
      <c r="D23" s="707"/>
      <c r="E23" s="418" t="n">
        <v>4</v>
      </c>
      <c r="F23" s="98"/>
      <c r="G23" s="704" t="n">
        <v>3265.55621692178</v>
      </c>
      <c r="H23" s="704" t="n">
        <v>4474.98976462466</v>
      </c>
      <c r="I23" s="704" t="n">
        <v>5271.70236800162</v>
      </c>
      <c r="J23" s="704" t="n">
        <v>6068.41497137859</v>
      </c>
      <c r="K23" s="704" t="n">
        <v>5235.13761396481</v>
      </c>
      <c r="L23" s="704" t="n">
        <v>5317.31634614651</v>
      </c>
      <c r="M23" s="704" t="n">
        <v>5649.64861778067</v>
      </c>
      <c r="N23" s="704" t="n">
        <v>5981.98088941483</v>
      </c>
      <c r="O23" s="704" t="n">
        <v>6314.31316104899</v>
      </c>
      <c r="P23" s="704" t="n">
        <v>6646.64543268314</v>
      </c>
      <c r="Q23" s="704" t="n">
        <v>6380.77961537582</v>
      </c>
      <c r="R23" s="704" t="n">
        <v>6114.91379806849</v>
      </c>
      <c r="S23" s="704" t="n">
        <v>5849.04798076117</v>
      </c>
      <c r="T23" s="704" t="n">
        <v>5583.18216345384</v>
      </c>
      <c r="U23" s="705" t="n">
        <v>5317.31634614651</v>
      </c>
      <c r="V23" s="706"/>
      <c r="W23" s="91"/>
      <c r="X23" s="91"/>
      <c r="Y23" s="91"/>
      <c r="Z23" s="91"/>
      <c r="AA23" s="91"/>
      <c r="AB23" s="91"/>
      <c r="AC23" s="91"/>
      <c r="AD23" s="91"/>
      <c r="AE23" s="91"/>
      <c r="AF23" s="96"/>
    </row>
    <row r="24" customFormat="false" ht="15" hidden="false" customHeight="false" outlineLevel="0" collapsed="false">
      <c r="A24" s="90"/>
      <c r="B24" s="707"/>
      <c r="C24" s="99"/>
      <c r="D24" s="707" t="s">
        <v>485</v>
      </c>
      <c r="E24" s="418" t="n">
        <v>2</v>
      </c>
      <c r="F24" s="98"/>
      <c r="G24" s="704" t="n">
        <v>1616.31037258804</v>
      </c>
      <c r="H24" s="704" t="n">
        <v>1506.98241107302</v>
      </c>
      <c r="I24" s="704" t="n">
        <v>2343.64183651109</v>
      </c>
      <c r="J24" s="704" t="n">
        <v>2656.69274585795</v>
      </c>
      <c r="K24" s="704" t="n">
        <v>3065.53238900535</v>
      </c>
      <c r="L24" s="704" t="n">
        <v>2836.08309668996</v>
      </c>
      <c r="M24" s="704" t="n">
        <v>3013.33829023308</v>
      </c>
      <c r="N24" s="704" t="n">
        <v>3190.59348377621</v>
      </c>
      <c r="O24" s="704" t="n">
        <v>3367.84867731933</v>
      </c>
      <c r="P24" s="704" t="n">
        <v>3545.10387086245</v>
      </c>
      <c r="Q24" s="704" t="n">
        <v>3403.29971602795</v>
      </c>
      <c r="R24" s="704" t="n">
        <v>3261.49556119346</v>
      </c>
      <c r="S24" s="704" t="n">
        <v>3119.69140635896</v>
      </c>
      <c r="T24" s="704" t="n">
        <v>2977.88725152446</v>
      </c>
      <c r="U24" s="705" t="n">
        <v>2836.08309668996</v>
      </c>
      <c r="V24" s="706"/>
      <c r="W24" s="91"/>
      <c r="X24" s="91"/>
      <c r="Y24" s="91"/>
      <c r="Z24" s="91"/>
      <c r="AA24" s="91"/>
      <c r="AB24" s="91"/>
      <c r="AC24" s="91"/>
      <c r="AD24" s="91"/>
      <c r="AE24" s="91"/>
      <c r="AF24" s="96"/>
    </row>
    <row r="25" customFormat="false" ht="15" hidden="false" customHeight="false" outlineLevel="0" collapsed="false">
      <c r="A25" s="90"/>
      <c r="B25" s="707"/>
      <c r="C25" s="99"/>
      <c r="D25" s="707"/>
      <c r="E25" s="418" t="n">
        <v>3</v>
      </c>
      <c r="F25" s="98"/>
      <c r="G25" s="704" t="n">
        <v>1867.40931375124</v>
      </c>
      <c r="H25" s="704" t="n">
        <v>1539.86898501824</v>
      </c>
      <c r="I25" s="704" t="n">
        <v>3085.06266053974</v>
      </c>
      <c r="J25" s="704" t="n">
        <v>3448.51897213164</v>
      </c>
      <c r="K25" s="704" t="n">
        <v>4054.89713057628</v>
      </c>
      <c r="L25" s="704" t="n">
        <v>3488.6837430184</v>
      </c>
      <c r="M25" s="704" t="n">
        <v>3706.72647695705</v>
      </c>
      <c r="N25" s="704" t="n">
        <v>3924.7692108957</v>
      </c>
      <c r="O25" s="704" t="n">
        <v>4142.81194483435</v>
      </c>
      <c r="P25" s="704" t="n">
        <v>4360.854678773</v>
      </c>
      <c r="Q25" s="704" t="n">
        <v>4186.42049162208</v>
      </c>
      <c r="R25" s="704" t="n">
        <v>4011.98630447116</v>
      </c>
      <c r="S25" s="704" t="n">
        <v>3837.55211732024</v>
      </c>
      <c r="T25" s="704" t="n">
        <v>3663.11793016932</v>
      </c>
      <c r="U25" s="705" t="n">
        <v>3488.6837430184</v>
      </c>
      <c r="V25" s="706"/>
      <c r="W25" s="91"/>
      <c r="X25" s="91"/>
      <c r="Y25" s="91"/>
      <c r="Z25" s="91"/>
      <c r="AA25" s="91"/>
      <c r="AB25" s="91"/>
      <c r="AC25" s="91"/>
      <c r="AD25" s="91"/>
      <c r="AE25" s="91"/>
      <c r="AF25" s="96"/>
    </row>
    <row r="26" customFormat="false" ht="15" hidden="false" customHeight="false" outlineLevel="0" collapsed="false">
      <c r="A26" s="90"/>
      <c r="B26" s="707"/>
      <c r="C26" s="99"/>
      <c r="D26" s="707"/>
      <c r="E26" s="418" t="n">
        <v>4</v>
      </c>
      <c r="F26" s="98"/>
      <c r="G26" s="704" t="n">
        <v>2855.79623441911</v>
      </c>
      <c r="H26" s="704" t="n">
        <v>3389.54875788944</v>
      </c>
      <c r="I26" s="704" t="n">
        <v>6169.64407154336</v>
      </c>
      <c r="J26" s="704" t="n">
        <v>5876.60586668449</v>
      </c>
      <c r="K26" s="704" t="n">
        <v>6931.71180051126</v>
      </c>
      <c r="L26" s="704" t="n">
        <v>5968.1865596051</v>
      </c>
      <c r="M26" s="704" t="n">
        <v>6341.19821958042</v>
      </c>
      <c r="N26" s="704" t="n">
        <v>6714.20987955574</v>
      </c>
      <c r="O26" s="704" t="n">
        <v>7087.22153953106</v>
      </c>
      <c r="P26" s="704" t="n">
        <v>7460.23319950638</v>
      </c>
      <c r="Q26" s="704" t="n">
        <v>7161.82387152612</v>
      </c>
      <c r="R26" s="704" t="n">
        <v>6863.41454354587</v>
      </c>
      <c r="S26" s="704" t="n">
        <v>6565.00521556561</v>
      </c>
      <c r="T26" s="704" t="n">
        <v>6266.59588758536</v>
      </c>
      <c r="U26" s="705" t="n">
        <v>5968.1865596051</v>
      </c>
      <c r="V26" s="706"/>
      <c r="W26" s="91"/>
      <c r="X26" s="91"/>
      <c r="Y26" s="91"/>
      <c r="Z26" s="91"/>
      <c r="AA26" s="91"/>
      <c r="AB26" s="91"/>
      <c r="AC26" s="91"/>
      <c r="AD26" s="91"/>
      <c r="AE26" s="91"/>
      <c r="AF26" s="96"/>
    </row>
    <row r="27" customFormat="false" ht="15" hidden="false" customHeight="false" outlineLevel="0" collapsed="false">
      <c r="A27" s="90"/>
      <c r="B27" s="707" t="n">
        <v>105</v>
      </c>
      <c r="C27" s="99"/>
      <c r="D27" s="707" t="s">
        <v>484</v>
      </c>
      <c r="E27" s="418" t="n">
        <v>2</v>
      </c>
      <c r="F27" s="98"/>
      <c r="G27" s="704" t="n">
        <v>2008.47452121701</v>
      </c>
      <c r="H27" s="704" t="n">
        <v>2273.72549206368</v>
      </c>
      <c r="I27" s="704" t="n">
        <v>2108.69694946135</v>
      </c>
      <c r="J27" s="704" t="n">
        <v>3311.29911558094</v>
      </c>
      <c r="K27" s="704" t="n">
        <v>2397.80494952567</v>
      </c>
      <c r="L27" s="704" t="n">
        <v>2435.60619889623</v>
      </c>
      <c r="M27" s="704" t="n">
        <v>2587.83158632725</v>
      </c>
      <c r="N27" s="704" t="n">
        <v>2740.05697375826</v>
      </c>
      <c r="O27" s="704" t="n">
        <v>2892.28236118928</v>
      </c>
      <c r="P27" s="704" t="n">
        <v>3044.50774862029</v>
      </c>
      <c r="Q27" s="704" t="n">
        <v>2922.72743867548</v>
      </c>
      <c r="R27" s="704" t="n">
        <v>2800.94712873067</v>
      </c>
      <c r="S27" s="704" t="n">
        <v>2679.16681878586</v>
      </c>
      <c r="T27" s="704" t="n">
        <v>2557.38650884105</v>
      </c>
      <c r="U27" s="705" t="n">
        <v>2435.60619889623</v>
      </c>
      <c r="V27" s="706"/>
      <c r="W27" s="91"/>
      <c r="X27" s="91"/>
      <c r="Y27" s="91"/>
      <c r="Z27" s="91"/>
      <c r="AA27" s="91"/>
      <c r="AB27" s="91"/>
      <c r="AC27" s="91"/>
      <c r="AD27" s="91"/>
      <c r="AE27" s="91"/>
      <c r="AF27" s="96"/>
    </row>
    <row r="28" customFormat="false" ht="15" hidden="false" customHeight="false" outlineLevel="0" collapsed="false">
      <c r="A28" s="90"/>
      <c r="B28" s="707"/>
      <c r="C28" s="99"/>
      <c r="D28" s="707"/>
      <c r="E28" s="418" t="n">
        <v>3</v>
      </c>
      <c r="F28" s="98"/>
      <c r="G28" s="704" t="n">
        <v>1892.74095986315</v>
      </c>
      <c r="H28" s="704" t="n">
        <v>2052.33273887731</v>
      </c>
      <c r="I28" s="704" t="n">
        <v>2582.52688503835</v>
      </c>
      <c r="J28" s="704" t="n">
        <v>3523.42073086391</v>
      </c>
      <c r="K28" s="704" t="n">
        <v>3069.0899985194</v>
      </c>
      <c r="L28" s="704" t="n">
        <v>3117.38214112073</v>
      </c>
      <c r="M28" s="704" t="n">
        <v>3312.21852494077</v>
      </c>
      <c r="N28" s="704" t="n">
        <v>3507.05490876082</v>
      </c>
      <c r="O28" s="704" t="n">
        <v>3701.89129258086</v>
      </c>
      <c r="P28" s="704" t="n">
        <v>3896.72767640091</v>
      </c>
      <c r="Q28" s="704" t="n">
        <v>3740.85856934487</v>
      </c>
      <c r="R28" s="704" t="n">
        <v>3584.98946228884</v>
      </c>
      <c r="S28" s="704" t="n">
        <v>3429.1203552328</v>
      </c>
      <c r="T28" s="704" t="n">
        <v>3273.25124817676</v>
      </c>
      <c r="U28" s="705" t="n">
        <v>3117.38214112073</v>
      </c>
      <c r="V28" s="706"/>
      <c r="W28" s="91"/>
      <c r="X28" s="91"/>
      <c r="Y28" s="91"/>
      <c r="Z28" s="91"/>
      <c r="AA28" s="91"/>
      <c r="AB28" s="91"/>
      <c r="AC28" s="91"/>
      <c r="AD28" s="91"/>
      <c r="AE28" s="91"/>
      <c r="AF28" s="96"/>
    </row>
    <row r="29" customFormat="false" ht="15" hidden="false" customHeight="false" outlineLevel="0" collapsed="false">
      <c r="A29" s="90"/>
      <c r="B29" s="707"/>
      <c r="C29" s="99"/>
      <c r="D29" s="707"/>
      <c r="E29" s="418" t="n">
        <v>4</v>
      </c>
      <c r="F29" s="98"/>
      <c r="G29" s="704" t="n">
        <v>1987.96950720878</v>
      </c>
      <c r="H29" s="704" t="n">
        <v>2221.96503940182</v>
      </c>
      <c r="I29" s="704" t="n">
        <v>3828.99373920847</v>
      </c>
      <c r="J29" s="704" t="n">
        <v>6068.41497137859</v>
      </c>
      <c r="K29" s="704" t="n">
        <v>5235.13761396481</v>
      </c>
      <c r="L29" s="704" t="n">
        <v>5317.31634614651</v>
      </c>
      <c r="M29" s="704" t="n">
        <v>5649.64861778067</v>
      </c>
      <c r="N29" s="704" t="n">
        <v>5981.98088941483</v>
      </c>
      <c r="O29" s="704" t="n">
        <v>6314.31316104899</v>
      </c>
      <c r="P29" s="704" t="n">
        <v>6646.64543268314</v>
      </c>
      <c r="Q29" s="704" t="n">
        <v>6380.77961537582</v>
      </c>
      <c r="R29" s="704" t="n">
        <v>6114.91379806849</v>
      </c>
      <c r="S29" s="704" t="n">
        <v>5849.04798076117</v>
      </c>
      <c r="T29" s="704" t="n">
        <v>5583.18216345384</v>
      </c>
      <c r="U29" s="705" t="n">
        <v>5317.31634614651</v>
      </c>
      <c r="V29" s="706"/>
      <c r="W29" s="91"/>
      <c r="X29" s="91"/>
      <c r="Y29" s="91"/>
      <c r="Z29" s="91"/>
      <c r="AA29" s="91"/>
      <c r="AB29" s="91"/>
      <c r="AC29" s="91"/>
      <c r="AD29" s="91"/>
      <c r="AE29" s="91"/>
      <c r="AF29" s="96"/>
    </row>
    <row r="30" customFormat="false" ht="15" hidden="false" customHeight="false" outlineLevel="0" collapsed="false">
      <c r="A30" s="90"/>
      <c r="B30" s="707"/>
      <c r="C30" s="99"/>
      <c r="D30" s="707" t="s">
        <v>485</v>
      </c>
      <c r="E30" s="418" t="n">
        <v>2</v>
      </c>
      <c r="F30" s="98"/>
      <c r="G30" s="704" t="n">
        <v>1597.0948475686</v>
      </c>
      <c r="H30" s="704" t="n">
        <v>1687.14487368479</v>
      </c>
      <c r="I30" s="704" t="n">
        <v>1421.85228626356</v>
      </c>
      <c r="J30" s="704" t="n">
        <v>2656.69274585795</v>
      </c>
      <c r="K30" s="704" t="n">
        <v>3065.53238900535</v>
      </c>
      <c r="L30" s="704" t="n">
        <v>2836.08309668996</v>
      </c>
      <c r="M30" s="704" t="n">
        <v>3013.33829023308</v>
      </c>
      <c r="N30" s="704" t="n">
        <v>3190.59348377621</v>
      </c>
      <c r="O30" s="704" t="n">
        <v>3367.84867731933</v>
      </c>
      <c r="P30" s="704" t="n">
        <v>3545.10387086245</v>
      </c>
      <c r="Q30" s="704" t="n">
        <v>3403.29971602795</v>
      </c>
      <c r="R30" s="704" t="n">
        <v>3261.49556119346</v>
      </c>
      <c r="S30" s="704" t="n">
        <v>3119.69140635896</v>
      </c>
      <c r="T30" s="704" t="n">
        <v>2977.88725152446</v>
      </c>
      <c r="U30" s="705" t="n">
        <v>2836.08309668996</v>
      </c>
      <c r="V30" s="706"/>
      <c r="W30" s="91"/>
      <c r="X30" s="91"/>
      <c r="Y30" s="91"/>
      <c r="Z30" s="91"/>
      <c r="AA30" s="91"/>
      <c r="AB30" s="91"/>
      <c r="AC30" s="91"/>
      <c r="AD30" s="91"/>
      <c r="AE30" s="91"/>
      <c r="AF30" s="96"/>
    </row>
    <row r="31" customFormat="false" ht="15" hidden="false" customHeight="false" outlineLevel="0" collapsed="false">
      <c r="A31" s="90"/>
      <c r="B31" s="707"/>
      <c r="C31" s="99"/>
      <c r="D31" s="707"/>
      <c r="E31" s="418" t="n">
        <v>3</v>
      </c>
      <c r="F31" s="98"/>
      <c r="G31" s="704" t="n">
        <v>1707.79615075563</v>
      </c>
      <c r="H31" s="704" t="n">
        <v>1366.88019807007</v>
      </c>
      <c r="I31" s="704" t="n">
        <v>1511.00200348713</v>
      </c>
      <c r="J31" s="704" t="n">
        <v>3448.51897213164</v>
      </c>
      <c r="K31" s="704" t="n">
        <v>4054.89713057628</v>
      </c>
      <c r="L31" s="704" t="n">
        <v>3488.6837430184</v>
      </c>
      <c r="M31" s="704" t="n">
        <v>3706.72647695705</v>
      </c>
      <c r="N31" s="704" t="n">
        <v>3924.7692108957</v>
      </c>
      <c r="O31" s="704" t="n">
        <v>4142.81194483435</v>
      </c>
      <c r="P31" s="704" t="n">
        <v>4360.854678773</v>
      </c>
      <c r="Q31" s="704" t="n">
        <v>4186.42049162208</v>
      </c>
      <c r="R31" s="704" t="n">
        <v>4011.98630447116</v>
      </c>
      <c r="S31" s="704" t="n">
        <v>3837.55211732024</v>
      </c>
      <c r="T31" s="704" t="n">
        <v>3663.11793016932</v>
      </c>
      <c r="U31" s="705" t="n">
        <v>3488.6837430184</v>
      </c>
      <c r="V31" s="706"/>
      <c r="W31" s="91"/>
      <c r="X31" s="91"/>
      <c r="Y31" s="91"/>
      <c r="Z31" s="91"/>
      <c r="AA31" s="91"/>
      <c r="AB31" s="91"/>
      <c r="AC31" s="91"/>
      <c r="AD31" s="91"/>
      <c r="AE31" s="91"/>
      <c r="AF31" s="96"/>
    </row>
    <row r="32" customFormat="false" ht="15" hidden="false" customHeight="true" outlineLevel="0" collapsed="false">
      <c r="A32" s="90"/>
      <c r="B32" s="707"/>
      <c r="C32" s="710"/>
      <c r="D32" s="707"/>
      <c r="E32" s="418" t="n">
        <v>4</v>
      </c>
      <c r="F32" s="710"/>
      <c r="G32" s="711" t="n">
        <v>2585.76258667903</v>
      </c>
      <c r="H32" s="711" t="n">
        <v>2730.46775048248</v>
      </c>
      <c r="I32" s="711" t="n">
        <v>2747.8306624357</v>
      </c>
      <c r="J32" s="711" t="n">
        <v>5876.60586668449</v>
      </c>
      <c r="K32" s="711" t="n">
        <v>6931.71180051126</v>
      </c>
      <c r="L32" s="711" t="n">
        <v>5968.1865596051</v>
      </c>
      <c r="M32" s="711" t="n">
        <v>6341.19821958042</v>
      </c>
      <c r="N32" s="711" t="n">
        <v>6714.20987955574</v>
      </c>
      <c r="O32" s="711" t="n">
        <v>7087.22153953106</v>
      </c>
      <c r="P32" s="711" t="n">
        <v>7460.23319950638</v>
      </c>
      <c r="Q32" s="711" t="n">
        <v>7161.82387152612</v>
      </c>
      <c r="R32" s="711" t="n">
        <v>6863.41454354587</v>
      </c>
      <c r="S32" s="711" t="n">
        <v>6565.00521556561</v>
      </c>
      <c r="T32" s="711" t="n">
        <v>6266.59588758536</v>
      </c>
      <c r="U32" s="712" t="n">
        <v>5968.1865596051</v>
      </c>
      <c r="V32" s="706"/>
      <c r="W32" s="91"/>
      <c r="X32" s="91"/>
      <c r="Y32" s="91"/>
      <c r="Z32" s="91"/>
      <c r="AA32" s="91"/>
      <c r="AB32" s="91"/>
      <c r="AC32" s="91"/>
      <c r="AD32" s="91"/>
      <c r="AE32" s="91"/>
      <c r="AF32" s="96"/>
    </row>
    <row r="33" customFormat="false" ht="15" hidden="false" customHeight="false" outlineLevel="0" collapsed="false">
      <c r="A33" s="90"/>
      <c r="B33" s="421"/>
      <c r="C33" s="91"/>
      <c r="D33" s="713"/>
      <c r="E33" s="714"/>
      <c r="F33" s="91"/>
      <c r="G33" s="715"/>
      <c r="H33" s="716"/>
      <c r="I33" s="716"/>
      <c r="J33" s="716"/>
      <c r="K33" s="716"/>
      <c r="L33" s="716"/>
      <c r="M33" s="716"/>
      <c r="N33" s="716"/>
      <c r="O33" s="716"/>
      <c r="P33" s="716"/>
      <c r="Q33" s="716"/>
      <c r="R33" s="716"/>
      <c r="S33" s="716"/>
      <c r="T33" s="716"/>
      <c r="U33" s="717"/>
      <c r="V33" s="718"/>
      <c r="W33" s="91"/>
      <c r="X33" s="91"/>
      <c r="Y33" s="91"/>
      <c r="Z33" s="91"/>
      <c r="AA33" s="91"/>
      <c r="AB33" s="91"/>
      <c r="AC33" s="91"/>
      <c r="AD33" s="91"/>
      <c r="AE33" s="91"/>
      <c r="AF33" s="96"/>
    </row>
    <row r="34" customFormat="false" ht="15" hidden="false" customHeight="false" outlineLevel="0" collapsed="false">
      <c r="A34" s="104"/>
      <c r="B34" s="10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8"/>
    </row>
    <row r="35" customFormat="false" ht="15" hidden="true" customHeight="false" outlineLevel="0" collapsed="false">
      <c r="A35" s="330"/>
      <c r="B35" s="16"/>
      <c r="D35" s="16"/>
      <c r="E35" s="16"/>
      <c r="G35" s="16"/>
      <c r="H35" s="16"/>
      <c r="I35" s="16"/>
      <c r="J35" s="16"/>
      <c r="K35" s="16"/>
      <c r="L35" s="16"/>
      <c r="M35" s="16"/>
      <c r="N35" s="16"/>
      <c r="O35" s="16"/>
      <c r="P35" s="16"/>
      <c r="Q35" s="16"/>
      <c r="R35" s="16"/>
      <c r="S35" s="16"/>
      <c r="T35" s="16"/>
      <c r="U35" s="16"/>
      <c r="V35" s="16"/>
      <c r="W35" s="22"/>
      <c r="X35" s="22"/>
      <c r="Y35" s="22"/>
      <c r="Z35" s="22"/>
      <c r="AA35" s="22"/>
      <c r="AB35" s="22"/>
      <c r="AC35" s="22"/>
      <c r="AD35" s="22"/>
      <c r="AE35" s="22"/>
      <c r="AF35" s="22"/>
    </row>
    <row r="36" customFormat="false" ht="15" hidden="true" customHeight="false" outlineLevel="0" collapsed="false">
      <c r="A36" s="111"/>
      <c r="B36" s="106"/>
      <c r="D36" s="106"/>
      <c r="E36" s="106"/>
      <c r="G36" s="106"/>
      <c r="H36" s="106"/>
      <c r="I36" s="106"/>
      <c r="J36" s="106"/>
      <c r="K36" s="106"/>
      <c r="L36" s="106"/>
      <c r="M36" s="106"/>
      <c r="N36" s="106"/>
      <c r="O36" s="106"/>
      <c r="P36" s="106"/>
      <c r="Q36" s="106"/>
      <c r="R36" s="106"/>
      <c r="S36" s="106"/>
      <c r="T36" s="106"/>
      <c r="U36" s="106"/>
      <c r="V36" s="106"/>
      <c r="W36" s="22"/>
      <c r="X36" s="22"/>
      <c r="Y36" s="22"/>
      <c r="Z36" s="22"/>
      <c r="AA36" s="22"/>
      <c r="AB36" s="22"/>
      <c r="AC36" s="22"/>
      <c r="AD36" s="22"/>
      <c r="AE36" s="22"/>
      <c r="AF36" s="22"/>
    </row>
    <row r="37" customFormat="false" ht="15" hidden="true" customHeight="false" outlineLevel="0" collapsed="false">
      <c r="A37" s="22"/>
      <c r="R37" s="22"/>
      <c r="S37" s="22"/>
      <c r="T37" s="22"/>
      <c r="U37" s="22"/>
      <c r="V37" s="22"/>
      <c r="W37" s="22"/>
      <c r="X37" s="22"/>
      <c r="Y37" s="22"/>
      <c r="Z37" s="22"/>
      <c r="AA37" s="22"/>
      <c r="AB37" s="22"/>
      <c r="AC37" s="22"/>
      <c r="AD37" s="22"/>
      <c r="AE37" s="22"/>
      <c r="AF37" s="22"/>
    </row>
    <row r="38" customFormat="false" ht="15" hidden="true" customHeight="false" outlineLevel="0" collapsed="false">
      <c r="A38" s="22"/>
      <c r="R38" s="22"/>
      <c r="S38" s="22"/>
      <c r="T38" s="22"/>
      <c r="U38" s="22"/>
      <c r="V38" s="22"/>
      <c r="W38" s="22"/>
      <c r="X38" s="22"/>
      <c r="Y38" s="22"/>
      <c r="Z38" s="22"/>
      <c r="AA38" s="22"/>
      <c r="AB38" s="22"/>
      <c r="AC38" s="22"/>
      <c r="AD38" s="22"/>
      <c r="AE38" s="22"/>
      <c r="AF38" s="22"/>
    </row>
    <row r="39" customFormat="false" ht="15" hidden="true" customHeight="false" outlineLevel="0" collapsed="false">
      <c r="A39" s="22"/>
      <c r="R39" s="22"/>
      <c r="S39" s="22"/>
      <c r="T39" s="22"/>
      <c r="U39" s="22"/>
      <c r="V39" s="22"/>
      <c r="W39" s="22"/>
      <c r="X39" s="22"/>
      <c r="Y39" s="22"/>
      <c r="Z39" s="22"/>
      <c r="AA39" s="22"/>
      <c r="AB39" s="22"/>
      <c r="AC39" s="22"/>
      <c r="AD39" s="22"/>
      <c r="AE39" s="22"/>
      <c r="AF39" s="22"/>
    </row>
    <row r="40" customFormat="false" ht="15" hidden="true" customHeight="false" outlineLevel="0" collapsed="false">
      <c r="A40" s="22"/>
      <c r="R40" s="22"/>
      <c r="S40" s="22"/>
      <c r="T40" s="22"/>
      <c r="U40" s="22"/>
      <c r="V40" s="22"/>
      <c r="W40" s="22"/>
      <c r="X40" s="22"/>
      <c r="Y40" s="22"/>
      <c r="Z40" s="22"/>
      <c r="AA40" s="22"/>
      <c r="AB40" s="22"/>
      <c r="AC40" s="22"/>
      <c r="AD40" s="22"/>
      <c r="AE40" s="22"/>
      <c r="AF40" s="22"/>
    </row>
    <row r="41" customFormat="false" ht="15" hidden="true" customHeight="false" outlineLevel="0" collapsed="false">
      <c r="A41" s="22"/>
      <c r="R41" s="22"/>
      <c r="S41" s="22"/>
      <c r="T41" s="22"/>
      <c r="U41" s="22"/>
      <c r="V41" s="22"/>
      <c r="W41" s="22"/>
      <c r="X41" s="22"/>
      <c r="Y41" s="22"/>
      <c r="Z41" s="22"/>
      <c r="AA41" s="22"/>
      <c r="AB41" s="22"/>
      <c r="AC41" s="22"/>
      <c r="AD41" s="22"/>
      <c r="AE41" s="22"/>
      <c r="AF41" s="22"/>
    </row>
    <row r="42" customFormat="false" ht="15" hidden="true" customHeight="false" outlineLevel="0" collapsed="false">
      <c r="A42" s="22"/>
      <c r="R42" s="22"/>
      <c r="S42" s="22"/>
      <c r="T42" s="22"/>
      <c r="U42" s="22"/>
      <c r="V42" s="22"/>
      <c r="W42" s="22"/>
      <c r="X42" s="22"/>
      <c r="Y42" s="22"/>
      <c r="Z42" s="22"/>
      <c r="AA42" s="22"/>
      <c r="AB42" s="22"/>
      <c r="AC42" s="22"/>
      <c r="AD42" s="22"/>
      <c r="AE42" s="22"/>
      <c r="AF42" s="22"/>
    </row>
    <row r="43" customFormat="false" ht="15" hidden="true" customHeight="false" outlineLevel="0" collapsed="false">
      <c r="A43" s="22"/>
      <c r="R43" s="22"/>
      <c r="S43" s="22"/>
      <c r="T43" s="22"/>
      <c r="U43" s="22"/>
      <c r="V43" s="22"/>
      <c r="W43" s="22"/>
      <c r="X43" s="22"/>
      <c r="Y43" s="22"/>
      <c r="Z43" s="22"/>
      <c r="AA43" s="22"/>
      <c r="AB43" s="22"/>
      <c r="AC43" s="22"/>
      <c r="AD43" s="22"/>
      <c r="AE43" s="22"/>
      <c r="AF43" s="22"/>
    </row>
    <row r="44" customFormat="false" ht="15" hidden="true" customHeight="false" outlineLevel="0" collapsed="false">
      <c r="A44" s="22"/>
      <c r="R44" s="22"/>
      <c r="S44" s="22"/>
      <c r="T44" s="22"/>
      <c r="U44" s="22"/>
      <c r="V44" s="22"/>
      <c r="W44" s="22"/>
      <c r="X44" s="22"/>
      <c r="Y44" s="22"/>
      <c r="Z44" s="22"/>
      <c r="AA44" s="22"/>
      <c r="AB44" s="22"/>
      <c r="AC44" s="22"/>
      <c r="AD44" s="22"/>
      <c r="AE44" s="22"/>
      <c r="AF44" s="22"/>
    </row>
    <row r="45" customFormat="false" ht="15" hidden="true" customHeight="false" outlineLevel="0" collapsed="false">
      <c r="A45" s="22"/>
      <c r="R45" s="22"/>
      <c r="S45" s="22"/>
      <c r="T45" s="22"/>
      <c r="U45" s="22"/>
      <c r="V45" s="22"/>
      <c r="W45" s="22"/>
      <c r="X45" s="22"/>
      <c r="Y45" s="22"/>
      <c r="Z45" s="22"/>
      <c r="AA45" s="22"/>
      <c r="AB45" s="22"/>
      <c r="AC45" s="22"/>
      <c r="AD45" s="22"/>
      <c r="AE45" s="22"/>
      <c r="AF45" s="22"/>
    </row>
    <row r="46" customFormat="false" ht="15" hidden="true" customHeight="false" outlineLevel="0" collapsed="false">
      <c r="A46" s="22"/>
      <c r="R46" s="22"/>
      <c r="S46" s="22"/>
      <c r="T46" s="22"/>
      <c r="U46" s="22"/>
      <c r="V46" s="22"/>
      <c r="W46" s="22"/>
      <c r="X46" s="22"/>
      <c r="Y46" s="22"/>
      <c r="Z46" s="22"/>
      <c r="AA46" s="22"/>
      <c r="AB46" s="22"/>
      <c r="AC46" s="22"/>
      <c r="AD46" s="22"/>
      <c r="AE46" s="22"/>
      <c r="AF46" s="22"/>
    </row>
  </sheetData>
  <mergeCells count="16">
    <mergeCell ref="A3:W3"/>
    <mergeCell ref="D5:E5"/>
    <mergeCell ref="G5:U5"/>
    <mergeCell ref="B8:B10"/>
    <mergeCell ref="D8:D9"/>
    <mergeCell ref="B12:B15"/>
    <mergeCell ref="D12:D14"/>
    <mergeCell ref="B16:B20"/>
    <mergeCell ref="D16:D18"/>
    <mergeCell ref="D19:D20"/>
    <mergeCell ref="B21:B26"/>
    <mergeCell ref="D21:D23"/>
    <mergeCell ref="D24:D26"/>
    <mergeCell ref="B27:B32"/>
    <mergeCell ref="D27:D29"/>
    <mergeCell ref="D30:D32"/>
  </mergeCells>
  <printOptions headings="false" gridLines="false" gridLinesSet="true" horizontalCentered="false" verticalCentered="false"/>
  <pageMargins left="0.75" right="0.75" top="1" bottom="1" header="0.511805555555555" footer="0.511805555555555"/>
  <pageSetup paperSize="9" scale="76"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30.xml><?xml version="1.0" encoding="utf-8"?>
<worksheet xmlns="http://schemas.openxmlformats.org/spreadsheetml/2006/main" xmlns:r="http://schemas.openxmlformats.org/officeDocument/2006/relationships">
  <sheetPr filterMode="false">
    <pageSetUpPr fitToPage="true"/>
  </sheetPr>
  <dimension ref="A1:AF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10" activeCellId="0" sqref="L10"/>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9.71"/>
    <col collapsed="false" customWidth="true" hidden="false" outlineLevel="0" max="6" min="6" style="16" width="9"/>
    <col collapsed="false" customWidth="true" hidden="false" outlineLevel="0" max="7" min="7" style="4" width="9.58"/>
    <col collapsed="false" customWidth="true" hidden="false" outlineLevel="0" max="21" min="8" style="4" width="8.86"/>
    <col collapsed="false" customWidth="true" hidden="false" outlineLevel="0" max="22" min="22" style="4" width="8.42"/>
    <col collapsed="false" customWidth="true" hidden="false" outlineLevel="0" max="23" min="23" style="4" width="3.57"/>
    <col collapsed="false" customWidth="true" hidden="true" outlineLevel="0" max="26" min="24" style="4" width="2.85"/>
    <col collapsed="false" customWidth="true" hidden="true" outlineLevel="0" max="30" min="27" style="4" width="5.14"/>
    <col collapsed="false" customWidth="true" hidden="true" outlineLevel="0" max="31" min="31" style="4" width="8.57"/>
    <col collapsed="false" customWidth="true" hidden="true" outlineLevel="0" max="32" min="32" style="4" width="2"/>
    <col collapsed="false" customWidth="true" hidden="true" outlineLevel="0" max="255" min="33" style="4" width="9.14"/>
    <col collapsed="false" customWidth="false" hidden="true" outlineLevel="0" max="1025" min="256" style="4" width="11.52"/>
  </cols>
  <sheetData>
    <row r="1" customFormat="false" ht="15" hidden="false" customHeight="false" outlineLevel="0" collapsed="false">
      <c r="A1" s="700"/>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4"/>
    </row>
    <row r="2" customFormat="false" ht="37.5" hidden="false" customHeight="true" outlineLevel="0" collapsed="false">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8"/>
    </row>
    <row r="3" customFormat="false" ht="28.5" hidden="false" customHeight="false" outlineLevel="0" collapsed="false">
      <c r="A3" s="384" t="s">
        <v>480</v>
      </c>
      <c r="B3" s="384"/>
      <c r="C3" s="384"/>
      <c r="D3" s="384"/>
      <c r="E3" s="384"/>
      <c r="F3" s="384"/>
      <c r="G3" s="384"/>
      <c r="H3" s="384"/>
      <c r="I3" s="384"/>
      <c r="J3" s="384"/>
      <c r="K3" s="384"/>
      <c r="L3" s="384"/>
      <c r="M3" s="384"/>
      <c r="N3" s="384"/>
      <c r="O3" s="384"/>
      <c r="P3" s="384"/>
      <c r="Q3" s="384"/>
      <c r="R3" s="384"/>
      <c r="S3" s="384"/>
      <c r="T3" s="384"/>
      <c r="U3" s="384"/>
      <c r="V3" s="384"/>
      <c r="W3" s="384"/>
      <c r="X3" s="701"/>
      <c r="Y3" s="701"/>
      <c r="Z3" s="701"/>
      <c r="AA3" s="701"/>
      <c r="AB3" s="701"/>
      <c r="AC3" s="701"/>
      <c r="AD3" s="701"/>
      <c r="AE3" s="701"/>
      <c r="AF3" s="701"/>
    </row>
    <row r="4" customFormat="false" ht="15" hidden="false" customHeight="true" outlineLevel="0" collapsed="false">
      <c r="A4" s="90"/>
      <c r="B4" s="91"/>
      <c r="C4" s="91"/>
      <c r="D4" s="91"/>
      <c r="E4" s="91"/>
      <c r="F4" s="91"/>
      <c r="G4" s="91"/>
      <c r="H4" s="91"/>
      <c r="I4" s="91"/>
      <c r="J4" s="91"/>
      <c r="K4" s="91"/>
      <c r="L4" s="91"/>
      <c r="M4" s="91"/>
      <c r="N4" s="91"/>
      <c r="O4" s="91"/>
      <c r="P4" s="91"/>
      <c r="Q4" s="91"/>
      <c r="R4" s="91"/>
      <c r="S4" s="91"/>
      <c r="T4" s="91"/>
      <c r="U4" s="91"/>
      <c r="V4" s="91"/>
      <c r="W4" s="93"/>
      <c r="X4" s="93"/>
      <c r="Y4" s="93"/>
      <c r="Z4" s="93"/>
      <c r="AA4" s="93"/>
      <c r="AB4" s="93"/>
      <c r="AC4" s="93"/>
      <c r="AD4" s="93"/>
      <c r="AE4" s="93"/>
      <c r="AF4" s="94"/>
    </row>
    <row r="5" customFormat="false" ht="15" hidden="false" customHeight="false" outlineLevel="0" collapsed="false">
      <c r="A5" s="90"/>
      <c r="B5" s="398" t="s">
        <v>174</v>
      </c>
      <c r="C5" s="403"/>
      <c r="D5" s="399"/>
      <c r="E5" s="398" t="s">
        <v>325</v>
      </c>
      <c r="F5" s="398"/>
      <c r="G5" s="398"/>
      <c r="H5" s="398"/>
      <c r="I5" s="398"/>
      <c r="J5" s="398"/>
      <c r="K5" s="398"/>
      <c r="L5" s="398"/>
      <c r="M5" s="398"/>
      <c r="N5" s="398"/>
      <c r="O5" s="398"/>
      <c r="P5" s="398"/>
      <c r="Q5" s="398"/>
      <c r="R5" s="398"/>
      <c r="S5" s="398"/>
      <c r="T5" s="702"/>
      <c r="U5" s="91"/>
      <c r="V5" s="91"/>
      <c r="W5" s="91"/>
      <c r="X5" s="91"/>
      <c r="Y5" s="91"/>
      <c r="Z5" s="91"/>
      <c r="AA5" s="91"/>
      <c r="AB5" s="91"/>
      <c r="AC5" s="91"/>
      <c r="AD5" s="96"/>
    </row>
    <row r="6" customFormat="false" ht="15" hidden="false" customHeight="false" outlineLevel="0" collapsed="false">
      <c r="A6" s="90"/>
      <c r="B6" s="397" t="s">
        <v>298</v>
      </c>
      <c r="C6" s="403"/>
      <c r="D6" s="403"/>
      <c r="E6" s="397" t="s">
        <v>299</v>
      </c>
      <c r="F6" s="397" t="s">
        <v>300</v>
      </c>
      <c r="G6" s="397" t="s">
        <v>301</v>
      </c>
      <c r="H6" s="397" t="s">
        <v>302</v>
      </c>
      <c r="I6" s="397" t="s">
        <v>303</v>
      </c>
      <c r="J6" s="397" t="s">
        <v>304</v>
      </c>
      <c r="K6" s="397" t="s">
        <v>305</v>
      </c>
      <c r="L6" s="397" t="s">
        <v>306</v>
      </c>
      <c r="M6" s="397" t="s">
        <v>307</v>
      </c>
      <c r="N6" s="397" t="s">
        <v>308</v>
      </c>
      <c r="O6" s="397" t="s">
        <v>309</v>
      </c>
      <c r="P6" s="397" t="s">
        <v>310</v>
      </c>
      <c r="Q6" s="397" t="s">
        <v>311</v>
      </c>
      <c r="R6" s="397" t="s">
        <v>312</v>
      </c>
      <c r="S6" s="719" t="s">
        <v>313</v>
      </c>
      <c r="T6" s="397" t="s">
        <v>486</v>
      </c>
      <c r="U6" s="91"/>
      <c r="V6" s="91"/>
      <c r="W6" s="91"/>
      <c r="X6" s="91"/>
      <c r="Y6" s="91"/>
      <c r="Z6" s="91"/>
      <c r="AA6" s="91"/>
      <c r="AB6" s="91"/>
      <c r="AC6" s="91"/>
      <c r="AD6" s="96"/>
    </row>
    <row r="7" customFormat="false" ht="15" hidden="false" customHeight="false" outlineLevel="0" collapsed="false">
      <c r="A7" s="90"/>
      <c r="B7" s="418" t="n">
        <v>45</v>
      </c>
      <c r="C7" s="98"/>
      <c r="D7" s="98"/>
      <c r="E7" s="704" t="n">
        <f aca="false">AVERAGE('DAF Parts CPV'!G7)</f>
        <v>1460.44830026614</v>
      </c>
      <c r="F7" s="704" t="n">
        <f aca="false">AVERAGE('DAF Parts CPV'!H7)</f>
        <v>1532.76144560429</v>
      </c>
      <c r="G7" s="704" t="n">
        <f aca="false">AVERAGE('DAF Parts CPV'!I7)</f>
        <v>2227.59107967428</v>
      </c>
      <c r="H7" s="704" t="n">
        <f aca="false">AVERAGE('DAF Parts CPV'!J7)</f>
        <v>2400.63415868632</v>
      </c>
      <c r="I7" s="704" t="n">
        <f aca="false">AVERAGE('DAF Parts CPV'!K7)</f>
        <v>2354.45562887253</v>
      </c>
      <c r="J7" s="704" t="n">
        <f aca="false">AVERAGE('DAF Parts CPV'!L7)</f>
        <v>1914.63561859744</v>
      </c>
      <c r="K7" s="704" t="n">
        <f aca="false">AVERAGE('DAF Parts CPV'!M7)</f>
        <v>2034.30034475978</v>
      </c>
      <c r="L7" s="704" t="n">
        <f aca="false">AVERAGE('DAF Parts CPV'!N7)</f>
        <v>2153.96507092212</v>
      </c>
      <c r="M7" s="704" t="n">
        <f aca="false">AVERAGE('DAF Parts CPV'!O7)</f>
        <v>2273.62979708446</v>
      </c>
      <c r="N7" s="704" t="n">
        <f aca="false">AVERAGE('DAF Parts CPV'!P7)</f>
        <v>2393.2945232468</v>
      </c>
      <c r="O7" s="704" t="n">
        <f aca="false">AVERAGE('DAF Parts CPV'!Q7)</f>
        <v>2297.56274231693</v>
      </c>
      <c r="P7" s="704" t="n">
        <f aca="false">AVERAGE('DAF Parts CPV'!R7)</f>
        <v>2201.83096138706</v>
      </c>
      <c r="Q7" s="704" t="n">
        <f aca="false">AVERAGE('DAF Parts CPV'!S7)</f>
        <v>2106.09918045719</v>
      </c>
      <c r="R7" s="704" t="n">
        <f aca="false">AVERAGE('DAF Parts CPV'!T7)</f>
        <v>2010.36739952732</v>
      </c>
      <c r="S7" s="705" t="n">
        <f aca="false">AVERAGE('DAF Parts CPV'!U7)</f>
        <v>1914.63561859744</v>
      </c>
      <c r="T7" s="411" t="n">
        <f aca="false">AVERAGE(E7:S7)</f>
        <v>2085.08079133334</v>
      </c>
      <c r="U7" s="91"/>
      <c r="V7" s="91"/>
      <c r="W7" s="91"/>
      <c r="X7" s="91"/>
      <c r="Y7" s="91"/>
      <c r="Z7" s="91"/>
      <c r="AA7" s="91"/>
      <c r="AB7" s="91"/>
      <c r="AC7" s="91"/>
      <c r="AD7" s="96"/>
    </row>
    <row r="8" customFormat="false" ht="15" hidden="false" customHeight="false" outlineLevel="0" collapsed="false">
      <c r="A8" s="90"/>
      <c r="B8" s="408" t="n">
        <v>55</v>
      </c>
      <c r="C8" s="99"/>
      <c r="D8" s="98"/>
      <c r="E8" s="704" t="n">
        <f aca="false">AVERAGE('DAF Parts CPV'!G8:G10)</f>
        <v>1676.45255279825</v>
      </c>
      <c r="F8" s="704" t="n">
        <f aca="false">AVERAGE('DAF Parts CPV'!H8:H10)</f>
        <v>1369.340303066</v>
      </c>
      <c r="G8" s="704" t="n">
        <f aca="false">AVERAGE('DAF Parts CPV'!I8:I10)</f>
        <v>2123.46495310888</v>
      </c>
      <c r="H8" s="704" t="n">
        <f aca="false">AVERAGE('DAF Parts CPV'!J8:J10)</f>
        <v>2589.51869799833</v>
      </c>
      <c r="I8" s="704" t="n">
        <f aca="false">AVERAGE('DAF Parts CPV'!K8:K10)</f>
        <v>3012.7160816809</v>
      </c>
      <c r="J8" s="704" t="n">
        <f aca="false">AVERAGE('DAF Parts CPV'!L8:L10)</f>
        <v>3368.39901131332</v>
      </c>
      <c r="K8" s="704" t="n">
        <f aca="false">AVERAGE('DAF Parts CPV'!M8:M10)</f>
        <v>3578.9239495204</v>
      </c>
      <c r="L8" s="704" t="n">
        <f aca="false">AVERAGE('DAF Parts CPV'!N8:N10)</f>
        <v>3789.44888772748</v>
      </c>
      <c r="M8" s="704" t="n">
        <f aca="false">AVERAGE('DAF Parts CPV'!O8:O10)</f>
        <v>3999.97382593456</v>
      </c>
      <c r="N8" s="704" t="n">
        <f aca="false">AVERAGE('DAF Parts CPV'!P8:P10)</f>
        <v>4210.49876414165</v>
      </c>
      <c r="O8" s="704" t="n">
        <f aca="false">AVERAGE('DAF Parts CPV'!Q8:Q10)</f>
        <v>4042.07881357598</v>
      </c>
      <c r="P8" s="704" t="n">
        <f aca="false">AVERAGE('DAF Parts CPV'!R8:R10)</f>
        <v>3873.65886301031</v>
      </c>
      <c r="Q8" s="704" t="n">
        <f aca="false">AVERAGE('DAF Parts CPV'!S8:S10)</f>
        <v>3705.23891244465</v>
      </c>
      <c r="R8" s="704" t="n">
        <f aca="false">AVERAGE('DAF Parts CPV'!T8:T10)</f>
        <v>3536.81896187898</v>
      </c>
      <c r="S8" s="705" t="n">
        <f aca="false">AVERAGE('DAF Parts CPV'!U8:U10)</f>
        <v>3368.39901131332</v>
      </c>
      <c r="T8" s="411" t="n">
        <f aca="false">AVERAGE(E8:S8)</f>
        <v>3216.3287726342</v>
      </c>
      <c r="U8" s="91"/>
      <c r="V8" s="91"/>
      <c r="W8" s="91"/>
      <c r="X8" s="91"/>
      <c r="Y8" s="91"/>
      <c r="Z8" s="91"/>
      <c r="AA8" s="91"/>
      <c r="AB8" s="91"/>
      <c r="AC8" s="91"/>
      <c r="AD8" s="96"/>
    </row>
    <row r="9" customFormat="false" ht="15" hidden="false" customHeight="false" outlineLevel="0" collapsed="false">
      <c r="A9" s="90"/>
      <c r="B9" s="420" t="n">
        <v>65</v>
      </c>
      <c r="C9" s="99"/>
      <c r="D9" s="98"/>
      <c r="E9" s="704" t="n">
        <f aca="false">AVERAGE('DAF Parts CPV'!G11)</f>
        <v>1379.66117991263</v>
      </c>
      <c r="F9" s="704" t="n">
        <f aca="false">AVERAGE('DAF Parts CPV'!H11)</f>
        <v>1063.80666870373</v>
      </c>
      <c r="G9" s="704" t="n">
        <f aca="false">AVERAGE('DAF Parts CPV'!I11)</f>
        <v>1855.64308724454</v>
      </c>
      <c r="H9" s="704" t="n">
        <f aca="false">AVERAGE('DAF Parts CPV'!J11)</f>
        <v>2166.13068929535</v>
      </c>
      <c r="I9" s="704" t="n">
        <f aca="false">AVERAGE('DAF Parts CPV'!K11)</f>
        <v>2313.1523908185</v>
      </c>
      <c r="J9" s="704" t="n">
        <f aca="false">AVERAGE('DAF Parts CPV'!L11)</f>
        <v>2039.41192958769</v>
      </c>
      <c r="K9" s="704" t="n">
        <f aca="false">AVERAGE('DAF Parts CPV'!M11)</f>
        <v>2166.87517518692</v>
      </c>
      <c r="L9" s="704" t="n">
        <f aca="false">AVERAGE('DAF Parts CPV'!N11)</f>
        <v>2294.33842078615</v>
      </c>
      <c r="M9" s="704" t="n">
        <f aca="false">AVERAGE('DAF Parts CPV'!O11)</f>
        <v>2421.80166638538</v>
      </c>
      <c r="N9" s="704" t="n">
        <f aca="false">AVERAGE('DAF Parts CPV'!P11)</f>
        <v>2549.26491198461</v>
      </c>
      <c r="O9" s="704" t="n">
        <f aca="false">AVERAGE('DAF Parts CPV'!Q11)</f>
        <v>2447.29431550523</v>
      </c>
      <c r="P9" s="704" t="n">
        <f aca="false">AVERAGE('DAF Parts CPV'!R11)</f>
        <v>2345.32371902584</v>
      </c>
      <c r="Q9" s="704" t="n">
        <f aca="false">AVERAGE('DAF Parts CPV'!S11)</f>
        <v>2243.35312254646</v>
      </c>
      <c r="R9" s="704" t="n">
        <f aca="false">AVERAGE('DAF Parts CPV'!T11)</f>
        <v>2141.38252606707</v>
      </c>
      <c r="S9" s="705" t="n">
        <f aca="false">AVERAGE('DAF Parts CPV'!U11)</f>
        <v>2039.41192958769</v>
      </c>
      <c r="T9" s="411" t="n">
        <f aca="false">AVERAGE(E9:S9)</f>
        <v>2097.79011550919</v>
      </c>
      <c r="U9" s="91"/>
      <c r="V9" s="91"/>
      <c r="W9" s="91"/>
      <c r="X9" s="91"/>
      <c r="Y9" s="91"/>
      <c r="Z9" s="91"/>
      <c r="AA9" s="91"/>
      <c r="AB9" s="91"/>
      <c r="AC9" s="91"/>
      <c r="AD9" s="96"/>
    </row>
    <row r="10" customFormat="false" ht="15" hidden="false" customHeight="false" outlineLevel="0" collapsed="false">
      <c r="A10" s="90"/>
      <c r="B10" s="408" t="n">
        <v>75</v>
      </c>
      <c r="C10" s="99"/>
      <c r="D10" s="98"/>
      <c r="E10" s="704" t="n">
        <f aca="false">AVERAGE('DAF Parts CPV'!G12:G13,'DAF Parts CPV'!G15)</f>
        <v>1599.15172798544</v>
      </c>
      <c r="F10" s="704" t="n">
        <f aca="false">AVERAGE('DAF Parts CPV'!H12:H13,'DAF Parts CPV'!H15)</f>
        <v>1147.02900640916</v>
      </c>
      <c r="G10" s="704" t="n">
        <f aca="false">AVERAGE('DAF Parts CPV'!I12:I13,'DAF Parts CPV'!I15)</f>
        <v>2222.19079142208</v>
      </c>
      <c r="H10" s="704" t="n">
        <f aca="false">AVERAGE('DAF Parts CPV'!J12:J13,'DAF Parts CPV'!J15)</f>
        <v>2641.51649564339</v>
      </c>
      <c r="I10" s="704" t="n">
        <f aca="false">AVERAGE('DAF Parts CPV'!K12:K13,'DAF Parts CPV'!K15)</f>
        <v>3169.65035096681</v>
      </c>
      <c r="J10" s="704" t="n">
        <f aca="false">AVERAGE('DAF Parts CPV'!L12:L13,'DAF Parts CPV'!L15)</f>
        <v>2768.05579472151</v>
      </c>
      <c r="K10" s="704" t="n">
        <f aca="false">AVERAGE('DAF Parts CPV'!M12:M13,'DAF Parts CPV'!M15)</f>
        <v>2941.0592818916</v>
      </c>
      <c r="L10" s="704" t="n">
        <f aca="false">AVERAGE('DAF Parts CPV'!N12:N13,'DAF Parts CPV'!N15)</f>
        <v>3114.0627690617</v>
      </c>
      <c r="M10" s="704" t="n">
        <f aca="false">AVERAGE('DAF Parts CPV'!O12:O13,'DAF Parts CPV'!O15)</f>
        <v>3287.06625623179</v>
      </c>
      <c r="N10" s="704" t="n">
        <f aca="false">AVERAGE('DAF Parts CPV'!P12:P13,'DAF Parts CPV'!P15)</f>
        <v>3460.06974340189</v>
      </c>
      <c r="O10" s="704" t="n">
        <f aca="false">AVERAGE('DAF Parts CPV'!Q12:Q13,'DAF Parts CPV'!Q15)</f>
        <v>3321.66695366581</v>
      </c>
      <c r="P10" s="704" t="n">
        <f aca="false">AVERAGE('DAF Parts CPV'!R12:R13,'DAF Parts CPV'!R15)</f>
        <v>3183.26416392973</v>
      </c>
      <c r="Q10" s="704" t="n">
        <f aca="false">AVERAGE('DAF Parts CPV'!S12:S13,'DAF Parts CPV'!S15)</f>
        <v>3044.86137419366</v>
      </c>
      <c r="R10" s="704" t="n">
        <f aca="false">AVERAGE('DAF Parts CPV'!T12:T13,'DAF Parts CPV'!T15)</f>
        <v>2906.45858445758</v>
      </c>
      <c r="S10" s="705" t="n">
        <f aca="false">AVERAGE('DAF Parts CPV'!U12:U13,'DAF Parts CPV'!U15)</f>
        <v>2768.05579472151</v>
      </c>
      <c r="T10" s="411" t="n">
        <f aca="false">AVERAGE(E10:S10)</f>
        <v>2771.61060591358</v>
      </c>
      <c r="U10" s="91"/>
      <c r="V10" s="91"/>
      <c r="W10" s="91"/>
      <c r="X10" s="91"/>
      <c r="Y10" s="91"/>
      <c r="Z10" s="91"/>
      <c r="AA10" s="91"/>
      <c r="AB10" s="91"/>
      <c r="AC10" s="91"/>
      <c r="AD10" s="96"/>
    </row>
    <row r="11" customFormat="false" ht="15" hidden="false" customHeight="false" outlineLevel="0" collapsed="false">
      <c r="A11" s="90"/>
      <c r="B11" s="408" t="n">
        <v>85</v>
      </c>
      <c r="C11" s="99"/>
      <c r="D11" s="98"/>
      <c r="E11" s="704" t="n">
        <f aca="false">AVERAGE('DAF Parts CPV'!G16:G17,'DAF Parts CPV'!G19:G20)</f>
        <v>1788.88911334143</v>
      </c>
      <c r="F11" s="704" t="n">
        <f aca="false">AVERAGE('DAF Parts CPV'!H16:H17,'DAF Parts CPV'!H19:H20)</f>
        <v>1582.45297426935</v>
      </c>
      <c r="G11" s="704" t="n">
        <f aca="false">AVERAGE('DAF Parts CPV'!I16:I17,'DAF Parts CPV'!I19:I20)</f>
        <v>2695.35670864273</v>
      </c>
      <c r="H11" s="704" t="n">
        <f aca="false">AVERAGE('DAF Parts CPV'!J16:J17,'DAF Parts CPV'!J19:J20)</f>
        <v>3272.03296450006</v>
      </c>
      <c r="I11" s="704" t="n">
        <f aca="false">AVERAGE('DAF Parts CPV'!K16:K17,'DAF Parts CPV'!K19:K20)</f>
        <v>3734.86261358336</v>
      </c>
      <c r="J11" s="704" t="n">
        <f aca="false">AVERAGE('DAF Parts CPV'!L16:L17,'DAF Parts CPV'!L19:L20)</f>
        <v>3805.39939317416</v>
      </c>
      <c r="K11" s="704" t="n">
        <f aca="false">AVERAGE('DAF Parts CPV'!M16:M17,'DAF Parts CPV'!M19:M20)</f>
        <v>4043.23685524755</v>
      </c>
      <c r="L11" s="704" t="n">
        <f aca="false">AVERAGE('DAF Parts CPV'!N16:N17,'DAF Parts CPV'!N19:N20)</f>
        <v>4281.07431732093</v>
      </c>
      <c r="M11" s="704" t="n">
        <f aca="false">AVERAGE('DAF Parts CPV'!O16:O17,'DAF Parts CPV'!O19:O20)</f>
        <v>4518.91177939432</v>
      </c>
      <c r="N11" s="704" t="n">
        <f aca="false">AVERAGE('DAF Parts CPV'!P16:P17,'DAF Parts CPV'!P19:P20)</f>
        <v>4756.7492414677</v>
      </c>
      <c r="O11" s="704" t="n">
        <f aca="false">AVERAGE('DAF Parts CPV'!Q16:Q17,'DAF Parts CPV'!Q19:Q20)</f>
        <v>4566.479271809</v>
      </c>
      <c r="P11" s="704" t="n">
        <f aca="false">AVERAGE('DAF Parts CPV'!R16:R17,'DAF Parts CPV'!R19:R20)</f>
        <v>4376.20930215029</v>
      </c>
      <c r="Q11" s="704" t="n">
        <f aca="false">AVERAGE('DAF Parts CPV'!S16:S17,'DAF Parts CPV'!S19:S20)</f>
        <v>4185.93933249158</v>
      </c>
      <c r="R11" s="704" t="n">
        <f aca="false">AVERAGE('DAF Parts CPV'!T16:T17,'DAF Parts CPV'!T19:T20)</f>
        <v>3995.66936283287</v>
      </c>
      <c r="S11" s="705" t="n">
        <f aca="false">AVERAGE('DAF Parts CPV'!U16:U17,'DAF Parts CPV'!U19:U20)</f>
        <v>3805.39939317416</v>
      </c>
      <c r="T11" s="411" t="n">
        <f aca="false">AVERAGE(E11:S11)</f>
        <v>3693.91084155997</v>
      </c>
      <c r="U11" s="91"/>
      <c r="V11" s="91"/>
      <c r="W11" s="91"/>
      <c r="X11" s="91"/>
      <c r="Y11" s="91"/>
      <c r="Z11" s="91"/>
      <c r="AA11" s="91"/>
      <c r="AB11" s="91"/>
      <c r="AC11" s="91"/>
      <c r="AD11" s="96"/>
    </row>
    <row r="12" customFormat="false" ht="15" hidden="false" customHeight="false" outlineLevel="0" collapsed="false">
      <c r="A12" s="90"/>
      <c r="B12" s="408" t="n">
        <v>95</v>
      </c>
      <c r="C12" s="99"/>
      <c r="D12" s="98"/>
      <c r="E12" s="704" t="n">
        <f aca="false">AVERAGE('DAF Parts CPV'!G21:G22,'DAF Parts CPV'!G24:G25)</f>
        <v>1770.02327765079</v>
      </c>
      <c r="F12" s="704" t="n">
        <f aca="false">AVERAGE('DAF Parts CPV'!H21:H22,'DAF Parts CPV'!H24:H25)</f>
        <v>1594.50824628231</v>
      </c>
      <c r="G12" s="704" t="n">
        <f aca="false">AVERAGE('DAF Parts CPV'!I21:I22,'DAF Parts CPV'!I24:I25)</f>
        <v>2721.6170179095</v>
      </c>
      <c r="H12" s="704" t="n">
        <f aca="false">AVERAGE('DAF Parts CPV'!J21:J22,'DAF Parts CPV'!J24:J25)</f>
        <v>3234.98289110861</v>
      </c>
      <c r="I12" s="704" t="n">
        <f aca="false">AVERAGE('DAF Parts CPV'!K21:K22,'DAF Parts CPV'!K24:K25)</f>
        <v>3146.83111690668</v>
      </c>
      <c r="J12" s="704" t="n">
        <f aca="false">AVERAGE('DAF Parts CPV'!L21:L22,'DAF Parts CPV'!L24:L25)</f>
        <v>2969.43879493133</v>
      </c>
      <c r="K12" s="704" t="n">
        <f aca="false">AVERAGE('DAF Parts CPV'!M21:M22,'DAF Parts CPV'!M24:M25)</f>
        <v>3155.02871961454</v>
      </c>
      <c r="L12" s="704" t="n">
        <f aca="false">AVERAGE('DAF Parts CPV'!N21:N22,'DAF Parts CPV'!N24:N25)</f>
        <v>3340.61864429775</v>
      </c>
      <c r="M12" s="704" t="n">
        <f aca="false">AVERAGE('DAF Parts CPV'!O21:O22,'DAF Parts CPV'!O24:O25)</f>
        <v>3526.20856898096</v>
      </c>
      <c r="N12" s="704" t="n">
        <f aca="false">AVERAGE('DAF Parts CPV'!P21:P22,'DAF Parts CPV'!P24:P25)</f>
        <v>3711.79849366416</v>
      </c>
      <c r="O12" s="704" t="n">
        <f aca="false">AVERAGE('DAF Parts CPV'!Q21:Q22,'DAF Parts CPV'!Q24:Q25)</f>
        <v>3563.3265539176</v>
      </c>
      <c r="P12" s="704" t="n">
        <f aca="false">AVERAGE('DAF Parts CPV'!R21:R22,'DAF Parts CPV'!R24:R25)</f>
        <v>3414.85461417103</v>
      </c>
      <c r="Q12" s="704" t="n">
        <f aca="false">AVERAGE('DAF Parts CPV'!S21:S22,'DAF Parts CPV'!S24:S25)</f>
        <v>3266.38267442446</v>
      </c>
      <c r="R12" s="704" t="n">
        <f aca="false">AVERAGE('DAF Parts CPV'!T21:T22,'DAF Parts CPV'!T24:T25)</f>
        <v>3117.9107346779</v>
      </c>
      <c r="S12" s="705" t="n">
        <f aca="false">AVERAGE('DAF Parts CPV'!U21:U22,'DAF Parts CPV'!U24:U25)</f>
        <v>2969.43879493133</v>
      </c>
      <c r="T12" s="411" t="n">
        <f aca="false">AVERAGE(E12:S12)</f>
        <v>3033.53127623126</v>
      </c>
      <c r="U12" s="91"/>
      <c r="V12" s="91"/>
      <c r="W12" s="91"/>
      <c r="X12" s="91"/>
      <c r="Y12" s="91"/>
      <c r="Z12" s="91"/>
      <c r="AA12" s="91"/>
      <c r="AB12" s="91"/>
      <c r="AC12" s="91"/>
      <c r="AD12" s="96"/>
    </row>
    <row r="13" customFormat="false" ht="15" hidden="false" customHeight="false" outlineLevel="0" collapsed="false">
      <c r="A13" s="90"/>
      <c r="B13" s="707" t="n">
        <v>105</v>
      </c>
      <c r="C13" s="99"/>
      <c r="D13" s="98"/>
      <c r="E13" s="711" t="n">
        <f aca="false">AVERAGE('DAF Parts CPV'!G27:G28,'DAF Parts CPV'!G30:G31)</f>
        <v>1801.5266198511</v>
      </c>
      <c r="F13" s="711" t="n">
        <f aca="false">AVERAGE('DAF Parts CPV'!H27:H28,'DAF Parts CPV'!H30:H31)</f>
        <v>1845.02082567396</v>
      </c>
      <c r="G13" s="711" t="n">
        <f aca="false">AVERAGE('DAF Parts CPV'!I27:I28,'DAF Parts CPV'!I30:I31)</f>
        <v>1906.0195310626</v>
      </c>
      <c r="H13" s="711" t="n">
        <f aca="false">AVERAGE('DAF Parts CPV'!J27:J28,'DAF Parts CPV'!J30:J31)</f>
        <v>3234.98289110861</v>
      </c>
      <c r="I13" s="711" t="n">
        <f aca="false">AVERAGE('DAF Parts CPV'!K27:K28,'DAF Parts CPV'!K30:K31)</f>
        <v>3146.83111690668</v>
      </c>
      <c r="J13" s="711" t="n">
        <f aca="false">AVERAGE('DAF Parts CPV'!L27:L28,'DAF Parts CPV'!L30:L31)</f>
        <v>2969.43879493133</v>
      </c>
      <c r="K13" s="711" t="n">
        <f aca="false">AVERAGE('DAF Parts CPV'!M27:M28,'DAF Parts CPV'!M30:M31)</f>
        <v>3155.02871961454</v>
      </c>
      <c r="L13" s="711" t="n">
        <f aca="false">AVERAGE('DAF Parts CPV'!N27:N28,'DAF Parts CPV'!N30:N31)</f>
        <v>3340.61864429775</v>
      </c>
      <c r="M13" s="711" t="n">
        <f aca="false">AVERAGE('DAF Parts CPV'!O27:O28,'DAF Parts CPV'!O30:O31)</f>
        <v>3526.20856898096</v>
      </c>
      <c r="N13" s="711" t="n">
        <f aca="false">AVERAGE('DAF Parts CPV'!P27:P28,'DAF Parts CPV'!P30:P31)</f>
        <v>3711.79849366416</v>
      </c>
      <c r="O13" s="711" t="n">
        <f aca="false">AVERAGE('DAF Parts CPV'!Q27:Q28,'DAF Parts CPV'!Q30:Q31)</f>
        <v>3563.3265539176</v>
      </c>
      <c r="P13" s="711" t="n">
        <f aca="false">AVERAGE('DAF Parts CPV'!R27:R28,'DAF Parts CPV'!R30:R31)</f>
        <v>3414.85461417103</v>
      </c>
      <c r="Q13" s="711" t="n">
        <f aca="false">AVERAGE('DAF Parts CPV'!S27:S28,'DAF Parts CPV'!S30:S31)</f>
        <v>3266.38267442446</v>
      </c>
      <c r="R13" s="711" t="n">
        <f aca="false">AVERAGE('DAF Parts CPV'!T27:T28,'DAF Parts CPV'!T30:T31)</f>
        <v>3117.9107346779</v>
      </c>
      <c r="S13" s="712" t="n">
        <f aca="false">AVERAGE('DAF Parts CPV'!U27:U28,'DAF Parts CPV'!U30:U31)</f>
        <v>2969.43879493133</v>
      </c>
      <c r="T13" s="411" t="n">
        <f aca="false">AVERAGE(E13:S13)</f>
        <v>2997.95917188093</v>
      </c>
      <c r="U13" s="91"/>
      <c r="V13" s="91"/>
      <c r="W13" s="91"/>
      <c r="X13" s="91"/>
      <c r="Y13" s="91"/>
      <c r="Z13" s="91"/>
      <c r="AA13" s="91"/>
      <c r="AB13" s="91"/>
      <c r="AC13" s="91"/>
      <c r="AD13" s="96"/>
    </row>
    <row r="14" s="273" customFormat="true" ht="15" hidden="false" customHeight="false" outlineLevel="0" collapsed="false">
      <c r="A14" s="720"/>
      <c r="B14" s="427" t="s">
        <v>486</v>
      </c>
      <c r="C14" s="721"/>
      <c r="D14" s="403"/>
      <c r="E14" s="411" t="n">
        <f aca="false">AVERAGE(E7:E13)</f>
        <v>1639.45039597225</v>
      </c>
      <c r="F14" s="411" t="n">
        <f aca="false">AVERAGE(F7:F13)</f>
        <v>1447.84563857269</v>
      </c>
      <c r="G14" s="411" t="n">
        <f aca="false">AVERAGE(G7:G13)</f>
        <v>2250.26902415208</v>
      </c>
      <c r="H14" s="411" t="n">
        <f aca="false">AVERAGE(H7:H13)</f>
        <v>2791.39982690581</v>
      </c>
      <c r="I14" s="411" t="n">
        <f aca="false">AVERAGE(I7:I13)</f>
        <v>2982.64275710507</v>
      </c>
      <c r="J14" s="411" t="n">
        <f aca="false">AVERAGE(J7:J13)</f>
        <v>2833.5399053224</v>
      </c>
      <c r="K14" s="411" t="n">
        <f aca="false">AVERAGE(K7:K13)</f>
        <v>3010.63614940505</v>
      </c>
      <c r="L14" s="411" t="n">
        <f aca="false">AVERAGE(L7:L13)</f>
        <v>3187.7323934877</v>
      </c>
      <c r="M14" s="411" t="n">
        <f aca="false">AVERAGE(M7:M13)</f>
        <v>3364.82863757035</v>
      </c>
      <c r="N14" s="411" t="n">
        <f aca="false">AVERAGE(N7:N13)</f>
        <v>3541.924881653</v>
      </c>
      <c r="O14" s="411" t="n">
        <f aca="false">AVERAGE(O7:O13)</f>
        <v>3400.24788638688</v>
      </c>
      <c r="P14" s="411" t="n">
        <f aca="false">AVERAGE(P7:P13)</f>
        <v>3258.57089112076</v>
      </c>
      <c r="Q14" s="411" t="n">
        <f aca="false">AVERAGE(Q7:Q13)</f>
        <v>3116.89389585464</v>
      </c>
      <c r="R14" s="411" t="n">
        <f aca="false">AVERAGE(R7:R13)</f>
        <v>2975.21690058852</v>
      </c>
      <c r="S14" s="411" t="n">
        <f aca="false">AVERAGE(S7:S13)</f>
        <v>2833.5399053224</v>
      </c>
      <c r="T14" s="411" t="n">
        <f aca="false">AVERAGE(E14:S14)</f>
        <v>2842.31593929464</v>
      </c>
      <c r="U14" s="722"/>
      <c r="V14" s="722"/>
      <c r="W14" s="722"/>
      <c r="X14" s="722"/>
      <c r="Y14" s="722"/>
      <c r="Z14" s="722"/>
      <c r="AA14" s="722"/>
      <c r="AB14" s="722"/>
      <c r="AC14" s="722"/>
      <c r="AD14" s="722"/>
    </row>
    <row r="15" customFormat="false" ht="15" hidden="false" customHeight="false" outlineLevel="0" collapsed="false">
      <c r="A15" s="104"/>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8"/>
    </row>
    <row r="16" customFormat="false" ht="15" hidden="true" customHeight="false" outlineLevel="0" collapsed="false">
      <c r="A16" s="330"/>
      <c r="B16" s="16"/>
      <c r="D16" s="16"/>
      <c r="E16" s="16"/>
      <c r="G16" s="16"/>
      <c r="H16" s="16"/>
      <c r="I16" s="16"/>
      <c r="J16" s="16"/>
      <c r="K16" s="16"/>
      <c r="L16" s="16"/>
      <c r="M16" s="16"/>
      <c r="N16" s="16"/>
      <c r="O16" s="16"/>
      <c r="P16" s="16"/>
      <c r="Q16" s="16"/>
      <c r="R16" s="16"/>
      <c r="S16" s="16"/>
      <c r="T16" s="16"/>
      <c r="U16" s="16"/>
      <c r="V16" s="16"/>
      <c r="W16" s="22"/>
      <c r="X16" s="22"/>
      <c r="Y16" s="22"/>
      <c r="Z16" s="22"/>
      <c r="AA16" s="22"/>
      <c r="AB16" s="22"/>
      <c r="AC16" s="22"/>
      <c r="AD16" s="22"/>
      <c r="AE16" s="22"/>
      <c r="AF16" s="22"/>
    </row>
    <row r="17" customFormat="false" ht="15" hidden="true" customHeight="false" outlineLevel="0" collapsed="false">
      <c r="A17" s="111"/>
      <c r="B17" s="106"/>
      <c r="D17" s="106"/>
      <c r="E17" s="106"/>
      <c r="G17" s="106"/>
      <c r="H17" s="106"/>
      <c r="I17" s="106"/>
      <c r="J17" s="106"/>
      <c r="K17" s="106"/>
      <c r="L17" s="106"/>
      <c r="M17" s="106"/>
      <c r="N17" s="106"/>
      <c r="O17" s="106"/>
      <c r="P17" s="106"/>
      <c r="Q17" s="106"/>
      <c r="R17" s="106"/>
      <c r="S17" s="106"/>
      <c r="T17" s="106"/>
      <c r="U17" s="106"/>
      <c r="V17" s="106"/>
      <c r="W17" s="22"/>
      <c r="X17" s="22"/>
      <c r="Y17" s="22"/>
      <c r="Z17" s="22"/>
      <c r="AA17" s="22"/>
      <c r="AB17" s="22"/>
      <c r="AC17" s="22"/>
      <c r="AD17" s="22"/>
      <c r="AE17" s="22"/>
      <c r="AF17" s="22"/>
    </row>
    <row r="18" customFormat="false" ht="15" hidden="true" customHeight="false" outlineLevel="0" collapsed="false">
      <c r="A18" s="22"/>
      <c r="R18" s="22"/>
      <c r="S18" s="22"/>
      <c r="T18" s="22"/>
      <c r="U18" s="22"/>
      <c r="V18" s="22"/>
      <c r="W18" s="22"/>
      <c r="X18" s="22"/>
      <c r="Y18" s="22"/>
      <c r="Z18" s="22"/>
      <c r="AA18" s="22"/>
      <c r="AB18" s="22"/>
      <c r="AC18" s="22"/>
      <c r="AD18" s="22"/>
      <c r="AE18" s="22"/>
      <c r="AF18" s="22"/>
    </row>
    <row r="19" customFormat="false" ht="15" hidden="true" customHeight="false" outlineLevel="0" collapsed="false">
      <c r="A19" s="22"/>
      <c r="R19" s="22"/>
      <c r="S19" s="22"/>
      <c r="T19" s="22"/>
      <c r="U19" s="22"/>
      <c r="V19" s="22"/>
      <c r="W19" s="22"/>
      <c r="X19" s="22"/>
      <c r="Y19" s="22"/>
      <c r="Z19" s="22"/>
      <c r="AA19" s="22"/>
      <c r="AB19" s="22"/>
      <c r="AC19" s="22"/>
      <c r="AD19" s="22"/>
      <c r="AE19" s="22"/>
      <c r="AF19" s="22"/>
    </row>
    <row r="20" customFormat="false" ht="15" hidden="true" customHeight="false" outlineLevel="0" collapsed="false">
      <c r="A20" s="22"/>
      <c r="R20" s="22"/>
      <c r="S20" s="22"/>
      <c r="T20" s="22"/>
      <c r="U20" s="22"/>
      <c r="V20" s="22"/>
      <c r="W20" s="22"/>
      <c r="X20" s="22"/>
      <c r="Y20" s="22"/>
      <c r="Z20" s="22"/>
      <c r="AA20" s="22"/>
      <c r="AB20" s="22"/>
      <c r="AC20" s="22"/>
      <c r="AD20" s="22"/>
      <c r="AE20" s="22"/>
      <c r="AF20" s="22"/>
    </row>
    <row r="21" customFormat="false" ht="15" hidden="true" customHeight="false" outlineLevel="0" collapsed="false">
      <c r="A21" s="22"/>
      <c r="R21" s="22"/>
      <c r="S21" s="22"/>
      <c r="T21" s="22"/>
      <c r="U21" s="22"/>
      <c r="V21" s="22"/>
      <c r="W21" s="22"/>
      <c r="X21" s="22"/>
      <c r="Y21" s="22"/>
      <c r="Z21" s="22"/>
      <c r="AA21" s="22"/>
      <c r="AB21" s="22"/>
      <c r="AC21" s="22"/>
      <c r="AD21" s="22"/>
      <c r="AE21" s="22"/>
      <c r="AF21" s="22"/>
    </row>
    <row r="22" customFormat="false" ht="15" hidden="true" customHeight="false" outlineLevel="0" collapsed="false">
      <c r="A22" s="22"/>
      <c r="R22" s="22"/>
      <c r="S22" s="22"/>
      <c r="T22" s="22"/>
      <c r="U22" s="22"/>
      <c r="V22" s="22"/>
      <c r="W22" s="22"/>
      <c r="X22" s="22"/>
      <c r="Y22" s="22"/>
      <c r="Z22" s="22"/>
      <c r="AA22" s="22"/>
      <c r="AB22" s="22"/>
      <c r="AC22" s="22"/>
      <c r="AD22" s="22"/>
      <c r="AE22" s="22"/>
      <c r="AF22" s="22"/>
    </row>
    <row r="23" customFormat="false" ht="15" hidden="true" customHeight="false" outlineLevel="0" collapsed="false">
      <c r="A23" s="22"/>
      <c r="R23" s="22"/>
      <c r="S23" s="22"/>
      <c r="T23" s="22"/>
      <c r="U23" s="22"/>
      <c r="V23" s="22"/>
      <c r="W23" s="22"/>
      <c r="X23" s="22"/>
      <c r="Y23" s="22"/>
      <c r="Z23" s="22"/>
      <c r="AA23" s="22"/>
      <c r="AB23" s="22"/>
      <c r="AC23" s="22"/>
      <c r="AD23" s="22"/>
      <c r="AE23" s="22"/>
      <c r="AF23" s="22"/>
    </row>
    <row r="24" customFormat="false" ht="15" hidden="true" customHeight="false" outlineLevel="0" collapsed="false">
      <c r="A24" s="22"/>
      <c r="R24" s="22"/>
      <c r="S24" s="22"/>
      <c r="T24" s="22"/>
      <c r="U24" s="22"/>
      <c r="V24" s="22"/>
      <c r="W24" s="22"/>
      <c r="X24" s="22"/>
      <c r="Y24" s="22"/>
      <c r="Z24" s="22"/>
      <c r="AA24" s="22"/>
      <c r="AB24" s="22"/>
      <c r="AC24" s="22"/>
      <c r="AD24" s="22"/>
      <c r="AE24" s="22"/>
      <c r="AF24" s="22"/>
    </row>
    <row r="25" customFormat="false" ht="15" hidden="true" customHeight="false" outlineLevel="0" collapsed="false">
      <c r="A25" s="22"/>
      <c r="R25" s="22"/>
      <c r="S25" s="22"/>
      <c r="T25" s="22"/>
      <c r="U25" s="22"/>
      <c r="V25" s="22"/>
      <c r="W25" s="22"/>
      <c r="X25" s="22"/>
      <c r="Y25" s="22"/>
      <c r="Z25" s="22"/>
      <c r="AA25" s="22"/>
      <c r="AB25" s="22"/>
      <c r="AC25" s="22"/>
      <c r="AD25" s="22"/>
      <c r="AE25" s="22"/>
      <c r="AF25" s="22"/>
    </row>
    <row r="26" customFormat="false" ht="15" hidden="true" customHeight="false" outlineLevel="0" collapsed="false">
      <c r="A26" s="22"/>
      <c r="R26" s="22"/>
      <c r="S26" s="22"/>
      <c r="T26" s="22"/>
      <c r="U26" s="22"/>
      <c r="V26" s="22"/>
      <c r="W26" s="22"/>
      <c r="X26" s="22"/>
      <c r="Y26" s="22"/>
      <c r="Z26" s="22"/>
      <c r="AA26" s="22"/>
      <c r="AB26" s="22"/>
      <c r="AC26" s="22"/>
      <c r="AD26" s="22"/>
      <c r="AE26" s="22"/>
      <c r="AF26" s="22"/>
    </row>
    <row r="27" customFormat="false" ht="15" hidden="true" customHeight="false" outlineLevel="0" collapsed="false">
      <c r="A27" s="22"/>
      <c r="R27" s="22"/>
      <c r="S27" s="22"/>
      <c r="T27" s="22"/>
      <c r="U27" s="22"/>
      <c r="V27" s="22"/>
      <c r="W27" s="22"/>
      <c r="X27" s="22"/>
      <c r="Y27" s="22"/>
      <c r="Z27" s="22"/>
      <c r="AA27" s="22"/>
      <c r="AB27" s="22"/>
      <c r="AC27" s="22"/>
      <c r="AD27" s="22"/>
      <c r="AE27" s="22"/>
      <c r="AF27" s="22"/>
    </row>
  </sheetData>
  <mergeCells count="2">
    <mergeCell ref="A3:W3"/>
    <mergeCell ref="E5:S5"/>
  </mergeCells>
  <printOptions headings="false" gridLines="fals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drawing r:id="rId1"/>
</worksheet>
</file>

<file path=xl/worksheets/sheet31.xml><?xml version="1.0" encoding="utf-8"?>
<worksheet xmlns="http://schemas.openxmlformats.org/spreadsheetml/2006/main" xmlns:r="http://schemas.openxmlformats.org/officeDocument/2006/relationships">
  <sheetPr filterMode="false">
    <pageSetUpPr fitToPage="false"/>
  </sheetPr>
  <dimension ref="A1:AH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8" activeCellId="0" sqref="C18"/>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5.43"/>
    <col collapsed="false" customWidth="true" hidden="false" outlineLevel="0" max="6" min="6" style="16" width="2.71"/>
    <col collapsed="false" customWidth="true" hidden="false" outlineLevel="0" max="21" min="7" style="4" width="8.86"/>
    <col collapsed="false" customWidth="true" hidden="false" outlineLevel="0" max="22" min="22" style="4" width="7.29"/>
    <col collapsed="false" customWidth="true" hidden="false" outlineLevel="0" max="23" min="23" style="4" width="5.14"/>
    <col collapsed="false" customWidth="true" hidden="true" outlineLevel="0" max="32" min="24" style="4" width="5.14"/>
    <col collapsed="false" customWidth="true" hidden="true" outlineLevel="0" max="33" min="33" style="4" width="8.57"/>
    <col collapsed="false" customWidth="true" hidden="true" outlineLevel="0" max="34" min="34" style="4" width="2"/>
    <col collapsed="false" customWidth="true" hidden="true" outlineLevel="0" max="255" min="35" style="4" width="9.14"/>
    <col collapsed="false" customWidth="false" hidden="true" outlineLevel="0" max="1025" min="256" style="4" width="11.52"/>
  </cols>
  <sheetData>
    <row r="1" customFormat="false" ht="15" hidden="false" customHeight="false" outlineLevel="0" collapsed="false">
      <c r="A1" s="723"/>
      <c r="B1" s="724"/>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4"/>
      <c r="AG1" s="724"/>
      <c r="AH1" s="725"/>
    </row>
    <row r="2" customFormat="false" ht="37.5" hidden="false" customHeight="true" outlineLevel="0" collapsed="false">
      <c r="A2" s="111"/>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10"/>
    </row>
    <row r="3" customFormat="false" ht="28.5" hidden="false" customHeight="false" outlineLevel="0" collapsed="false">
      <c r="A3" s="384" t="s">
        <v>487</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c r="AD3" s="384"/>
      <c r="AE3" s="384"/>
      <c r="AF3" s="384"/>
      <c r="AG3" s="384"/>
      <c r="AH3" s="384"/>
    </row>
    <row r="4" customFormat="false" ht="15" hidden="false" customHeight="true" outlineLevel="0" collapsed="false">
      <c r="A4" s="330"/>
      <c r="B4" s="16"/>
      <c r="D4" s="16"/>
      <c r="E4" s="16"/>
      <c r="G4" s="16"/>
      <c r="H4" s="16"/>
      <c r="I4" s="16"/>
      <c r="J4" s="16"/>
      <c r="K4" s="16"/>
      <c r="L4" s="16"/>
      <c r="M4" s="16"/>
      <c r="N4" s="16"/>
      <c r="O4" s="16"/>
      <c r="P4" s="16"/>
      <c r="Q4" s="16"/>
      <c r="R4" s="16"/>
      <c r="S4" s="16"/>
      <c r="T4" s="16"/>
      <c r="U4" s="16"/>
      <c r="V4" s="16"/>
      <c r="W4" s="724"/>
      <c r="X4" s="724"/>
      <c r="Y4" s="724"/>
      <c r="Z4" s="724"/>
      <c r="AA4" s="724"/>
      <c r="AB4" s="724"/>
      <c r="AC4" s="724"/>
      <c r="AD4" s="724"/>
      <c r="AE4" s="724"/>
      <c r="AF4" s="724"/>
      <c r="AG4" s="724"/>
      <c r="AH4" s="725"/>
    </row>
    <row r="5" customFormat="false" ht="15" hidden="false" customHeight="false" outlineLevel="0" collapsed="false">
      <c r="A5" s="330"/>
      <c r="B5" s="726" t="s">
        <v>174</v>
      </c>
      <c r="C5" s="727"/>
      <c r="D5" s="726" t="s">
        <v>481</v>
      </c>
      <c r="E5" s="726"/>
      <c r="F5" s="728"/>
      <c r="G5" s="729" t="s">
        <v>488</v>
      </c>
      <c r="H5" s="729"/>
      <c r="I5" s="729"/>
      <c r="J5" s="729"/>
      <c r="K5" s="729"/>
      <c r="L5" s="729"/>
      <c r="M5" s="729"/>
      <c r="N5" s="729"/>
      <c r="O5" s="729"/>
      <c r="P5" s="729"/>
      <c r="Q5" s="729"/>
      <c r="R5" s="729"/>
      <c r="S5" s="729"/>
      <c r="T5" s="729"/>
      <c r="U5" s="729"/>
      <c r="V5" s="730"/>
      <c r="W5" s="16"/>
      <c r="X5" s="16"/>
      <c r="Y5" s="16"/>
      <c r="Z5" s="16"/>
      <c r="AA5" s="16"/>
      <c r="AB5" s="16"/>
      <c r="AC5" s="16"/>
      <c r="AD5" s="16"/>
      <c r="AE5" s="16"/>
      <c r="AF5" s="16"/>
      <c r="AG5" s="16"/>
      <c r="AH5" s="422"/>
    </row>
    <row r="6" customFormat="false" ht="15" hidden="false" customHeight="false" outlineLevel="0" collapsed="false">
      <c r="A6" s="330"/>
      <c r="B6" s="731" t="s">
        <v>298</v>
      </c>
      <c r="C6" s="727"/>
      <c r="D6" s="732" t="s">
        <v>482</v>
      </c>
      <c r="E6" s="733" t="s">
        <v>483</v>
      </c>
      <c r="F6" s="727"/>
      <c r="G6" s="732" t="s">
        <v>299</v>
      </c>
      <c r="H6" s="734" t="s">
        <v>300</v>
      </c>
      <c r="I6" s="734" t="s">
        <v>301</v>
      </c>
      <c r="J6" s="734" t="s">
        <v>302</v>
      </c>
      <c r="K6" s="734" t="s">
        <v>303</v>
      </c>
      <c r="L6" s="734" t="s">
        <v>304</v>
      </c>
      <c r="M6" s="734" t="s">
        <v>305</v>
      </c>
      <c r="N6" s="734" t="s">
        <v>306</v>
      </c>
      <c r="O6" s="734" t="s">
        <v>307</v>
      </c>
      <c r="P6" s="734" t="s">
        <v>308</v>
      </c>
      <c r="Q6" s="734" t="s">
        <v>309</v>
      </c>
      <c r="R6" s="734" t="s">
        <v>310</v>
      </c>
      <c r="S6" s="734" t="s">
        <v>311</v>
      </c>
      <c r="T6" s="734" t="s">
        <v>312</v>
      </c>
      <c r="U6" s="734" t="s">
        <v>313</v>
      </c>
      <c r="V6" s="735"/>
      <c r="W6" s="22"/>
      <c r="X6" s="16"/>
      <c r="Y6" s="16"/>
      <c r="Z6" s="16"/>
      <c r="AA6" s="16"/>
      <c r="AB6" s="16"/>
      <c r="AC6" s="16"/>
      <c r="AD6" s="16"/>
      <c r="AE6" s="16"/>
      <c r="AF6" s="16"/>
      <c r="AG6" s="16"/>
      <c r="AH6" s="422"/>
    </row>
    <row r="7" customFormat="false" ht="15" hidden="false" customHeight="false" outlineLevel="0" collapsed="false">
      <c r="A7" s="330"/>
      <c r="B7" s="736" t="n">
        <v>45</v>
      </c>
      <c r="C7" s="737"/>
      <c r="D7" s="738" t="s">
        <v>484</v>
      </c>
      <c r="E7" s="738" t="n">
        <v>2</v>
      </c>
      <c r="F7" s="737"/>
      <c r="G7" s="739" t="n">
        <v>15.2383115879892</v>
      </c>
      <c r="H7" s="739" t="n">
        <v>14.9681458449874</v>
      </c>
      <c r="I7" s="739" t="n">
        <v>20.8479615201182</v>
      </c>
      <c r="J7" s="739" t="n">
        <v>21.5612884386568</v>
      </c>
      <c r="K7" s="739" t="n">
        <v>22.1034243249447</v>
      </c>
      <c r="L7" s="739" t="n">
        <v>19.4440197707938</v>
      </c>
      <c r="M7" s="739" t="n">
        <v>20.6592710064684</v>
      </c>
      <c r="N7" s="739" t="n">
        <v>21.874522242143</v>
      </c>
      <c r="O7" s="739" t="n">
        <v>23.0897734778176</v>
      </c>
      <c r="P7" s="739" t="n">
        <v>24.3050247134923</v>
      </c>
      <c r="Q7" s="739" t="n">
        <v>23.3328237249526</v>
      </c>
      <c r="R7" s="739" t="n">
        <v>22.3606227364129</v>
      </c>
      <c r="S7" s="739" t="n">
        <v>21.3884217478732</v>
      </c>
      <c r="T7" s="739" t="n">
        <v>20.4162207593335</v>
      </c>
      <c r="U7" s="739" t="n">
        <v>19.4440197707938</v>
      </c>
      <c r="V7" s="706"/>
      <c r="W7" s="22"/>
      <c r="X7" s="16"/>
      <c r="Y7" s="16"/>
      <c r="Z7" s="16"/>
      <c r="AA7" s="16"/>
      <c r="AB7" s="16"/>
      <c r="AC7" s="16"/>
      <c r="AD7" s="16"/>
      <c r="AE7" s="16"/>
      <c r="AF7" s="16"/>
      <c r="AG7" s="16"/>
      <c r="AH7" s="422"/>
    </row>
    <row r="8" customFormat="false" ht="15" hidden="false" customHeight="false" outlineLevel="0" collapsed="false">
      <c r="A8" s="330"/>
      <c r="B8" s="740" t="n">
        <v>55</v>
      </c>
      <c r="C8" s="741"/>
      <c r="D8" s="740" t="s">
        <v>484</v>
      </c>
      <c r="E8" s="736" t="n">
        <v>2</v>
      </c>
      <c r="F8" s="737"/>
      <c r="G8" s="739" t="n">
        <v>15.9556783473546</v>
      </c>
      <c r="H8" s="739" t="n">
        <v>11.9446388072369</v>
      </c>
      <c r="I8" s="739" t="n">
        <v>18.1760073555085</v>
      </c>
      <c r="J8" s="739" t="n">
        <v>20.9178351706827</v>
      </c>
      <c r="K8" s="739" t="n">
        <v>22.9803401749171</v>
      </c>
      <c r="L8" s="739" t="n">
        <v>24.6935515854294</v>
      </c>
      <c r="M8" s="739" t="n">
        <v>26.2368985595188</v>
      </c>
      <c r="N8" s="739" t="n">
        <v>27.7802455336081</v>
      </c>
      <c r="O8" s="739" t="n">
        <v>29.3235925076974</v>
      </c>
      <c r="P8" s="739" t="n">
        <v>30.8669394817868</v>
      </c>
      <c r="Q8" s="739" t="n">
        <v>29.6322619025153</v>
      </c>
      <c r="R8" s="739" t="n">
        <v>28.3975843232438</v>
      </c>
      <c r="S8" s="739" t="n">
        <v>27.1629067439724</v>
      </c>
      <c r="T8" s="739" t="n">
        <v>25.9282291647009</v>
      </c>
      <c r="U8" s="739" t="n">
        <v>24.6935515854294</v>
      </c>
      <c r="V8" s="706"/>
      <c r="W8" s="22"/>
      <c r="X8" s="16"/>
      <c r="Y8" s="16"/>
      <c r="Z8" s="16"/>
      <c r="AA8" s="16"/>
      <c r="AB8" s="16"/>
      <c r="AC8" s="16"/>
      <c r="AD8" s="16"/>
      <c r="AE8" s="16"/>
      <c r="AF8" s="16"/>
      <c r="AG8" s="16"/>
      <c r="AH8" s="422"/>
    </row>
    <row r="9" customFormat="false" ht="15" hidden="false" customHeight="false" outlineLevel="0" collapsed="false">
      <c r="A9" s="330"/>
      <c r="B9" s="740"/>
      <c r="C9" s="741"/>
      <c r="D9" s="740"/>
      <c r="E9" s="736" t="n">
        <v>3</v>
      </c>
      <c r="F9" s="737"/>
      <c r="G9" s="739" t="n">
        <v>18.014381694213</v>
      </c>
      <c r="H9" s="739" t="n">
        <v>14.0242293773063</v>
      </c>
      <c r="I9" s="739" t="n">
        <v>22.529561971546</v>
      </c>
      <c r="J9" s="739" t="n">
        <v>23.6265802098858</v>
      </c>
      <c r="K9" s="739" t="n">
        <v>26.0225862033485</v>
      </c>
      <c r="L9" s="739" t="n">
        <v>27.9576462631741</v>
      </c>
      <c r="M9" s="739" t="n">
        <v>29.7049991546225</v>
      </c>
      <c r="N9" s="739" t="n">
        <v>31.4523520460708</v>
      </c>
      <c r="O9" s="739" t="n">
        <v>33.1997049375192</v>
      </c>
      <c r="P9" s="739" t="n">
        <v>34.9470578289676</v>
      </c>
      <c r="Q9" s="739" t="n">
        <v>33.5491755158089</v>
      </c>
      <c r="R9" s="739" t="n">
        <v>32.1512932026502</v>
      </c>
      <c r="S9" s="739" t="n">
        <v>30.7534108894915</v>
      </c>
      <c r="T9" s="739" t="n">
        <v>29.3555285763328</v>
      </c>
      <c r="U9" s="739" t="n">
        <v>27.9576462631741</v>
      </c>
      <c r="V9" s="706"/>
      <c r="W9" s="22"/>
      <c r="X9" s="16"/>
      <c r="Y9" s="16"/>
      <c r="Z9" s="16"/>
      <c r="AA9" s="16"/>
      <c r="AB9" s="16"/>
      <c r="AC9" s="16"/>
      <c r="AD9" s="16"/>
      <c r="AE9" s="16"/>
      <c r="AF9" s="16"/>
      <c r="AG9" s="16"/>
      <c r="AH9" s="422"/>
    </row>
    <row r="10" customFormat="false" ht="15" hidden="false" customHeight="false" outlineLevel="0" collapsed="false">
      <c r="A10" s="330"/>
      <c r="B10" s="740"/>
      <c r="C10" s="741"/>
      <c r="D10" s="736" t="s">
        <v>485</v>
      </c>
      <c r="E10" s="736" t="n">
        <v>2</v>
      </c>
      <c r="F10" s="737"/>
      <c r="G10" s="739" t="n">
        <v>17.0257661767198</v>
      </c>
      <c r="H10" s="739" t="n">
        <v>10.1995428420295</v>
      </c>
      <c r="I10" s="739" t="n">
        <v>12.3935296771881</v>
      </c>
      <c r="J10" s="739" t="n">
        <v>15.6975165123466</v>
      </c>
      <c r="K10" s="739" t="n">
        <v>20.0077079372188</v>
      </c>
      <c r="L10" s="739" t="n">
        <v>24.317899362091</v>
      </c>
      <c r="M10" s="739" t="n">
        <v>25.8377680722217</v>
      </c>
      <c r="N10" s="739" t="n">
        <v>27.3576367823524</v>
      </c>
      <c r="O10" s="739" t="n">
        <v>28.8775054924831</v>
      </c>
      <c r="P10" s="739" t="n">
        <v>30.3973742026138</v>
      </c>
      <c r="Q10" s="739" t="n">
        <v>29.1814792345092</v>
      </c>
      <c r="R10" s="739" t="n">
        <v>27.9655842664047</v>
      </c>
      <c r="S10" s="739" t="n">
        <v>26.7496892983001</v>
      </c>
      <c r="T10" s="739" t="n">
        <v>25.5337943301956</v>
      </c>
      <c r="U10" s="739" t="n">
        <v>24.317899362091</v>
      </c>
      <c r="V10" s="706"/>
      <c r="W10" s="22"/>
      <c r="X10" s="16"/>
      <c r="Y10" s="16"/>
      <c r="Z10" s="16"/>
      <c r="AA10" s="16"/>
      <c r="AB10" s="16"/>
      <c r="AC10" s="16"/>
      <c r="AD10" s="16"/>
      <c r="AE10" s="16"/>
      <c r="AF10" s="16"/>
      <c r="AG10" s="16"/>
      <c r="AH10" s="422"/>
    </row>
    <row r="11" customFormat="false" ht="15" hidden="false" customHeight="false" outlineLevel="0" collapsed="false">
      <c r="A11" s="330"/>
      <c r="B11" s="742" t="n">
        <v>65</v>
      </c>
      <c r="C11" s="737"/>
      <c r="D11" s="736" t="s">
        <v>484</v>
      </c>
      <c r="E11" s="736" t="n">
        <v>2</v>
      </c>
      <c r="F11" s="737"/>
      <c r="G11" s="739" t="n">
        <v>14.3195282457734</v>
      </c>
      <c r="H11" s="739" t="n">
        <v>10.3118006583512</v>
      </c>
      <c r="I11" s="739" t="n">
        <v>17.0137079842762</v>
      </c>
      <c r="J11" s="739" t="n">
        <v>19.4472344191443</v>
      </c>
      <c r="K11" s="739" t="n">
        <v>22.4818385139518</v>
      </c>
      <c r="L11" s="739" t="n">
        <v>25.9418875503964</v>
      </c>
      <c r="M11" s="739" t="n">
        <v>27.5632555222962</v>
      </c>
      <c r="N11" s="739" t="n">
        <v>29.184623494196</v>
      </c>
      <c r="O11" s="739" t="n">
        <v>30.8059914660957</v>
      </c>
      <c r="P11" s="739" t="n">
        <v>32.4273594379955</v>
      </c>
      <c r="Q11" s="739" t="n">
        <v>31.1302650604757</v>
      </c>
      <c r="R11" s="739" t="n">
        <v>29.8331706829559</v>
      </c>
      <c r="S11" s="739" t="n">
        <v>28.536076305436</v>
      </c>
      <c r="T11" s="739" t="n">
        <v>27.2389819279162</v>
      </c>
      <c r="U11" s="739" t="n">
        <v>25.9418875503964</v>
      </c>
      <c r="V11" s="706"/>
      <c r="W11" s="22"/>
      <c r="X11" s="16"/>
      <c r="Y11" s="16"/>
      <c r="Z11" s="16"/>
      <c r="AA11" s="16"/>
      <c r="AB11" s="16"/>
      <c r="AC11" s="16"/>
      <c r="AD11" s="16"/>
      <c r="AE11" s="16"/>
      <c r="AF11" s="16"/>
      <c r="AG11" s="16"/>
      <c r="AH11" s="422"/>
    </row>
    <row r="12" customFormat="false" ht="15" hidden="false" customHeight="false" outlineLevel="0" collapsed="false">
      <c r="A12" s="330"/>
      <c r="B12" s="740" t="n">
        <v>75</v>
      </c>
      <c r="C12" s="741"/>
      <c r="D12" s="740" t="s">
        <v>484</v>
      </c>
      <c r="E12" s="736" t="n">
        <v>2</v>
      </c>
      <c r="F12" s="737"/>
      <c r="G12" s="739" t="n">
        <v>20.6044430188344</v>
      </c>
      <c r="H12" s="739" t="n">
        <v>16.1150432348195</v>
      </c>
      <c r="I12" s="739" t="n">
        <v>22.4781662055622</v>
      </c>
      <c r="J12" s="739" t="n">
        <v>26.1576556989519</v>
      </c>
      <c r="K12" s="739" t="n">
        <v>29.9493806881946</v>
      </c>
      <c r="L12" s="739" t="n">
        <v>37.7976354556158</v>
      </c>
      <c r="M12" s="739" t="n">
        <v>40.1599876715917</v>
      </c>
      <c r="N12" s="739" t="n">
        <v>42.5223398875677</v>
      </c>
      <c r="O12" s="739" t="n">
        <v>44.8846921035437</v>
      </c>
      <c r="P12" s="739" t="n">
        <v>47.2470443195197</v>
      </c>
      <c r="Q12" s="739" t="n">
        <v>45.3571625467389</v>
      </c>
      <c r="R12" s="739" t="n">
        <v>43.4672807739581</v>
      </c>
      <c r="S12" s="739" t="n">
        <v>41.5773990011773</v>
      </c>
      <c r="T12" s="739" t="n">
        <v>39.6875172283965</v>
      </c>
      <c r="U12" s="739" t="n">
        <v>37.7976354556158</v>
      </c>
      <c r="V12" s="706"/>
      <c r="W12" s="22"/>
      <c r="X12" s="16"/>
      <c r="Y12" s="16"/>
      <c r="Z12" s="16"/>
      <c r="AA12" s="16"/>
      <c r="AB12" s="16"/>
      <c r="AC12" s="16"/>
      <c r="AD12" s="16"/>
      <c r="AE12" s="16"/>
      <c r="AF12" s="16"/>
      <c r="AG12" s="16"/>
      <c r="AH12" s="422"/>
    </row>
    <row r="13" customFormat="false" ht="15" hidden="false" customHeight="false" outlineLevel="0" collapsed="false">
      <c r="A13" s="330"/>
      <c r="B13" s="740"/>
      <c r="C13" s="741"/>
      <c r="D13" s="740"/>
      <c r="E13" s="736" t="n">
        <v>3</v>
      </c>
      <c r="F13" s="737"/>
      <c r="G13" s="739" t="n">
        <v>18.2649410970908</v>
      </c>
      <c r="H13" s="739" t="n">
        <v>14.381592671078</v>
      </c>
      <c r="I13" s="739" t="n">
        <v>21.1785726871132</v>
      </c>
      <c r="J13" s="739" t="n">
        <v>25.2340227270682</v>
      </c>
      <c r="K13" s="739" t="n">
        <v>32.548754568192</v>
      </c>
      <c r="L13" s="739" t="n">
        <v>35.0605098397575</v>
      </c>
      <c r="M13" s="739" t="n">
        <v>37.2517917047423</v>
      </c>
      <c r="N13" s="739" t="n">
        <v>39.4430735697272</v>
      </c>
      <c r="O13" s="739" t="n">
        <v>41.634355434712</v>
      </c>
      <c r="P13" s="739" t="n">
        <v>43.8256372996969</v>
      </c>
      <c r="Q13" s="739" t="n">
        <v>42.072611807709</v>
      </c>
      <c r="R13" s="739" t="n">
        <v>40.3195863157211</v>
      </c>
      <c r="S13" s="739" t="n">
        <v>38.5665608237332</v>
      </c>
      <c r="T13" s="739" t="n">
        <v>36.8135353317454</v>
      </c>
      <c r="U13" s="739" t="n">
        <v>35.0605098397575</v>
      </c>
      <c r="V13" s="706"/>
      <c r="W13" s="22"/>
      <c r="X13" s="16"/>
      <c r="Y13" s="16"/>
      <c r="Z13" s="16"/>
      <c r="AA13" s="16"/>
      <c r="AB13" s="16"/>
      <c r="AC13" s="16"/>
      <c r="AD13" s="16"/>
      <c r="AE13" s="16"/>
      <c r="AF13" s="16"/>
      <c r="AG13" s="16"/>
      <c r="AH13" s="422"/>
    </row>
    <row r="14" customFormat="false" ht="15" hidden="false" customHeight="false" outlineLevel="0" collapsed="false">
      <c r="A14" s="330"/>
      <c r="B14" s="740"/>
      <c r="C14" s="741"/>
      <c r="D14" s="740"/>
      <c r="E14" s="736" t="n">
        <v>4</v>
      </c>
      <c r="F14" s="737"/>
      <c r="G14" s="739" t="n">
        <v>19.4255260859576</v>
      </c>
      <c r="H14" s="739" t="n">
        <v>17.722278774338</v>
      </c>
      <c r="I14" s="739" t="n">
        <v>36.6365251683986</v>
      </c>
      <c r="J14" s="739" t="n">
        <v>48.8036806533683</v>
      </c>
      <c r="K14" s="739" t="n">
        <v>43.8112236614117</v>
      </c>
      <c r="L14" s="739" t="n">
        <v>38.818766669455</v>
      </c>
      <c r="M14" s="739" t="n">
        <v>41.244939586296</v>
      </c>
      <c r="N14" s="739" t="n">
        <v>43.6711125031369</v>
      </c>
      <c r="O14" s="739" t="n">
        <v>46.0972854199779</v>
      </c>
      <c r="P14" s="739" t="n">
        <v>48.5234583368188</v>
      </c>
      <c r="Q14" s="739" t="n">
        <v>46.582520003346</v>
      </c>
      <c r="R14" s="739" t="n">
        <v>44.6415816698733</v>
      </c>
      <c r="S14" s="739" t="n">
        <v>42.7006433364005</v>
      </c>
      <c r="T14" s="739" t="n">
        <v>40.7597050029278</v>
      </c>
      <c r="U14" s="739" t="n">
        <v>38.818766669455</v>
      </c>
      <c r="V14" s="706"/>
      <c r="W14" s="22"/>
      <c r="X14" s="16"/>
      <c r="Y14" s="16"/>
      <c r="Z14" s="16"/>
      <c r="AA14" s="16"/>
      <c r="AB14" s="16"/>
      <c r="AC14" s="16"/>
      <c r="AD14" s="16"/>
      <c r="AE14" s="16"/>
      <c r="AF14" s="16"/>
      <c r="AG14" s="16"/>
      <c r="AH14" s="422"/>
    </row>
    <row r="15" customFormat="false" ht="15" hidden="false" customHeight="false" outlineLevel="0" collapsed="false">
      <c r="A15" s="330"/>
      <c r="B15" s="740"/>
      <c r="C15" s="741"/>
      <c r="D15" s="736" t="s">
        <v>485</v>
      </c>
      <c r="E15" s="736" t="n">
        <v>2</v>
      </c>
      <c r="F15" s="737"/>
      <c r="G15" s="739" t="n">
        <v>14.1411173848751</v>
      </c>
      <c r="H15" s="739" t="n">
        <v>9.89463814648217</v>
      </c>
      <c r="I15" s="739" t="n">
        <v>20.4594244202032</v>
      </c>
      <c r="J15" s="739" t="n">
        <v>23.9535153877644</v>
      </c>
      <c r="K15" s="739" t="n">
        <v>30.5208468125815</v>
      </c>
      <c r="L15" s="739" t="n">
        <v>20.3719165582517</v>
      </c>
      <c r="M15" s="739" t="n">
        <v>21.6451613431424</v>
      </c>
      <c r="N15" s="739" t="n">
        <v>22.9184061280332</v>
      </c>
      <c r="O15" s="739" t="n">
        <v>24.1916509129239</v>
      </c>
      <c r="P15" s="739" t="n">
        <v>25.4648956978146</v>
      </c>
      <c r="Q15" s="739" t="n">
        <v>24.446299869902</v>
      </c>
      <c r="R15" s="739" t="n">
        <v>23.4277040419894</v>
      </c>
      <c r="S15" s="739" t="n">
        <v>22.4091082140769</v>
      </c>
      <c r="T15" s="739" t="n">
        <v>21.3905123861643</v>
      </c>
      <c r="U15" s="739" t="n">
        <v>20.3719165582517</v>
      </c>
      <c r="V15" s="706"/>
      <c r="W15" s="22"/>
      <c r="X15" s="16"/>
      <c r="Y15" s="16"/>
      <c r="Z15" s="16"/>
      <c r="AA15" s="16"/>
      <c r="AB15" s="16"/>
      <c r="AC15" s="16"/>
      <c r="AD15" s="16"/>
      <c r="AE15" s="16"/>
      <c r="AF15" s="16"/>
      <c r="AG15" s="16"/>
      <c r="AH15" s="422"/>
    </row>
    <row r="16" customFormat="false" ht="15" hidden="false" customHeight="false" outlineLevel="0" collapsed="false">
      <c r="A16" s="330"/>
      <c r="B16" s="740" t="n">
        <v>85</v>
      </c>
      <c r="C16" s="741"/>
      <c r="D16" s="740" t="s">
        <v>484</v>
      </c>
      <c r="E16" s="736" t="n">
        <v>2</v>
      </c>
      <c r="F16" s="737"/>
      <c r="G16" s="739" t="n">
        <v>19.880453363436</v>
      </c>
      <c r="H16" s="739" t="n">
        <v>22.845487958484</v>
      </c>
      <c r="I16" s="739" t="n">
        <v>25.90070800525</v>
      </c>
      <c r="J16" s="739" t="n">
        <v>27.1002756341497</v>
      </c>
      <c r="K16" s="739" t="n">
        <v>34.0543301582619</v>
      </c>
      <c r="L16" s="739" t="n">
        <v>28.0399512108935</v>
      </c>
      <c r="M16" s="739" t="n">
        <v>29.7924481615743</v>
      </c>
      <c r="N16" s="739" t="n">
        <v>31.5449451122551</v>
      </c>
      <c r="O16" s="739" t="n">
        <v>33.297442062936</v>
      </c>
      <c r="P16" s="739" t="n">
        <v>35.0499390136168</v>
      </c>
      <c r="Q16" s="739" t="n">
        <v>33.6479414530721</v>
      </c>
      <c r="R16" s="739" t="n">
        <v>32.2459438925275</v>
      </c>
      <c r="S16" s="739" t="n">
        <v>30.8439463319828</v>
      </c>
      <c r="T16" s="739" t="n">
        <v>29.4419487714381</v>
      </c>
      <c r="U16" s="739" t="n">
        <v>28.0399512108935</v>
      </c>
      <c r="V16" s="706"/>
      <c r="W16" s="22"/>
      <c r="X16" s="16"/>
      <c r="Y16" s="16"/>
      <c r="Z16" s="16"/>
      <c r="AA16" s="16"/>
      <c r="AB16" s="16"/>
      <c r="AC16" s="16"/>
      <c r="AD16" s="16"/>
      <c r="AE16" s="16"/>
      <c r="AF16" s="16"/>
      <c r="AG16" s="16"/>
      <c r="AH16" s="422"/>
    </row>
    <row r="17" customFormat="false" ht="15" hidden="false" customHeight="false" outlineLevel="0" collapsed="false">
      <c r="A17" s="330"/>
      <c r="B17" s="740"/>
      <c r="C17" s="741"/>
      <c r="D17" s="740"/>
      <c r="E17" s="736" t="n">
        <v>3</v>
      </c>
      <c r="F17" s="737"/>
      <c r="G17" s="739" t="n">
        <v>25.7725859049587</v>
      </c>
      <c r="H17" s="739" t="n">
        <v>49.2069312704833</v>
      </c>
      <c r="I17" s="739" t="n">
        <v>44.4660063978446</v>
      </c>
      <c r="J17" s="739" t="n">
        <v>39.7250815252058</v>
      </c>
      <c r="K17" s="739" t="n">
        <v>45.2279295801027</v>
      </c>
      <c r="L17" s="739" t="n">
        <v>53.209140328793</v>
      </c>
      <c r="M17" s="739" t="n">
        <v>56.5347115993425</v>
      </c>
      <c r="N17" s="739" t="n">
        <v>59.8602828698921</v>
      </c>
      <c r="O17" s="739" t="n">
        <v>63.1858541404416</v>
      </c>
      <c r="P17" s="739" t="n">
        <v>66.5114254109912</v>
      </c>
      <c r="Q17" s="739" t="n">
        <v>63.8509683945515</v>
      </c>
      <c r="R17" s="739" t="n">
        <v>61.1905113781119</v>
      </c>
      <c r="S17" s="739" t="n">
        <v>58.5300543616723</v>
      </c>
      <c r="T17" s="739" t="n">
        <v>55.8695973452326</v>
      </c>
      <c r="U17" s="739" t="n">
        <v>53.209140328793</v>
      </c>
      <c r="V17" s="706"/>
      <c r="W17" s="22"/>
      <c r="X17" s="16"/>
      <c r="Y17" s="16"/>
      <c r="Z17" s="16"/>
      <c r="AA17" s="16"/>
      <c r="AB17" s="16"/>
      <c r="AC17" s="16"/>
      <c r="AD17" s="16"/>
      <c r="AE17" s="16"/>
      <c r="AF17" s="16"/>
      <c r="AG17" s="16"/>
      <c r="AH17" s="422"/>
    </row>
    <row r="18" customFormat="false" ht="15" hidden="false" customHeight="false" outlineLevel="0" collapsed="false">
      <c r="A18" s="330"/>
      <c r="B18" s="740"/>
      <c r="C18" s="741"/>
      <c r="D18" s="740"/>
      <c r="E18" s="736" t="n">
        <v>4</v>
      </c>
      <c r="F18" s="737"/>
      <c r="G18" s="739" t="n">
        <v>23.1486864347558</v>
      </c>
      <c r="H18" s="739" t="n">
        <v>24.0078820544123</v>
      </c>
      <c r="I18" s="739" t="n">
        <v>46.180381473185</v>
      </c>
      <c r="J18" s="739" t="n">
        <v>50.9273837357183</v>
      </c>
      <c r="K18" s="739" t="n">
        <v>52.1916849417919</v>
      </c>
      <c r="L18" s="739" t="n">
        <v>50.4031504603829</v>
      </c>
      <c r="M18" s="739" t="n">
        <v>53.5533473641568</v>
      </c>
      <c r="N18" s="739" t="n">
        <v>56.7035442679307</v>
      </c>
      <c r="O18" s="739" t="n">
        <v>59.8537411717046</v>
      </c>
      <c r="P18" s="739" t="n">
        <v>63.0039380754786</v>
      </c>
      <c r="Q18" s="739" t="n">
        <v>60.4837805524594</v>
      </c>
      <c r="R18" s="739" t="n">
        <v>57.9636230294403</v>
      </c>
      <c r="S18" s="739" t="n">
        <v>55.4434655064212</v>
      </c>
      <c r="T18" s="739" t="n">
        <v>52.923307983402</v>
      </c>
      <c r="U18" s="739" t="n">
        <v>50.4031504603829</v>
      </c>
      <c r="V18" s="706"/>
      <c r="W18" s="22"/>
      <c r="X18" s="16"/>
      <c r="Y18" s="16"/>
      <c r="Z18" s="16"/>
      <c r="AA18" s="16"/>
      <c r="AB18" s="16"/>
      <c r="AC18" s="16"/>
      <c r="AD18" s="16"/>
      <c r="AE18" s="16"/>
      <c r="AF18" s="16"/>
      <c r="AG18" s="16"/>
      <c r="AH18" s="422"/>
    </row>
    <row r="19" customFormat="false" ht="15" hidden="false" customHeight="false" outlineLevel="0" collapsed="false">
      <c r="A19" s="330"/>
      <c r="B19" s="740"/>
      <c r="C19" s="741"/>
      <c r="D19" s="740" t="s">
        <v>485</v>
      </c>
      <c r="E19" s="736" t="n">
        <v>2</v>
      </c>
      <c r="F19" s="737"/>
      <c r="G19" s="739" t="n">
        <v>18.3425486214612</v>
      </c>
      <c r="H19" s="739" t="n">
        <v>15.701873935656</v>
      </c>
      <c r="I19" s="739" t="n">
        <v>22.4745446884325</v>
      </c>
      <c r="J19" s="739" t="n">
        <v>24.0420610962808</v>
      </c>
      <c r="K19" s="739" t="n">
        <v>30.7387952480968</v>
      </c>
      <c r="L19" s="739" t="n">
        <v>36.8617381587615</v>
      </c>
      <c r="M19" s="739" t="n">
        <v>39.1655967936841</v>
      </c>
      <c r="N19" s="739" t="n">
        <v>41.4694554286066</v>
      </c>
      <c r="O19" s="739" t="n">
        <v>43.7733140635292</v>
      </c>
      <c r="P19" s="739" t="n">
        <v>46.0771726984518</v>
      </c>
      <c r="Q19" s="739" t="n">
        <v>44.2340857905138</v>
      </c>
      <c r="R19" s="739" t="n">
        <v>42.3909988825757</v>
      </c>
      <c r="S19" s="739" t="n">
        <v>40.5479119746376</v>
      </c>
      <c r="T19" s="739" t="n">
        <v>38.7048250666995</v>
      </c>
      <c r="U19" s="739" t="n">
        <v>36.8617381587615</v>
      </c>
      <c r="V19" s="706"/>
      <c r="W19" s="22"/>
      <c r="X19" s="16"/>
      <c r="Y19" s="16"/>
      <c r="Z19" s="16"/>
      <c r="AA19" s="16"/>
      <c r="AB19" s="16"/>
      <c r="AC19" s="16"/>
      <c r="AD19" s="16"/>
      <c r="AE19" s="16"/>
      <c r="AF19" s="16"/>
      <c r="AG19" s="16"/>
      <c r="AH19" s="422"/>
    </row>
    <row r="20" customFormat="false" ht="15" hidden="false" customHeight="false" outlineLevel="0" collapsed="false">
      <c r="A20" s="330"/>
      <c r="B20" s="740"/>
      <c r="C20" s="741"/>
      <c r="D20" s="740"/>
      <c r="E20" s="736" t="n">
        <v>3</v>
      </c>
      <c r="F20" s="737"/>
      <c r="G20" s="739" t="n">
        <v>16.8109157234186</v>
      </c>
      <c r="H20" s="739" t="n">
        <v>14.1161184409427</v>
      </c>
      <c r="I20" s="739" t="n">
        <v>28.7910750001569</v>
      </c>
      <c r="J20" s="739" t="n">
        <v>33.8191021348161</v>
      </c>
      <c r="K20" s="739" t="n">
        <v>33.9385403955302</v>
      </c>
      <c r="L20" s="739" t="n">
        <v>39.5962377527185</v>
      </c>
      <c r="M20" s="739" t="n">
        <v>42.0710026122634</v>
      </c>
      <c r="N20" s="739" t="n">
        <v>44.5457674718083</v>
      </c>
      <c r="O20" s="739" t="n">
        <v>47.0205323313532</v>
      </c>
      <c r="P20" s="739" t="n">
        <v>49.4952971908981</v>
      </c>
      <c r="Q20" s="739" t="n">
        <v>47.5154853032622</v>
      </c>
      <c r="R20" s="739" t="n">
        <v>45.5356734156263</v>
      </c>
      <c r="S20" s="739" t="n">
        <v>43.5558615279904</v>
      </c>
      <c r="T20" s="739" t="n">
        <v>41.5760496403544</v>
      </c>
      <c r="U20" s="739" t="n">
        <v>39.5962377527185</v>
      </c>
      <c r="V20" s="706"/>
      <c r="W20" s="22"/>
      <c r="X20" s="16"/>
      <c r="Y20" s="16"/>
      <c r="Z20" s="16"/>
      <c r="AA20" s="16"/>
      <c r="AB20" s="16"/>
      <c r="AC20" s="16"/>
      <c r="AD20" s="16"/>
      <c r="AE20" s="16"/>
      <c r="AF20" s="16"/>
      <c r="AG20" s="16"/>
      <c r="AH20" s="422"/>
    </row>
    <row r="21" customFormat="false" ht="15" hidden="false" customHeight="false" outlineLevel="0" collapsed="false">
      <c r="A21" s="330"/>
      <c r="B21" s="740" t="n">
        <v>95</v>
      </c>
      <c r="C21" s="741"/>
      <c r="D21" s="740" t="s">
        <v>484</v>
      </c>
      <c r="E21" s="736" t="n">
        <v>2</v>
      </c>
      <c r="F21" s="737"/>
      <c r="G21" s="739" t="n">
        <v>23.316349591934</v>
      </c>
      <c r="H21" s="739" t="n">
        <v>23.641141808554</v>
      </c>
      <c r="I21" s="739" t="n">
        <v>29.4584849365842</v>
      </c>
      <c r="J21" s="739" t="n">
        <v>38.5018531517224</v>
      </c>
      <c r="K21" s="739" t="n">
        <v>26.8471235035639</v>
      </c>
      <c r="L21" s="739" t="n">
        <v>23.3280191919429</v>
      </c>
      <c r="M21" s="739" t="n">
        <v>24.7860203914393</v>
      </c>
      <c r="N21" s="739" t="n">
        <v>26.2440215909358</v>
      </c>
      <c r="O21" s="739" t="n">
        <v>27.7020227904322</v>
      </c>
      <c r="P21" s="739" t="n">
        <v>29.1600239899286</v>
      </c>
      <c r="Q21" s="739" t="n">
        <v>27.9936230303315</v>
      </c>
      <c r="R21" s="739" t="n">
        <v>26.8272220707343</v>
      </c>
      <c r="S21" s="739" t="n">
        <v>25.6608211111372</v>
      </c>
      <c r="T21" s="739" t="n">
        <v>24.49442015154</v>
      </c>
      <c r="U21" s="739" t="n">
        <v>23.3280191919429</v>
      </c>
      <c r="V21" s="706"/>
      <c r="W21" s="22"/>
      <c r="X21" s="16"/>
      <c r="Y21" s="16"/>
      <c r="Z21" s="16"/>
      <c r="AA21" s="16"/>
      <c r="AB21" s="16"/>
      <c r="AC21" s="16"/>
      <c r="AD21" s="16"/>
      <c r="AE21" s="16"/>
      <c r="AF21" s="16"/>
      <c r="AG21" s="16"/>
      <c r="AH21" s="422"/>
    </row>
    <row r="22" customFormat="false" ht="15" hidden="false" customHeight="false" outlineLevel="0" collapsed="false">
      <c r="A22" s="330"/>
      <c r="B22" s="740"/>
      <c r="C22" s="741"/>
      <c r="D22" s="740"/>
      <c r="E22" s="736" t="n">
        <v>3</v>
      </c>
      <c r="F22" s="737"/>
      <c r="G22" s="739" t="n">
        <v>26.1731972142631</v>
      </c>
      <c r="H22" s="739" t="n">
        <v>26.3136692410666</v>
      </c>
      <c r="I22" s="739" t="n">
        <v>38.6138592875541</v>
      </c>
      <c r="J22" s="739" t="n">
        <v>39.4838364511799</v>
      </c>
      <c r="K22" s="739" t="n">
        <v>40.4859156450675</v>
      </c>
      <c r="L22" s="739" t="n">
        <v>35.0130051064258</v>
      </c>
      <c r="M22" s="739" t="n">
        <v>37.2013179255774</v>
      </c>
      <c r="N22" s="739" t="n">
        <v>39.389630744729</v>
      </c>
      <c r="O22" s="739" t="n">
        <v>41.5779435638807</v>
      </c>
      <c r="P22" s="739" t="n">
        <v>43.7662563830323</v>
      </c>
      <c r="Q22" s="739" t="n">
        <v>42.015606127711</v>
      </c>
      <c r="R22" s="739" t="n">
        <v>40.2649558723897</v>
      </c>
      <c r="S22" s="739" t="n">
        <v>38.5143056170684</v>
      </c>
      <c r="T22" s="739" t="n">
        <v>36.7636553617471</v>
      </c>
      <c r="U22" s="739" t="n">
        <v>35.0130051064258</v>
      </c>
      <c r="V22" s="706"/>
      <c r="W22" s="22"/>
      <c r="X22" s="16"/>
      <c r="Y22" s="16"/>
      <c r="Z22" s="16"/>
      <c r="AA22" s="16"/>
      <c r="AB22" s="16"/>
      <c r="AC22" s="16"/>
      <c r="AD22" s="16"/>
      <c r="AE22" s="16"/>
      <c r="AF22" s="16"/>
      <c r="AG22" s="16"/>
      <c r="AH22" s="422"/>
    </row>
    <row r="23" customFormat="false" ht="15" hidden="false" customHeight="false" outlineLevel="0" collapsed="false">
      <c r="A23" s="330"/>
      <c r="B23" s="740"/>
      <c r="C23" s="741"/>
      <c r="D23" s="740"/>
      <c r="E23" s="736" t="n">
        <v>4</v>
      </c>
      <c r="F23" s="737"/>
      <c r="G23" s="739" t="n">
        <v>29.328649153787</v>
      </c>
      <c r="H23" s="739" t="n">
        <v>38.470028209819</v>
      </c>
      <c r="I23" s="739" t="n">
        <v>56.045543298551</v>
      </c>
      <c r="J23" s="739" t="n">
        <v>43.5861287541341</v>
      </c>
      <c r="K23" s="739" t="n">
        <v>44.1634217809556</v>
      </c>
      <c r="L23" s="739" t="n">
        <v>38.2905060080716</v>
      </c>
      <c r="M23" s="739" t="n">
        <v>40.6836626335761</v>
      </c>
      <c r="N23" s="739" t="n">
        <v>43.0768192590805</v>
      </c>
      <c r="O23" s="739" t="n">
        <v>45.469975884585</v>
      </c>
      <c r="P23" s="739" t="n">
        <v>47.8631325100895</v>
      </c>
      <c r="Q23" s="739" t="n">
        <v>45.9486072096859</v>
      </c>
      <c r="R23" s="739" t="n">
        <v>44.0340819092823</v>
      </c>
      <c r="S23" s="739" t="n">
        <v>42.1195566088788</v>
      </c>
      <c r="T23" s="739" t="n">
        <v>40.2050313084752</v>
      </c>
      <c r="U23" s="739" t="n">
        <v>38.2905060080716</v>
      </c>
      <c r="V23" s="706"/>
      <c r="W23" s="22"/>
      <c r="X23" s="16"/>
      <c r="Y23" s="16"/>
      <c r="Z23" s="16"/>
      <c r="AA23" s="16"/>
      <c r="AB23" s="16"/>
      <c r="AC23" s="16"/>
      <c r="AD23" s="16"/>
      <c r="AE23" s="16"/>
      <c r="AF23" s="16"/>
      <c r="AG23" s="16"/>
      <c r="AH23" s="422"/>
    </row>
    <row r="24" customFormat="false" ht="15" hidden="false" customHeight="false" outlineLevel="0" collapsed="false">
      <c r="A24" s="330"/>
      <c r="B24" s="740"/>
      <c r="C24" s="741"/>
      <c r="D24" s="740" t="s">
        <v>485</v>
      </c>
      <c r="E24" s="736" t="n">
        <v>2</v>
      </c>
      <c r="F24" s="737"/>
      <c r="G24" s="739" t="n">
        <v>20.6477794088287</v>
      </c>
      <c r="H24" s="739" t="n">
        <v>19.8822941921729</v>
      </c>
      <c r="I24" s="739" t="n">
        <v>28.1270004806498</v>
      </c>
      <c r="J24" s="739" t="n">
        <v>29.6670253505703</v>
      </c>
      <c r="K24" s="739" t="n">
        <v>34.1640420462798</v>
      </c>
      <c r="L24" s="739" t="n">
        <v>35.7005392401895</v>
      </c>
      <c r="M24" s="739" t="n">
        <v>37.9318229427013</v>
      </c>
      <c r="N24" s="739" t="n">
        <v>40.1631066452132</v>
      </c>
      <c r="O24" s="739" t="n">
        <v>42.394390347725</v>
      </c>
      <c r="P24" s="739" t="n">
        <v>44.6256740502369</v>
      </c>
      <c r="Q24" s="739" t="n">
        <v>42.8406470882274</v>
      </c>
      <c r="R24" s="739" t="n">
        <v>41.0556201262179</v>
      </c>
      <c r="S24" s="739" t="n">
        <v>39.2705931642084</v>
      </c>
      <c r="T24" s="739" t="n">
        <v>37.485566202199</v>
      </c>
      <c r="U24" s="739" t="n">
        <v>35.7005392401895</v>
      </c>
      <c r="V24" s="706"/>
      <c r="W24" s="22"/>
      <c r="X24" s="16"/>
      <c r="Y24" s="16"/>
      <c r="Z24" s="16"/>
      <c r="AA24" s="16"/>
      <c r="AB24" s="16"/>
      <c r="AC24" s="16"/>
      <c r="AD24" s="16"/>
      <c r="AE24" s="16"/>
      <c r="AF24" s="16"/>
      <c r="AG24" s="16"/>
      <c r="AH24" s="422"/>
    </row>
    <row r="25" customFormat="false" ht="15" hidden="false" customHeight="false" outlineLevel="0" collapsed="false">
      <c r="A25" s="330"/>
      <c r="B25" s="740"/>
      <c r="C25" s="741"/>
      <c r="D25" s="740"/>
      <c r="E25" s="736" t="n">
        <v>3</v>
      </c>
      <c r="F25" s="737"/>
      <c r="G25" s="739" t="n">
        <v>19.4974746916425</v>
      </c>
      <c r="H25" s="739" t="n">
        <v>15.9198218198074</v>
      </c>
      <c r="I25" s="739" t="n">
        <v>29.7804638847132</v>
      </c>
      <c r="J25" s="739" t="n">
        <v>33.471215369429</v>
      </c>
      <c r="K25" s="739" t="n">
        <v>31.6247850634255</v>
      </c>
      <c r="L25" s="739" t="n">
        <v>27.2048757505549</v>
      </c>
      <c r="M25" s="739" t="n">
        <v>28.9051804849646</v>
      </c>
      <c r="N25" s="739" t="n">
        <v>30.6054852193742</v>
      </c>
      <c r="O25" s="739" t="n">
        <v>32.3057899537839</v>
      </c>
      <c r="P25" s="739" t="n">
        <v>34.0060946881936</v>
      </c>
      <c r="Q25" s="739" t="n">
        <v>32.6458509006659</v>
      </c>
      <c r="R25" s="739" t="n">
        <v>31.2856071131381</v>
      </c>
      <c r="S25" s="739" t="n">
        <v>29.9253633256104</v>
      </c>
      <c r="T25" s="739" t="n">
        <v>28.5651195380826</v>
      </c>
      <c r="U25" s="739" t="n">
        <v>27.2048757505549</v>
      </c>
      <c r="V25" s="706"/>
      <c r="W25" s="22"/>
      <c r="X25" s="16"/>
      <c r="Y25" s="16"/>
      <c r="Z25" s="16"/>
      <c r="AA25" s="16"/>
      <c r="AB25" s="16"/>
      <c r="AC25" s="16"/>
      <c r="AD25" s="16"/>
      <c r="AE25" s="16"/>
      <c r="AF25" s="16"/>
      <c r="AG25" s="16"/>
      <c r="AH25" s="422"/>
    </row>
    <row r="26" customFormat="false" ht="15" hidden="false" customHeight="false" outlineLevel="0" collapsed="false">
      <c r="A26" s="330"/>
      <c r="B26" s="740"/>
      <c r="C26" s="741"/>
      <c r="D26" s="740"/>
      <c r="E26" s="736" t="n">
        <v>4</v>
      </c>
      <c r="F26" s="737"/>
      <c r="G26" s="739" t="n">
        <v>22.8510825590722</v>
      </c>
      <c r="H26" s="739" t="n">
        <v>22.4692312176752</v>
      </c>
      <c r="I26" s="739" t="n">
        <v>36.936094909159</v>
      </c>
      <c r="J26" s="739" t="n">
        <v>36.1187086778943</v>
      </c>
      <c r="K26" s="739" t="n">
        <v>34.2649893288393</v>
      </c>
      <c r="L26" s="739" t="n">
        <v>29.5220367563463</v>
      </c>
      <c r="M26" s="739" t="n">
        <v>31.3671640536179</v>
      </c>
      <c r="N26" s="739" t="n">
        <v>33.2122913508895</v>
      </c>
      <c r="O26" s="739" t="n">
        <v>35.0574186481612</v>
      </c>
      <c r="P26" s="739" t="n">
        <v>36.9025459454328</v>
      </c>
      <c r="Q26" s="739" t="n">
        <v>35.4264441076155</v>
      </c>
      <c r="R26" s="739" t="n">
        <v>33.9503422697982</v>
      </c>
      <c r="S26" s="739" t="n">
        <v>32.4742404319809</v>
      </c>
      <c r="T26" s="739" t="n">
        <v>30.9981385941636</v>
      </c>
      <c r="U26" s="739" t="n">
        <v>29.5220367563463</v>
      </c>
      <c r="V26" s="706"/>
      <c r="W26" s="22"/>
      <c r="X26" s="16"/>
      <c r="Y26" s="16"/>
      <c r="Z26" s="16"/>
      <c r="AA26" s="16"/>
      <c r="AB26" s="16"/>
      <c r="AC26" s="16"/>
      <c r="AD26" s="16"/>
      <c r="AE26" s="16"/>
      <c r="AF26" s="16"/>
      <c r="AG26" s="16"/>
      <c r="AH26" s="422"/>
    </row>
    <row r="27" customFormat="false" ht="15" hidden="false" customHeight="false" outlineLevel="0" collapsed="false">
      <c r="A27" s="330"/>
      <c r="B27" s="740" t="n">
        <v>105</v>
      </c>
      <c r="C27" s="741"/>
      <c r="D27" s="740" t="s">
        <v>484</v>
      </c>
      <c r="E27" s="736" t="n">
        <v>2</v>
      </c>
      <c r="F27" s="737"/>
      <c r="G27" s="739" t="n">
        <v>33.5124145322374</v>
      </c>
      <c r="H27" s="739" t="n">
        <v>26.5107437010774</v>
      </c>
      <c r="I27" s="739" t="n">
        <v>22.5245012002753</v>
      </c>
      <c r="J27" s="739" t="n">
        <v>38.5018531517224</v>
      </c>
      <c r="K27" s="739" t="n">
        <v>26.8471235035639</v>
      </c>
      <c r="L27" s="739" t="n">
        <v>23.3280191919429</v>
      </c>
      <c r="M27" s="739" t="n">
        <v>24.7860203914393</v>
      </c>
      <c r="N27" s="739" t="n">
        <v>26.2440215909358</v>
      </c>
      <c r="O27" s="739" t="n">
        <v>27.7020227904322</v>
      </c>
      <c r="P27" s="739" t="n">
        <v>29.1600239899286</v>
      </c>
      <c r="Q27" s="739" t="n">
        <v>27.9936230303315</v>
      </c>
      <c r="R27" s="739" t="n">
        <v>26.8272220707343</v>
      </c>
      <c r="S27" s="739" t="n">
        <v>25.6608211111372</v>
      </c>
      <c r="T27" s="739" t="n">
        <v>24.49442015154</v>
      </c>
      <c r="U27" s="739" t="n">
        <v>23.3280191919429</v>
      </c>
      <c r="V27" s="706"/>
      <c r="W27" s="22"/>
      <c r="X27" s="16"/>
      <c r="Y27" s="16"/>
      <c r="Z27" s="16"/>
      <c r="AA27" s="16"/>
      <c r="AB27" s="16"/>
      <c r="AC27" s="16"/>
      <c r="AD27" s="16"/>
      <c r="AE27" s="16"/>
      <c r="AF27" s="16"/>
      <c r="AG27" s="16"/>
      <c r="AH27" s="422"/>
    </row>
    <row r="28" customFormat="false" ht="15" hidden="false" customHeight="false" outlineLevel="0" collapsed="false">
      <c r="A28" s="330"/>
      <c r="B28" s="740"/>
      <c r="C28" s="741"/>
      <c r="D28" s="740"/>
      <c r="E28" s="736" t="n">
        <v>3</v>
      </c>
      <c r="F28" s="737"/>
      <c r="G28" s="739" t="n">
        <v>32.1533872092364</v>
      </c>
      <c r="H28" s="739" t="n">
        <v>24.7603152350083</v>
      </c>
      <c r="I28" s="739" t="n">
        <v>26.8170964582318</v>
      </c>
      <c r="J28" s="739" t="n">
        <v>39.4838364511799</v>
      </c>
      <c r="K28" s="739" t="n">
        <v>40.4859156450675</v>
      </c>
      <c r="L28" s="739" t="n">
        <v>35.0130051064258</v>
      </c>
      <c r="M28" s="739" t="n">
        <v>37.2013179255774</v>
      </c>
      <c r="N28" s="739" t="n">
        <v>39.389630744729</v>
      </c>
      <c r="O28" s="739" t="n">
        <v>41.5779435638807</v>
      </c>
      <c r="P28" s="739" t="n">
        <v>43.7662563830323</v>
      </c>
      <c r="Q28" s="739" t="n">
        <v>42.015606127711</v>
      </c>
      <c r="R28" s="739" t="n">
        <v>40.2649558723897</v>
      </c>
      <c r="S28" s="739" t="n">
        <v>38.5143056170684</v>
      </c>
      <c r="T28" s="739" t="n">
        <v>36.7636553617471</v>
      </c>
      <c r="U28" s="739" t="n">
        <v>35.0130051064258</v>
      </c>
      <c r="V28" s="706"/>
      <c r="W28" s="22"/>
      <c r="X28" s="16"/>
      <c r="Y28" s="16"/>
      <c r="Z28" s="16"/>
      <c r="AA28" s="16"/>
      <c r="AB28" s="16"/>
      <c r="AC28" s="16"/>
      <c r="AD28" s="16"/>
      <c r="AE28" s="16"/>
      <c r="AF28" s="16"/>
      <c r="AG28" s="16"/>
      <c r="AH28" s="422"/>
    </row>
    <row r="29" customFormat="false" ht="15" hidden="false" customHeight="false" outlineLevel="0" collapsed="false">
      <c r="A29" s="330"/>
      <c r="B29" s="740"/>
      <c r="C29" s="741"/>
      <c r="D29" s="740"/>
      <c r="E29" s="736" t="n">
        <v>4</v>
      </c>
      <c r="F29" s="737"/>
      <c r="G29" s="739" t="n">
        <v>45.6981047497782</v>
      </c>
      <c r="H29" s="739" t="n">
        <v>26.8391697315519</v>
      </c>
      <c r="I29" s="739" t="n">
        <v>31.4766749282652</v>
      </c>
      <c r="J29" s="739" t="n">
        <v>43.5861287541341</v>
      </c>
      <c r="K29" s="739" t="n">
        <v>44.1634217809556</v>
      </c>
      <c r="L29" s="739" t="n">
        <v>38.2905060080716</v>
      </c>
      <c r="M29" s="739" t="n">
        <v>40.6836626335761</v>
      </c>
      <c r="N29" s="739" t="n">
        <v>43.0768192590805</v>
      </c>
      <c r="O29" s="739" t="n">
        <v>45.469975884585</v>
      </c>
      <c r="P29" s="739" t="n">
        <v>47.8631325100895</v>
      </c>
      <c r="Q29" s="739" t="n">
        <v>45.9486072096859</v>
      </c>
      <c r="R29" s="739" t="n">
        <v>44.0340819092823</v>
      </c>
      <c r="S29" s="739" t="n">
        <v>42.1195566088788</v>
      </c>
      <c r="T29" s="739" t="n">
        <v>40.2050313084752</v>
      </c>
      <c r="U29" s="739" t="n">
        <v>38.2905060080716</v>
      </c>
      <c r="V29" s="706"/>
      <c r="W29" s="22"/>
      <c r="X29" s="16"/>
      <c r="Y29" s="16"/>
      <c r="Z29" s="16"/>
      <c r="AA29" s="16"/>
      <c r="AB29" s="16"/>
      <c r="AC29" s="16"/>
      <c r="AD29" s="16"/>
      <c r="AE29" s="16"/>
      <c r="AF29" s="16"/>
      <c r="AG29" s="16"/>
      <c r="AH29" s="422"/>
    </row>
    <row r="30" customFormat="false" ht="15" hidden="false" customHeight="false" outlineLevel="0" collapsed="false">
      <c r="A30" s="330"/>
      <c r="B30" s="740"/>
      <c r="C30" s="741"/>
      <c r="D30" s="740" t="s">
        <v>485</v>
      </c>
      <c r="E30" s="736" t="n">
        <v>2</v>
      </c>
      <c r="F30" s="737"/>
      <c r="G30" s="739" t="n">
        <v>26.6556627687713</v>
      </c>
      <c r="H30" s="739" t="n">
        <v>20.8234633596485</v>
      </c>
      <c r="I30" s="739" t="n">
        <v>17.3592093300558</v>
      </c>
      <c r="J30" s="739" t="n">
        <v>29.6670253505703</v>
      </c>
      <c r="K30" s="739" t="n">
        <v>34.1640420462798</v>
      </c>
      <c r="L30" s="739" t="n">
        <v>35.7005392401895</v>
      </c>
      <c r="M30" s="739" t="n">
        <v>37.9318229427013</v>
      </c>
      <c r="N30" s="739" t="n">
        <v>40.1631066452132</v>
      </c>
      <c r="O30" s="739" t="n">
        <v>42.394390347725</v>
      </c>
      <c r="P30" s="739" t="n">
        <v>44.6256740502369</v>
      </c>
      <c r="Q30" s="739" t="n">
        <v>42.8406470882274</v>
      </c>
      <c r="R30" s="739" t="n">
        <v>41.0556201262179</v>
      </c>
      <c r="S30" s="739" t="n">
        <v>39.2705931642084</v>
      </c>
      <c r="T30" s="739" t="n">
        <v>37.485566202199</v>
      </c>
      <c r="U30" s="739" t="n">
        <v>35.7005392401895</v>
      </c>
      <c r="V30" s="706"/>
      <c r="W30" s="22"/>
      <c r="X30" s="16"/>
      <c r="Y30" s="16"/>
      <c r="Z30" s="16"/>
      <c r="AA30" s="16"/>
      <c r="AB30" s="16"/>
      <c r="AC30" s="16"/>
      <c r="AD30" s="16"/>
      <c r="AE30" s="16"/>
      <c r="AF30" s="16"/>
      <c r="AG30" s="16"/>
      <c r="AH30" s="422"/>
    </row>
    <row r="31" customFormat="false" ht="15" hidden="false" customHeight="false" outlineLevel="0" collapsed="false">
      <c r="A31" s="330"/>
      <c r="B31" s="740"/>
      <c r="C31" s="741"/>
      <c r="D31" s="740"/>
      <c r="E31" s="736" t="n">
        <v>3</v>
      </c>
      <c r="F31" s="737"/>
      <c r="G31" s="739" t="n">
        <v>20.9754657239047</v>
      </c>
      <c r="H31" s="739" t="n">
        <v>12.8793184433275</v>
      </c>
      <c r="I31" s="739" t="n">
        <v>13.8102593974861</v>
      </c>
      <c r="J31" s="739" t="n">
        <v>33.471215369429</v>
      </c>
      <c r="K31" s="739" t="n">
        <v>31.6247850634255</v>
      </c>
      <c r="L31" s="739" t="n">
        <v>27.2048757505549</v>
      </c>
      <c r="M31" s="739" t="n">
        <v>28.9051804849646</v>
      </c>
      <c r="N31" s="739" t="n">
        <v>30.6054852193742</v>
      </c>
      <c r="O31" s="739" t="n">
        <v>32.3057899537839</v>
      </c>
      <c r="P31" s="739" t="n">
        <v>34.0060946881936</v>
      </c>
      <c r="Q31" s="739" t="n">
        <v>32.6458509006659</v>
      </c>
      <c r="R31" s="739" t="n">
        <v>31.2856071131381</v>
      </c>
      <c r="S31" s="739" t="n">
        <v>29.9253633256104</v>
      </c>
      <c r="T31" s="739" t="n">
        <v>28.5651195380826</v>
      </c>
      <c r="U31" s="739" t="n">
        <v>27.2048757505549</v>
      </c>
      <c r="V31" s="706"/>
      <c r="W31" s="22"/>
      <c r="X31" s="16"/>
      <c r="Y31" s="16"/>
      <c r="Z31" s="16"/>
      <c r="AA31" s="16"/>
      <c r="AB31" s="16"/>
      <c r="AC31" s="16"/>
      <c r="AD31" s="16"/>
      <c r="AE31" s="16"/>
      <c r="AF31" s="16"/>
      <c r="AG31" s="16"/>
      <c r="AH31" s="422"/>
    </row>
    <row r="32" customFormat="false" ht="15" hidden="false" customHeight="false" outlineLevel="0" collapsed="false">
      <c r="A32" s="330"/>
      <c r="B32" s="740"/>
      <c r="C32" s="741"/>
      <c r="D32" s="740"/>
      <c r="E32" s="736" t="n">
        <v>4</v>
      </c>
      <c r="F32" s="737"/>
      <c r="G32" s="739" t="n">
        <v>25.412748465354</v>
      </c>
      <c r="H32" s="739" t="n">
        <v>19.087599832748</v>
      </c>
      <c r="I32" s="739" t="n">
        <v>17.7950939745102</v>
      </c>
      <c r="J32" s="739" t="n">
        <v>36.1187086778943</v>
      </c>
      <c r="K32" s="739" t="n">
        <v>34.2649893288393</v>
      </c>
      <c r="L32" s="739" t="n">
        <v>29.5220367563463</v>
      </c>
      <c r="M32" s="739" t="n">
        <v>31.3671640536179</v>
      </c>
      <c r="N32" s="739" t="n">
        <v>33.2122913508895</v>
      </c>
      <c r="O32" s="739" t="n">
        <v>35.0574186481612</v>
      </c>
      <c r="P32" s="739" t="n">
        <v>36.9025459454328</v>
      </c>
      <c r="Q32" s="739" t="n">
        <v>35.4264441076155</v>
      </c>
      <c r="R32" s="739" t="n">
        <v>33.9503422697982</v>
      </c>
      <c r="S32" s="739" t="n">
        <v>32.4742404319809</v>
      </c>
      <c r="T32" s="739" t="n">
        <v>30.9981385941636</v>
      </c>
      <c r="U32" s="739" t="n">
        <v>29.5220367563463</v>
      </c>
      <c r="V32" s="706"/>
      <c r="W32" s="22"/>
      <c r="X32" s="16"/>
      <c r="Y32" s="16"/>
      <c r="Z32" s="16"/>
      <c r="AA32" s="16"/>
      <c r="AB32" s="16"/>
      <c r="AC32" s="16"/>
      <c r="AD32" s="16"/>
      <c r="AE32" s="16"/>
      <c r="AF32" s="16"/>
      <c r="AG32" s="16"/>
      <c r="AH32" s="422"/>
    </row>
    <row r="33" customFormat="false" ht="15" hidden="false" customHeight="true" outlineLevel="0" collapsed="false">
      <c r="A33" s="330"/>
      <c r="B33" s="743"/>
      <c r="C33" s="744"/>
      <c r="D33" s="743"/>
      <c r="E33" s="743"/>
      <c r="F33" s="744"/>
      <c r="G33" s="745"/>
      <c r="H33" s="746"/>
      <c r="I33" s="746"/>
      <c r="J33" s="746"/>
      <c r="K33" s="746"/>
      <c r="L33" s="746"/>
      <c r="M33" s="746"/>
      <c r="N33" s="746"/>
      <c r="O33" s="746"/>
      <c r="P33" s="746"/>
      <c r="Q33" s="746"/>
      <c r="R33" s="746"/>
      <c r="S33" s="746"/>
      <c r="T33" s="746"/>
      <c r="U33" s="747"/>
      <c r="V33" s="748"/>
      <c r="W33" s="22"/>
      <c r="X33" s="16"/>
      <c r="Y33" s="16"/>
      <c r="Z33" s="16"/>
      <c r="AA33" s="16"/>
      <c r="AB33" s="16"/>
      <c r="AC33" s="16"/>
      <c r="AD33" s="16"/>
      <c r="AE33" s="16"/>
      <c r="AF33" s="16"/>
      <c r="AG33" s="16"/>
      <c r="AH33" s="422"/>
    </row>
    <row r="34" customFormat="false" ht="15" hidden="false" customHeight="false" outlineLevel="0" collapsed="false">
      <c r="A34" s="111"/>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10"/>
    </row>
    <row r="35" customFormat="false" ht="15" hidden="true" customHeight="false" outlineLevel="0" collapsed="false">
      <c r="A35" s="330"/>
      <c r="B35" s="16"/>
      <c r="D35" s="16"/>
      <c r="E35" s="16"/>
      <c r="G35" s="16"/>
      <c r="H35" s="16"/>
      <c r="I35" s="16"/>
      <c r="J35" s="16"/>
      <c r="K35" s="16"/>
      <c r="L35" s="16"/>
      <c r="M35" s="16"/>
      <c r="N35" s="16"/>
      <c r="O35" s="16"/>
      <c r="P35" s="16"/>
      <c r="Q35" s="16"/>
      <c r="R35" s="16"/>
      <c r="S35" s="16"/>
      <c r="T35" s="16"/>
      <c r="U35" s="16"/>
      <c r="V35" s="16"/>
      <c r="W35" s="22"/>
      <c r="X35" s="22"/>
      <c r="Y35" s="22"/>
      <c r="Z35" s="22"/>
      <c r="AA35" s="22"/>
      <c r="AB35" s="22"/>
      <c r="AC35" s="22"/>
      <c r="AD35" s="22"/>
      <c r="AE35" s="22"/>
      <c r="AF35" s="22"/>
      <c r="AG35" s="22"/>
      <c r="AH35" s="22"/>
    </row>
    <row r="36" customFormat="false" ht="15" hidden="true" customHeight="false" outlineLevel="0" collapsed="false">
      <c r="A36" s="111"/>
      <c r="B36" s="106"/>
      <c r="D36" s="106"/>
      <c r="E36" s="106"/>
      <c r="G36" s="106"/>
      <c r="H36" s="106"/>
      <c r="I36" s="106"/>
      <c r="J36" s="106"/>
      <c r="K36" s="106"/>
      <c r="L36" s="106"/>
      <c r="M36" s="106"/>
      <c r="N36" s="106"/>
      <c r="O36" s="106"/>
      <c r="P36" s="106"/>
      <c r="Q36" s="106"/>
      <c r="R36" s="106"/>
      <c r="S36" s="106"/>
      <c r="T36" s="106"/>
      <c r="U36" s="106"/>
      <c r="V36" s="106"/>
      <c r="W36" s="22"/>
      <c r="X36" s="22"/>
      <c r="Y36" s="22"/>
      <c r="Z36" s="22"/>
      <c r="AA36" s="22"/>
      <c r="AB36" s="22"/>
      <c r="AC36" s="22"/>
      <c r="AD36" s="22"/>
      <c r="AE36" s="22"/>
      <c r="AF36" s="22"/>
      <c r="AG36" s="22"/>
      <c r="AH36" s="22"/>
    </row>
    <row r="37" customFormat="false" ht="15" hidden="true" customHeight="false" outlineLevel="0" collapsed="false">
      <c r="A37" s="22"/>
      <c r="R37" s="22"/>
      <c r="S37" s="22"/>
      <c r="T37" s="22"/>
      <c r="U37" s="22"/>
      <c r="V37" s="22"/>
      <c r="W37" s="22"/>
      <c r="X37" s="22"/>
      <c r="Y37" s="22"/>
      <c r="Z37" s="22"/>
      <c r="AA37" s="22"/>
      <c r="AB37" s="22"/>
      <c r="AC37" s="22"/>
      <c r="AD37" s="22"/>
      <c r="AE37" s="22"/>
      <c r="AF37" s="22"/>
      <c r="AG37" s="22"/>
      <c r="AH37" s="22"/>
    </row>
    <row r="38" customFormat="false" ht="15" hidden="true" customHeight="false" outlineLevel="0" collapsed="false">
      <c r="A38" s="22"/>
      <c r="R38" s="22"/>
      <c r="S38" s="22"/>
      <c r="T38" s="22"/>
      <c r="U38" s="22"/>
      <c r="V38" s="22"/>
      <c r="W38" s="22"/>
      <c r="X38" s="22"/>
      <c r="Y38" s="22"/>
      <c r="Z38" s="22"/>
      <c r="AA38" s="22"/>
      <c r="AB38" s="22"/>
      <c r="AC38" s="22"/>
      <c r="AD38" s="22"/>
      <c r="AE38" s="22"/>
      <c r="AF38" s="22"/>
      <c r="AG38" s="22"/>
      <c r="AH38" s="22"/>
    </row>
    <row r="39" customFormat="false" ht="15" hidden="true" customHeight="false" outlineLevel="0" collapsed="false">
      <c r="A39" s="22"/>
      <c r="R39" s="22"/>
      <c r="S39" s="22"/>
      <c r="T39" s="22"/>
      <c r="U39" s="22"/>
      <c r="V39" s="22"/>
      <c r="W39" s="22"/>
      <c r="X39" s="22"/>
      <c r="Y39" s="22"/>
      <c r="Z39" s="22"/>
      <c r="AA39" s="22"/>
      <c r="AB39" s="22"/>
      <c r="AC39" s="22"/>
      <c r="AD39" s="22"/>
      <c r="AE39" s="22"/>
      <c r="AF39" s="22"/>
      <c r="AG39" s="22"/>
      <c r="AH39" s="22"/>
    </row>
    <row r="40" customFormat="false" ht="15" hidden="true" customHeight="false" outlineLevel="0" collapsed="false">
      <c r="A40" s="22"/>
      <c r="R40" s="22"/>
      <c r="S40" s="22"/>
      <c r="T40" s="22"/>
      <c r="U40" s="22"/>
      <c r="V40" s="22"/>
      <c r="W40" s="22"/>
      <c r="X40" s="22"/>
      <c r="Y40" s="22"/>
      <c r="Z40" s="22"/>
      <c r="AA40" s="22"/>
      <c r="AB40" s="22"/>
      <c r="AC40" s="22"/>
      <c r="AD40" s="22"/>
      <c r="AE40" s="22"/>
      <c r="AF40" s="22"/>
      <c r="AG40" s="22"/>
      <c r="AH40" s="22"/>
    </row>
    <row r="41" customFormat="false" ht="15" hidden="true" customHeight="false" outlineLevel="0" collapsed="false">
      <c r="A41" s="22"/>
      <c r="R41" s="22"/>
      <c r="S41" s="22"/>
      <c r="T41" s="22"/>
      <c r="U41" s="22"/>
      <c r="V41" s="22"/>
      <c r="W41" s="22"/>
      <c r="X41" s="22"/>
      <c r="Y41" s="22"/>
      <c r="Z41" s="22"/>
      <c r="AA41" s="22"/>
      <c r="AB41" s="22"/>
      <c r="AC41" s="22"/>
      <c r="AD41" s="22"/>
      <c r="AE41" s="22"/>
      <c r="AF41" s="22"/>
      <c r="AG41" s="22"/>
      <c r="AH41" s="22"/>
    </row>
    <row r="42" customFormat="false" ht="15" hidden="true" customHeight="false" outlineLevel="0" collapsed="false">
      <c r="A42" s="22"/>
      <c r="R42" s="22"/>
      <c r="S42" s="22"/>
      <c r="T42" s="22"/>
      <c r="U42" s="22"/>
      <c r="V42" s="22"/>
      <c r="W42" s="22"/>
      <c r="X42" s="22"/>
      <c r="Y42" s="22"/>
      <c r="Z42" s="22"/>
      <c r="AA42" s="22"/>
      <c r="AB42" s="22"/>
      <c r="AC42" s="22"/>
      <c r="AD42" s="22"/>
      <c r="AE42" s="22"/>
      <c r="AF42" s="22"/>
      <c r="AG42" s="22"/>
      <c r="AH42" s="22"/>
    </row>
    <row r="43" customFormat="false" ht="15" hidden="true" customHeight="false" outlineLevel="0" collapsed="false">
      <c r="A43" s="22"/>
      <c r="R43" s="22"/>
      <c r="S43" s="22"/>
      <c r="T43" s="22"/>
      <c r="U43" s="22"/>
      <c r="V43" s="22"/>
      <c r="W43" s="22"/>
      <c r="X43" s="22"/>
      <c r="Y43" s="22"/>
      <c r="Z43" s="22"/>
      <c r="AA43" s="22"/>
      <c r="AB43" s="22"/>
      <c r="AC43" s="22"/>
      <c r="AD43" s="22"/>
      <c r="AE43" s="22"/>
      <c r="AF43" s="22"/>
      <c r="AG43" s="22"/>
      <c r="AH43" s="22"/>
    </row>
    <row r="44" customFormat="false" ht="15" hidden="true" customHeight="false" outlineLevel="0" collapsed="false">
      <c r="A44" s="22"/>
      <c r="R44" s="22"/>
      <c r="S44" s="22"/>
      <c r="T44" s="22"/>
      <c r="U44" s="22"/>
      <c r="V44" s="22"/>
      <c r="W44" s="22"/>
      <c r="X44" s="22"/>
      <c r="Y44" s="22"/>
      <c r="Z44" s="22"/>
      <c r="AA44" s="22"/>
      <c r="AB44" s="22"/>
      <c r="AC44" s="22"/>
      <c r="AD44" s="22"/>
      <c r="AE44" s="22"/>
      <c r="AF44" s="22"/>
      <c r="AG44" s="22"/>
      <c r="AH44" s="22"/>
    </row>
    <row r="45" customFormat="false" ht="15" hidden="true" customHeight="false" outlineLevel="0" collapsed="false">
      <c r="A45" s="22"/>
      <c r="R45" s="22"/>
      <c r="S45" s="22"/>
      <c r="T45" s="22"/>
      <c r="U45" s="22"/>
      <c r="V45" s="22"/>
      <c r="W45" s="22"/>
      <c r="X45" s="22"/>
      <c r="Y45" s="22"/>
      <c r="Z45" s="22"/>
      <c r="AA45" s="22"/>
      <c r="AB45" s="22"/>
      <c r="AC45" s="22"/>
      <c r="AD45" s="22"/>
      <c r="AE45" s="22"/>
      <c r="AF45" s="22"/>
      <c r="AG45" s="22"/>
      <c r="AH45" s="22"/>
    </row>
    <row r="46" customFormat="false" ht="15" hidden="true" customHeight="false" outlineLevel="0" collapsed="false">
      <c r="A46" s="22"/>
      <c r="R46" s="22"/>
      <c r="S46" s="22"/>
      <c r="T46" s="22"/>
      <c r="U46" s="22"/>
      <c r="V46" s="22"/>
      <c r="W46" s="22"/>
      <c r="X46" s="22"/>
      <c r="Y46" s="22"/>
      <c r="Z46" s="22"/>
      <c r="AA46" s="22"/>
      <c r="AB46" s="22"/>
      <c r="AC46" s="22"/>
      <c r="AD46" s="22"/>
      <c r="AE46" s="22"/>
      <c r="AF46" s="22"/>
      <c r="AG46" s="22"/>
      <c r="AH46" s="22"/>
    </row>
  </sheetData>
  <mergeCells count="18">
    <mergeCell ref="A3:W3"/>
    <mergeCell ref="X3:AH3"/>
    <mergeCell ref="D5:E5"/>
    <mergeCell ref="G5:U5"/>
    <mergeCell ref="B8:B10"/>
    <mergeCell ref="D8:D9"/>
    <mergeCell ref="B12:B15"/>
    <mergeCell ref="D12:D14"/>
    <mergeCell ref="B16:B20"/>
    <mergeCell ref="D16:D18"/>
    <mergeCell ref="D19:D20"/>
    <mergeCell ref="B21:B26"/>
    <mergeCell ref="D21:D23"/>
    <mergeCell ref="D24:D26"/>
    <mergeCell ref="B27:B32"/>
    <mergeCell ref="D27:D29"/>
    <mergeCell ref="D30:D32"/>
    <mergeCell ref="D33:E33"/>
  </mergeCells>
  <printOptions headings="false" gridLines="false" gridLinesSet="true" horizontalCentered="false" verticalCentered="false"/>
  <pageMargins left="0.75" right="0.75" top="1" bottom="1" header="0.511805555555555" footer="0.511805555555555"/>
  <pageSetup paperSize="9" scale="76"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32.xml><?xml version="1.0" encoding="utf-8"?>
<worksheet xmlns="http://schemas.openxmlformats.org/spreadsheetml/2006/main" xmlns:r="http://schemas.openxmlformats.org/officeDocument/2006/relationships">
  <sheetPr filterMode="false">
    <pageSetUpPr fitToPage="true"/>
  </sheetPr>
  <dimension ref="A1:AH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8.14"/>
    <col collapsed="false" customWidth="true" hidden="false" outlineLevel="0" max="6" min="6" style="16" width="9.14"/>
    <col collapsed="false" customWidth="true" hidden="false" outlineLevel="0" max="21" min="7" style="4" width="8.86"/>
    <col collapsed="false" customWidth="true" hidden="false" outlineLevel="0" max="22" min="22" style="4" width="7.29"/>
    <col collapsed="false" customWidth="true" hidden="false" outlineLevel="0" max="23" min="23" style="4" width="5.14"/>
    <col collapsed="false" customWidth="true" hidden="true" outlineLevel="0" max="32" min="24" style="4" width="5.14"/>
    <col collapsed="false" customWidth="true" hidden="true" outlineLevel="0" max="33" min="33" style="4" width="8.57"/>
    <col collapsed="false" customWidth="true" hidden="true" outlineLevel="0" max="34" min="34" style="4" width="2"/>
    <col collapsed="false" customWidth="true" hidden="true" outlineLevel="0" max="255" min="35" style="4" width="9.14"/>
    <col collapsed="false" customWidth="false" hidden="true" outlineLevel="0" max="1025" min="256" style="4" width="11.52"/>
  </cols>
  <sheetData>
    <row r="1" customFormat="false" ht="15" hidden="false" customHeight="false" outlineLevel="0" collapsed="false">
      <c r="A1" s="723"/>
      <c r="B1" s="724"/>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4"/>
      <c r="AG1" s="724"/>
      <c r="AH1" s="725"/>
    </row>
    <row r="2" customFormat="false" ht="37.5" hidden="false" customHeight="true" outlineLevel="0" collapsed="false">
      <c r="A2" s="111"/>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10"/>
    </row>
    <row r="3" customFormat="false" ht="28.5" hidden="false" customHeight="false" outlineLevel="0" collapsed="false">
      <c r="A3" s="384" t="s">
        <v>487</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c r="AD3" s="384"/>
      <c r="AE3" s="384"/>
      <c r="AF3" s="384"/>
      <c r="AG3" s="384"/>
      <c r="AH3" s="384"/>
    </row>
    <row r="4" customFormat="false" ht="15" hidden="false" customHeight="true" outlineLevel="0" collapsed="false">
      <c r="A4" s="330"/>
      <c r="B4" s="16"/>
      <c r="D4" s="16"/>
      <c r="E4" s="16"/>
      <c r="G4" s="16"/>
      <c r="H4" s="16"/>
      <c r="I4" s="16"/>
      <c r="J4" s="16"/>
      <c r="K4" s="16"/>
      <c r="L4" s="16"/>
      <c r="M4" s="16"/>
      <c r="N4" s="16"/>
      <c r="O4" s="16"/>
      <c r="P4" s="16"/>
      <c r="Q4" s="16"/>
      <c r="R4" s="16"/>
      <c r="S4" s="16"/>
      <c r="T4" s="16"/>
      <c r="U4" s="16"/>
      <c r="V4" s="16"/>
      <c r="W4" s="724"/>
      <c r="X4" s="724"/>
      <c r="Y4" s="724"/>
      <c r="Z4" s="724"/>
      <c r="AA4" s="724"/>
      <c r="AB4" s="724"/>
      <c r="AC4" s="724"/>
      <c r="AD4" s="724"/>
      <c r="AE4" s="724"/>
      <c r="AF4" s="724"/>
      <c r="AG4" s="724"/>
      <c r="AH4" s="725"/>
    </row>
    <row r="5" customFormat="false" ht="15" hidden="false" customHeight="false" outlineLevel="0" collapsed="false">
      <c r="A5" s="330"/>
      <c r="B5" s="726" t="s">
        <v>174</v>
      </c>
      <c r="C5" s="727"/>
      <c r="D5" s="728"/>
      <c r="E5" s="729" t="s">
        <v>488</v>
      </c>
      <c r="F5" s="729"/>
      <c r="G5" s="729"/>
      <c r="H5" s="729"/>
      <c r="I5" s="729"/>
      <c r="J5" s="729"/>
      <c r="K5" s="729"/>
      <c r="L5" s="729"/>
      <c r="M5" s="729"/>
      <c r="N5" s="729"/>
      <c r="O5" s="729"/>
      <c r="P5" s="729"/>
      <c r="Q5" s="729"/>
      <c r="R5" s="729"/>
      <c r="S5" s="729"/>
      <c r="T5" s="730"/>
      <c r="U5" s="16"/>
      <c r="V5" s="16"/>
      <c r="W5" s="16"/>
      <c r="X5" s="16"/>
      <c r="Y5" s="16"/>
      <c r="Z5" s="16"/>
      <c r="AA5" s="16"/>
      <c r="AB5" s="16"/>
      <c r="AC5" s="16"/>
      <c r="AD5" s="16"/>
      <c r="AE5" s="16"/>
      <c r="AF5" s="422"/>
    </row>
    <row r="6" customFormat="false" ht="15" hidden="false" customHeight="false" outlineLevel="0" collapsed="false">
      <c r="A6" s="330"/>
      <c r="B6" s="731" t="s">
        <v>298</v>
      </c>
      <c r="C6" s="727"/>
      <c r="D6" s="727"/>
      <c r="E6" s="749" t="s">
        <v>299</v>
      </c>
      <c r="F6" s="749" t="s">
        <v>300</v>
      </c>
      <c r="G6" s="749" t="s">
        <v>301</v>
      </c>
      <c r="H6" s="749" t="s">
        <v>302</v>
      </c>
      <c r="I6" s="749" t="s">
        <v>303</v>
      </c>
      <c r="J6" s="749" t="s">
        <v>304</v>
      </c>
      <c r="K6" s="749" t="s">
        <v>305</v>
      </c>
      <c r="L6" s="749" t="s">
        <v>306</v>
      </c>
      <c r="M6" s="749" t="s">
        <v>307</v>
      </c>
      <c r="N6" s="749" t="s">
        <v>308</v>
      </c>
      <c r="O6" s="749" t="s">
        <v>309</v>
      </c>
      <c r="P6" s="749" t="s">
        <v>310</v>
      </c>
      <c r="Q6" s="749" t="s">
        <v>311</v>
      </c>
      <c r="R6" s="749" t="s">
        <v>312</v>
      </c>
      <c r="S6" s="749" t="s">
        <v>313</v>
      </c>
      <c r="T6" s="749" t="s">
        <v>486</v>
      </c>
      <c r="U6" s="22"/>
      <c r="V6" s="16"/>
      <c r="W6" s="16"/>
      <c r="X6" s="16"/>
      <c r="Y6" s="16"/>
      <c r="Z6" s="16"/>
      <c r="AA6" s="16"/>
      <c r="AB6" s="16"/>
      <c r="AC6" s="16"/>
      <c r="AD6" s="16"/>
      <c r="AE6" s="16"/>
      <c r="AF6" s="422"/>
    </row>
    <row r="7" customFormat="false" ht="15" hidden="false" customHeight="false" outlineLevel="0" collapsed="false">
      <c r="A7" s="330"/>
      <c r="B7" s="736" t="n">
        <v>45</v>
      </c>
      <c r="C7" s="737"/>
      <c r="D7" s="737"/>
      <c r="E7" s="739" t="n">
        <f aca="false">AVERAGE('DAF Labour CPV'!G7)</f>
        <v>15.2383115879892</v>
      </c>
      <c r="F7" s="739" t="n">
        <f aca="false">AVERAGE('DAF Labour CPV'!H7)</f>
        <v>14.9681458449874</v>
      </c>
      <c r="G7" s="739" t="n">
        <f aca="false">AVERAGE('DAF Labour CPV'!I7)</f>
        <v>20.8479615201182</v>
      </c>
      <c r="H7" s="739" t="n">
        <f aca="false">AVERAGE('DAF Labour CPV'!J7)</f>
        <v>21.5612884386568</v>
      </c>
      <c r="I7" s="739" t="n">
        <f aca="false">AVERAGE('DAF Labour CPV'!K7)</f>
        <v>22.1034243249447</v>
      </c>
      <c r="J7" s="739" t="n">
        <f aca="false">AVERAGE('DAF Labour CPV'!L7)</f>
        <v>19.4440197707938</v>
      </c>
      <c r="K7" s="739" t="n">
        <f aca="false">AVERAGE('DAF Labour CPV'!M7)</f>
        <v>20.6592710064684</v>
      </c>
      <c r="L7" s="739" t="n">
        <f aca="false">AVERAGE('DAF Labour CPV'!N7)</f>
        <v>21.874522242143</v>
      </c>
      <c r="M7" s="739" t="n">
        <f aca="false">AVERAGE('DAF Labour CPV'!O7)</f>
        <v>23.0897734778176</v>
      </c>
      <c r="N7" s="739" t="n">
        <f aca="false">AVERAGE('DAF Labour CPV'!P7)</f>
        <v>24.3050247134923</v>
      </c>
      <c r="O7" s="739" t="n">
        <f aca="false">AVERAGE('DAF Labour CPV'!Q7)</f>
        <v>23.3328237249526</v>
      </c>
      <c r="P7" s="739" t="n">
        <f aca="false">AVERAGE('DAF Labour CPV'!R7)</f>
        <v>22.3606227364129</v>
      </c>
      <c r="Q7" s="739" t="n">
        <f aca="false">AVERAGE('DAF Labour CPV'!S7)</f>
        <v>21.3884217478732</v>
      </c>
      <c r="R7" s="739" t="n">
        <f aca="false">AVERAGE('DAF Labour CPV'!T7)</f>
        <v>20.4162207593335</v>
      </c>
      <c r="S7" s="739" t="n">
        <f aca="false">AVERAGE('DAF Labour CPV'!U7)</f>
        <v>19.4440197707938</v>
      </c>
      <c r="T7" s="750" t="n">
        <f aca="false">AVERAGE(E7:S7)</f>
        <v>20.7355901111185</v>
      </c>
      <c r="U7" s="22"/>
      <c r="V7" s="16"/>
      <c r="W7" s="16"/>
      <c r="X7" s="16"/>
      <c r="Y7" s="16"/>
      <c r="Z7" s="16"/>
      <c r="AA7" s="16"/>
      <c r="AB7" s="16"/>
      <c r="AC7" s="16"/>
      <c r="AD7" s="16"/>
      <c r="AE7" s="16"/>
      <c r="AF7" s="422"/>
    </row>
    <row r="8" customFormat="false" ht="15" hidden="false" customHeight="false" outlineLevel="0" collapsed="false">
      <c r="A8" s="330"/>
      <c r="B8" s="751" t="n">
        <v>55</v>
      </c>
      <c r="C8" s="741"/>
      <c r="D8" s="737"/>
      <c r="E8" s="739" t="n">
        <f aca="false">AVERAGE('DAF Labour CPV'!G8:G10)</f>
        <v>16.9986087394291</v>
      </c>
      <c r="F8" s="739" t="n">
        <f aca="false">AVERAGE('DAF Labour CPV'!H8:H10)</f>
        <v>12.0561370088575</v>
      </c>
      <c r="G8" s="739" t="n">
        <f aca="false">AVERAGE('DAF Labour CPV'!I8:I10)</f>
        <v>17.6996996680809</v>
      </c>
      <c r="H8" s="739" t="n">
        <f aca="false">AVERAGE('DAF Labour CPV'!J8:J10)</f>
        <v>20.080643964305</v>
      </c>
      <c r="I8" s="739" t="n">
        <f aca="false">AVERAGE('DAF Labour CPV'!K8:K10)</f>
        <v>23.0035447718281</v>
      </c>
      <c r="J8" s="739" t="n">
        <f aca="false">AVERAGE('DAF Labour CPV'!L8:L10)</f>
        <v>25.6563657368982</v>
      </c>
      <c r="K8" s="739" t="n">
        <f aca="false">AVERAGE('DAF Labour CPV'!M8:M10)</f>
        <v>27.2598885954543</v>
      </c>
      <c r="L8" s="739" t="n">
        <f aca="false">AVERAGE('DAF Labour CPV'!N8:N10)</f>
        <v>28.8634114540105</v>
      </c>
      <c r="M8" s="739" t="n">
        <f aca="false">AVERAGE('DAF Labour CPV'!O8:O10)</f>
        <v>30.4669343125666</v>
      </c>
      <c r="N8" s="739" t="n">
        <f aca="false">AVERAGE('DAF Labour CPV'!P8:P10)</f>
        <v>32.0704571711227</v>
      </c>
      <c r="O8" s="739" t="n">
        <f aca="false">AVERAGE('DAF Labour CPV'!Q8:Q10)</f>
        <v>30.7876388842778</v>
      </c>
      <c r="P8" s="739" t="n">
        <f aca="false">AVERAGE('DAF Labour CPV'!R8:R10)</f>
        <v>29.5048205974329</v>
      </c>
      <c r="Q8" s="739" t="n">
        <f aca="false">AVERAGE('DAF Labour CPV'!S8:S10)</f>
        <v>28.222002310588</v>
      </c>
      <c r="R8" s="739" t="n">
        <f aca="false">AVERAGE('DAF Labour CPV'!T8:T10)</f>
        <v>26.9391840237431</v>
      </c>
      <c r="S8" s="739" t="n">
        <f aca="false">AVERAGE('DAF Labour CPV'!U8:U10)</f>
        <v>25.6563657368982</v>
      </c>
      <c r="T8" s="750" t="n">
        <f aca="false">AVERAGE(E8:S8)</f>
        <v>25.0177135316995</v>
      </c>
      <c r="U8" s="22"/>
      <c r="V8" s="16"/>
      <c r="W8" s="16"/>
      <c r="X8" s="16"/>
      <c r="Y8" s="16"/>
      <c r="Z8" s="16"/>
      <c r="AA8" s="16"/>
      <c r="AB8" s="16"/>
      <c r="AC8" s="16"/>
      <c r="AD8" s="16"/>
      <c r="AE8" s="16"/>
      <c r="AF8" s="422"/>
    </row>
    <row r="9" customFormat="false" ht="15" hidden="false" customHeight="false" outlineLevel="0" collapsed="false">
      <c r="A9" s="330"/>
      <c r="B9" s="742" t="n">
        <v>65</v>
      </c>
      <c r="C9" s="737"/>
      <c r="D9" s="737"/>
      <c r="E9" s="739" t="n">
        <f aca="false">AVERAGE('DAF Labour CPV'!G11)</f>
        <v>14.3195282457734</v>
      </c>
      <c r="F9" s="739" t="n">
        <f aca="false">AVERAGE('DAF Labour CPV'!H11)</f>
        <v>10.3118006583512</v>
      </c>
      <c r="G9" s="739" t="n">
        <f aca="false">AVERAGE('DAF Labour CPV'!I11)</f>
        <v>17.0137079842762</v>
      </c>
      <c r="H9" s="739" t="n">
        <f aca="false">AVERAGE('DAF Labour CPV'!J11)</f>
        <v>19.4472344191443</v>
      </c>
      <c r="I9" s="739" t="n">
        <f aca="false">AVERAGE('DAF Labour CPV'!K11)</f>
        <v>22.4818385139518</v>
      </c>
      <c r="J9" s="739" t="n">
        <f aca="false">AVERAGE('DAF Labour CPV'!L11)</f>
        <v>25.9418875503964</v>
      </c>
      <c r="K9" s="739" t="n">
        <f aca="false">AVERAGE('DAF Labour CPV'!M11)</f>
        <v>27.5632555222962</v>
      </c>
      <c r="L9" s="739" t="n">
        <f aca="false">AVERAGE('DAF Labour CPV'!N11)</f>
        <v>29.184623494196</v>
      </c>
      <c r="M9" s="739" t="n">
        <f aca="false">AVERAGE('DAF Labour CPV'!O11)</f>
        <v>30.8059914660957</v>
      </c>
      <c r="N9" s="739" t="n">
        <f aca="false">AVERAGE('DAF Labour CPV'!P11)</f>
        <v>32.4273594379955</v>
      </c>
      <c r="O9" s="739" t="n">
        <f aca="false">AVERAGE('DAF Labour CPV'!Q11)</f>
        <v>31.1302650604757</v>
      </c>
      <c r="P9" s="739" t="n">
        <f aca="false">AVERAGE('DAF Labour CPV'!R11)</f>
        <v>29.8331706829559</v>
      </c>
      <c r="Q9" s="739" t="n">
        <f aca="false">AVERAGE('DAF Labour CPV'!S11)</f>
        <v>28.536076305436</v>
      </c>
      <c r="R9" s="739" t="n">
        <f aca="false">AVERAGE('DAF Labour CPV'!T11)</f>
        <v>27.2389819279162</v>
      </c>
      <c r="S9" s="739" t="n">
        <f aca="false">AVERAGE('DAF Labour CPV'!U11)</f>
        <v>25.9418875503964</v>
      </c>
      <c r="T9" s="750" t="n">
        <f aca="false">AVERAGE(E9:S9)</f>
        <v>24.8118405879771</v>
      </c>
      <c r="U9" s="22"/>
      <c r="V9" s="16"/>
      <c r="W9" s="16"/>
      <c r="X9" s="16"/>
      <c r="Y9" s="16"/>
      <c r="Z9" s="16"/>
      <c r="AA9" s="16"/>
      <c r="AB9" s="16"/>
      <c r="AC9" s="16"/>
      <c r="AD9" s="16"/>
      <c r="AE9" s="16"/>
      <c r="AF9" s="422"/>
    </row>
    <row r="10" customFormat="false" ht="15" hidden="false" customHeight="false" outlineLevel="0" collapsed="false">
      <c r="A10" s="330"/>
      <c r="B10" s="751" t="n">
        <v>75</v>
      </c>
      <c r="C10" s="741"/>
      <c r="D10" s="737"/>
      <c r="E10" s="739" t="n">
        <f aca="false">AVERAGE('DAF Labour CPV'!G12:G13,'DAF Labour CPV'!G15)</f>
        <v>17.6701671669334</v>
      </c>
      <c r="F10" s="739" t="n">
        <f aca="false">AVERAGE('DAF Labour CPV'!H12:H13,'DAF Labour CPV'!H15)</f>
        <v>13.4637580174599</v>
      </c>
      <c r="G10" s="739" t="n">
        <f aca="false">AVERAGE('DAF Labour CPV'!I12:I13,'DAF Labour CPV'!I15)</f>
        <v>21.3720544376262</v>
      </c>
      <c r="H10" s="739" t="n">
        <f aca="false">AVERAGE('DAF Labour CPV'!J12:J13,'DAF Labour CPV'!J15)</f>
        <v>25.1150646045948</v>
      </c>
      <c r="I10" s="739" t="n">
        <f aca="false">AVERAGE('DAF Labour CPV'!K12:K13,'DAF Labour CPV'!K15)</f>
        <v>31.0063273563227</v>
      </c>
      <c r="J10" s="739" t="n">
        <f aca="false">AVERAGE('DAF Labour CPV'!L12:L13,'DAF Labour CPV'!L15)</f>
        <v>31.0766872845416</v>
      </c>
      <c r="K10" s="739" t="n">
        <f aca="false">AVERAGE('DAF Labour CPV'!M12:M13,'DAF Labour CPV'!M15)</f>
        <v>33.0189802398255</v>
      </c>
      <c r="L10" s="739" t="n">
        <f aca="false">AVERAGE('DAF Labour CPV'!N12:N13,'DAF Labour CPV'!N15)</f>
        <v>34.9612731951093</v>
      </c>
      <c r="M10" s="739" t="n">
        <f aca="false">AVERAGE('DAF Labour CPV'!O12:O13,'DAF Labour CPV'!O15)</f>
        <v>36.9035661503932</v>
      </c>
      <c r="N10" s="739" t="n">
        <f aca="false">AVERAGE('DAF Labour CPV'!P12:P13,'DAF Labour CPV'!P15)</f>
        <v>38.8458591056771</v>
      </c>
      <c r="O10" s="739" t="n">
        <f aca="false">AVERAGE('DAF Labour CPV'!Q12:Q13,'DAF Labour CPV'!Q15)</f>
        <v>37.29202474145</v>
      </c>
      <c r="P10" s="739" t="n">
        <f aca="false">AVERAGE('DAF Labour CPV'!R12:R13,'DAF Labour CPV'!R15)</f>
        <v>35.7381903772229</v>
      </c>
      <c r="Q10" s="739" t="n">
        <f aca="false">AVERAGE('DAF Labour CPV'!S12:S13,'DAF Labour CPV'!S15)</f>
        <v>34.1843560129958</v>
      </c>
      <c r="R10" s="739" t="n">
        <f aca="false">AVERAGE('DAF Labour CPV'!T12:T13,'DAF Labour CPV'!T15)</f>
        <v>32.6305216487687</v>
      </c>
      <c r="S10" s="739" t="n">
        <f aca="false">AVERAGE('DAF Labour CPV'!U12:U13,'DAF Labour CPV'!U15)</f>
        <v>31.0766872845416</v>
      </c>
      <c r="T10" s="750" t="n">
        <f aca="false">AVERAGE(E10:S10)</f>
        <v>30.2903678415642</v>
      </c>
      <c r="U10" s="22"/>
      <c r="V10" s="16"/>
      <c r="W10" s="16"/>
      <c r="X10" s="16"/>
      <c r="Y10" s="16"/>
      <c r="Z10" s="16"/>
      <c r="AA10" s="16"/>
      <c r="AB10" s="16"/>
      <c r="AC10" s="16"/>
      <c r="AD10" s="16"/>
      <c r="AE10" s="16"/>
      <c r="AF10" s="422"/>
    </row>
    <row r="11" customFormat="false" ht="15" hidden="false" customHeight="false" outlineLevel="0" collapsed="false">
      <c r="A11" s="330"/>
      <c r="B11" s="751" t="n">
        <v>85</v>
      </c>
      <c r="C11" s="741"/>
      <c r="D11" s="737"/>
      <c r="E11" s="739" t="n">
        <f aca="false">AVERAGE('DAF Labour CPV'!G16:G17,'DAF Labour CPV'!G19:G20)</f>
        <v>20.2016259033186</v>
      </c>
      <c r="F11" s="739" t="n">
        <f aca="false">AVERAGE('DAF Labour CPV'!H16:H17,'DAF Labour CPV'!H19:H20)</f>
        <v>25.4676029013915</v>
      </c>
      <c r="G11" s="739" t="n">
        <f aca="false">AVERAGE('DAF Labour CPV'!I16:I17,'DAF Labour CPV'!I19:I20)</f>
        <v>30.408083522921</v>
      </c>
      <c r="H11" s="739" t="n">
        <f aca="false">AVERAGE('DAF Labour CPV'!J16:J17,'DAF Labour CPV'!J19:J20)</f>
        <v>31.1716300976131</v>
      </c>
      <c r="I11" s="739" t="n">
        <f aca="false">AVERAGE('DAF Labour CPV'!K16:K17,'DAF Labour CPV'!K19:K20)</f>
        <v>35.9898988454979</v>
      </c>
      <c r="J11" s="739" t="n">
        <f aca="false">AVERAGE('DAF Labour CPV'!L16:L17,'DAF Labour CPV'!L19:L20)</f>
        <v>39.4267668627916</v>
      </c>
      <c r="K11" s="739" t="n">
        <f aca="false">AVERAGE('DAF Labour CPV'!M16:M17,'DAF Labour CPV'!M19:M20)</f>
        <v>41.8909397917161</v>
      </c>
      <c r="L11" s="739" t="n">
        <f aca="false">AVERAGE('DAF Labour CPV'!N16:N17,'DAF Labour CPV'!N19:N20)</f>
        <v>44.3551127206405</v>
      </c>
      <c r="M11" s="739" t="n">
        <f aca="false">AVERAGE('DAF Labour CPV'!O16:O17,'DAF Labour CPV'!O19:O20)</f>
        <v>46.819285649565</v>
      </c>
      <c r="N11" s="739" t="n">
        <f aca="false">AVERAGE('DAF Labour CPV'!P16:P17,'DAF Labour CPV'!P19:P20)</f>
        <v>49.2834585784895</v>
      </c>
      <c r="O11" s="739" t="n">
        <f aca="false">AVERAGE('DAF Labour CPV'!Q16:Q17,'DAF Labour CPV'!Q19:Q20)</f>
        <v>47.3121202353499</v>
      </c>
      <c r="P11" s="739" t="n">
        <f aca="false">AVERAGE('DAF Labour CPV'!R16:R17,'DAF Labour CPV'!R19:R20)</f>
        <v>45.3407818922103</v>
      </c>
      <c r="Q11" s="739" t="n">
        <f aca="false">AVERAGE('DAF Labour CPV'!S16:S17,'DAF Labour CPV'!S19:S20)</f>
        <v>43.3694435490708</v>
      </c>
      <c r="R11" s="739" t="n">
        <f aca="false">AVERAGE('DAF Labour CPV'!T16:T17,'DAF Labour CPV'!T19:T20)</f>
        <v>41.3981052059312</v>
      </c>
      <c r="S11" s="739" t="n">
        <f aca="false">AVERAGE('DAF Labour CPV'!U16:U17,'DAF Labour CPV'!U19:U20)</f>
        <v>39.4267668627916</v>
      </c>
      <c r="T11" s="750" t="n">
        <f aca="false">AVERAGE(E11:S11)</f>
        <v>38.7907748412866</v>
      </c>
      <c r="U11" s="22"/>
      <c r="V11" s="16"/>
      <c r="W11" s="16"/>
      <c r="X11" s="16"/>
      <c r="Y11" s="16"/>
      <c r="Z11" s="16"/>
      <c r="AA11" s="16"/>
      <c r="AB11" s="16"/>
      <c r="AC11" s="16"/>
      <c r="AD11" s="16"/>
      <c r="AE11" s="16"/>
      <c r="AF11" s="422"/>
    </row>
    <row r="12" customFormat="false" ht="15" hidden="false" customHeight="false" outlineLevel="0" collapsed="false">
      <c r="A12" s="330"/>
      <c r="B12" s="751" t="n">
        <v>95</v>
      </c>
      <c r="C12" s="741"/>
      <c r="D12" s="737"/>
      <c r="E12" s="739" t="n">
        <f aca="false">AVERAGE('DAF Labour CPV'!G21:G22,'DAF Labour CPV'!G24:G25)</f>
        <v>22.4087002266671</v>
      </c>
      <c r="F12" s="739" t="n">
        <f aca="false">AVERAGE('DAF Labour CPV'!H21:H22,'DAF Labour CPV'!H24:H25)</f>
        <v>21.4392317654002</v>
      </c>
      <c r="G12" s="739" t="n">
        <f aca="false">AVERAGE('DAF Labour CPV'!I21:I22,'DAF Labour CPV'!I24:I25)</f>
        <v>31.4949521473753</v>
      </c>
      <c r="H12" s="739" t="n">
        <f aca="false">AVERAGE('DAF Labour CPV'!J21:J22,'DAF Labour CPV'!J24:J25)</f>
        <v>35.2809825807254</v>
      </c>
      <c r="I12" s="739" t="n">
        <f aca="false">AVERAGE('DAF Labour CPV'!K21:K22,'DAF Labour CPV'!K24:K25)</f>
        <v>33.2804665645842</v>
      </c>
      <c r="J12" s="739" t="n">
        <f aca="false">AVERAGE('DAF Labour CPV'!L21:L22,'DAF Labour CPV'!L24:L25)</f>
        <v>30.3116098222783</v>
      </c>
      <c r="K12" s="739" t="n">
        <f aca="false">AVERAGE('DAF Labour CPV'!M21:M22,'DAF Labour CPV'!M24:M25)</f>
        <v>32.2060854361707</v>
      </c>
      <c r="L12" s="739" t="n">
        <f aca="false">AVERAGE('DAF Labour CPV'!N21:N22,'DAF Labour CPV'!N24:N25)</f>
        <v>34.1005610500631</v>
      </c>
      <c r="M12" s="739" t="n">
        <f aca="false">AVERAGE('DAF Labour CPV'!O21:O22,'DAF Labour CPV'!O24:O25)</f>
        <v>35.9950366639554</v>
      </c>
      <c r="N12" s="739" t="n">
        <f aca="false">AVERAGE('DAF Labour CPV'!P21:P22,'DAF Labour CPV'!P24:P25)</f>
        <v>37.8895122778478</v>
      </c>
      <c r="O12" s="739" t="n">
        <f aca="false">AVERAGE('DAF Labour CPV'!Q21:Q22,'DAF Labour CPV'!Q24:Q25)</f>
        <v>36.3739317867339</v>
      </c>
      <c r="P12" s="739" t="n">
        <f aca="false">AVERAGE('DAF Labour CPV'!R21:R22,'DAF Labour CPV'!R24:R25)</f>
        <v>34.85835129562</v>
      </c>
      <c r="Q12" s="739" t="n">
        <f aca="false">AVERAGE('DAF Labour CPV'!S21:S22,'DAF Labour CPV'!S24:S25)</f>
        <v>33.3427708045061</v>
      </c>
      <c r="R12" s="739" t="n">
        <f aca="false">AVERAGE('DAF Labour CPV'!T21:T22,'DAF Labour CPV'!T24:T25)</f>
        <v>31.8271903133922</v>
      </c>
      <c r="S12" s="739" t="n">
        <f aca="false">AVERAGE('DAF Labour CPV'!U21:U22,'DAF Labour CPV'!U24:U25)</f>
        <v>30.3116098222783</v>
      </c>
      <c r="T12" s="750" t="n">
        <f aca="false">AVERAGE(E12:S12)</f>
        <v>32.0747328371732</v>
      </c>
      <c r="U12" s="22"/>
      <c r="V12" s="16"/>
      <c r="W12" s="16"/>
      <c r="X12" s="16"/>
      <c r="Y12" s="16"/>
      <c r="Z12" s="16"/>
      <c r="AA12" s="16"/>
      <c r="AB12" s="16"/>
      <c r="AC12" s="16"/>
      <c r="AD12" s="16"/>
      <c r="AE12" s="16"/>
      <c r="AF12" s="422"/>
    </row>
    <row r="13" customFormat="false" ht="15" hidden="false" customHeight="false" outlineLevel="0" collapsed="false">
      <c r="A13" s="330"/>
      <c r="B13" s="751" t="n">
        <v>105</v>
      </c>
      <c r="C13" s="741"/>
      <c r="D13" s="737"/>
      <c r="E13" s="739" t="n">
        <f aca="false">AVERAGE('DAF Labour CPV'!G27:G28,'DAF Labour CPV'!G30:G31)</f>
        <v>28.3242325585374</v>
      </c>
      <c r="F13" s="739" t="n">
        <f aca="false">AVERAGE('DAF Labour CPV'!H27:H28,'DAF Labour CPV'!H30:H31)</f>
        <v>21.2434601847654</v>
      </c>
      <c r="G13" s="739" t="n">
        <f aca="false">AVERAGE('DAF Labour CPV'!I27:I28,'DAF Labour CPV'!I30:I31)</f>
        <v>20.1277665965122</v>
      </c>
      <c r="H13" s="739" t="n">
        <f aca="false">AVERAGE('DAF Labour CPV'!J27:J28,'DAF Labour CPV'!J30:J31)</f>
        <v>35.2809825807254</v>
      </c>
      <c r="I13" s="739" t="n">
        <f aca="false">AVERAGE('DAF Labour CPV'!K27:K28,'DAF Labour CPV'!K30:K31)</f>
        <v>33.2804665645842</v>
      </c>
      <c r="J13" s="739" t="n">
        <f aca="false">AVERAGE('DAF Labour CPV'!L27:L28,'DAF Labour CPV'!L30:L31)</f>
        <v>30.3116098222783</v>
      </c>
      <c r="K13" s="739" t="n">
        <f aca="false">AVERAGE('DAF Labour CPV'!M27:M28,'DAF Labour CPV'!M30:M31)</f>
        <v>32.2060854361707</v>
      </c>
      <c r="L13" s="739" t="n">
        <f aca="false">AVERAGE('DAF Labour CPV'!N27:N28,'DAF Labour CPV'!N30:N31)</f>
        <v>34.1005610500631</v>
      </c>
      <c r="M13" s="739" t="n">
        <f aca="false">AVERAGE('DAF Labour CPV'!O27:O28,'DAF Labour CPV'!O30:O31)</f>
        <v>35.9950366639554</v>
      </c>
      <c r="N13" s="739" t="n">
        <f aca="false">AVERAGE('DAF Labour CPV'!P27:P28,'DAF Labour CPV'!P30:P31)</f>
        <v>37.8895122778478</v>
      </c>
      <c r="O13" s="739" t="n">
        <f aca="false">AVERAGE('DAF Labour CPV'!Q27:Q28,'DAF Labour CPV'!Q30:Q31)</f>
        <v>36.3739317867339</v>
      </c>
      <c r="P13" s="739" t="n">
        <f aca="false">AVERAGE('DAF Labour CPV'!R27:R28,'DAF Labour CPV'!R30:R31)</f>
        <v>34.85835129562</v>
      </c>
      <c r="Q13" s="739" t="n">
        <f aca="false">AVERAGE('DAF Labour CPV'!S27:S28,'DAF Labour CPV'!S30:S31)</f>
        <v>33.3427708045061</v>
      </c>
      <c r="R13" s="739" t="n">
        <f aca="false">AVERAGE('DAF Labour CPV'!T27:T28,'DAF Labour CPV'!T30:T31)</f>
        <v>31.8271903133922</v>
      </c>
      <c r="S13" s="739" t="n">
        <f aca="false">AVERAGE('DAF Labour CPV'!U27:U28,'DAF Labour CPV'!U30:U31)</f>
        <v>30.3116098222783</v>
      </c>
      <c r="T13" s="750" t="n">
        <f aca="false">AVERAGE(E13:S13)</f>
        <v>31.6982378505314</v>
      </c>
      <c r="U13" s="22"/>
      <c r="V13" s="16"/>
      <c r="W13" s="16"/>
      <c r="X13" s="16"/>
      <c r="Y13" s="16"/>
      <c r="Z13" s="16"/>
      <c r="AA13" s="16"/>
      <c r="AB13" s="16"/>
      <c r="AC13" s="16"/>
      <c r="AD13" s="16"/>
      <c r="AE13" s="16"/>
      <c r="AF13" s="422"/>
    </row>
    <row r="14" customFormat="false" ht="15" hidden="false" customHeight="true" outlineLevel="0" collapsed="false">
      <c r="A14" s="330"/>
      <c r="B14" s="743" t="s">
        <v>486</v>
      </c>
      <c r="C14" s="744"/>
      <c r="D14" s="744"/>
      <c r="E14" s="752" t="n">
        <f aca="false">AVERAGE(E7:E13)</f>
        <v>19.3087392040926</v>
      </c>
      <c r="F14" s="752" t="n">
        <f aca="false">AVERAGE(F7:F13)</f>
        <v>16.9928766258876</v>
      </c>
      <c r="G14" s="752" t="n">
        <f aca="false">AVERAGE(G7:G13)</f>
        <v>22.7091751252728</v>
      </c>
      <c r="H14" s="752" t="n">
        <f aca="false">AVERAGE(H7:H13)</f>
        <v>26.8482609551093</v>
      </c>
      <c r="I14" s="752" t="n">
        <f aca="false">AVERAGE(I7:I13)</f>
        <v>28.7351381345305</v>
      </c>
      <c r="J14" s="752" t="n">
        <f aca="false">AVERAGE(J7:J13)</f>
        <v>28.8812781214255</v>
      </c>
      <c r="K14" s="752" t="n">
        <f aca="false">AVERAGE(K7:K13)</f>
        <v>30.6863580040145</v>
      </c>
      <c r="L14" s="752" t="n">
        <f aca="false">AVERAGE(L7:L13)</f>
        <v>32.4914378866036</v>
      </c>
      <c r="M14" s="752" t="n">
        <f aca="false">AVERAGE(M7:M13)</f>
        <v>34.2965177691927</v>
      </c>
      <c r="N14" s="752" t="n">
        <f aca="false">AVERAGE(N7:N13)</f>
        <v>36.1015976517818</v>
      </c>
      <c r="O14" s="752" t="n">
        <f aca="false">AVERAGE(O7:O13)</f>
        <v>34.6575337457105</v>
      </c>
      <c r="P14" s="752" t="n">
        <f aca="false">AVERAGE(P7:P13)</f>
        <v>33.2134698396393</v>
      </c>
      <c r="Q14" s="752" t="n">
        <f aca="false">AVERAGE(Q7:Q13)</f>
        <v>31.769405933568</v>
      </c>
      <c r="R14" s="752" t="n">
        <f aca="false">AVERAGE(R7:R13)</f>
        <v>30.3253420274967</v>
      </c>
      <c r="S14" s="752" t="n">
        <f aca="false">AVERAGE(S7:S13)</f>
        <v>28.8812781214255</v>
      </c>
      <c r="T14" s="750" t="n">
        <f aca="false">AVERAGE(E14:S14)</f>
        <v>29.0598939430501</v>
      </c>
      <c r="U14" s="22"/>
      <c r="V14" s="16"/>
      <c r="W14" s="16"/>
      <c r="X14" s="16"/>
      <c r="Y14" s="16"/>
      <c r="Z14" s="16"/>
      <c r="AA14" s="16"/>
      <c r="AB14" s="16"/>
      <c r="AC14" s="16"/>
      <c r="AD14" s="16"/>
      <c r="AE14" s="16"/>
      <c r="AF14" s="422"/>
    </row>
    <row r="15" customFormat="false" ht="15" hidden="false" customHeight="false" outlineLevel="0" collapsed="false">
      <c r="A15" s="111"/>
      <c r="B15" s="106"/>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10"/>
    </row>
    <row r="16" customFormat="false" ht="15" hidden="true" customHeight="false" outlineLevel="0" collapsed="false">
      <c r="A16" s="330"/>
      <c r="B16" s="16"/>
      <c r="D16" s="16"/>
      <c r="E16" s="16"/>
      <c r="G16" s="16"/>
      <c r="H16" s="16"/>
      <c r="I16" s="16"/>
      <c r="J16" s="16"/>
      <c r="K16" s="16"/>
      <c r="L16" s="16"/>
      <c r="M16" s="16"/>
      <c r="N16" s="16"/>
      <c r="O16" s="16"/>
      <c r="P16" s="16"/>
      <c r="Q16" s="16"/>
      <c r="R16" s="16"/>
      <c r="S16" s="16"/>
      <c r="T16" s="16"/>
      <c r="U16" s="16"/>
      <c r="V16" s="16"/>
      <c r="W16" s="22"/>
      <c r="X16" s="22"/>
      <c r="Y16" s="22"/>
      <c r="Z16" s="22"/>
      <c r="AA16" s="22"/>
      <c r="AB16" s="22"/>
      <c r="AC16" s="22"/>
      <c r="AD16" s="22"/>
      <c r="AE16" s="22"/>
      <c r="AF16" s="22"/>
      <c r="AG16" s="22"/>
      <c r="AH16" s="22"/>
    </row>
    <row r="17" customFormat="false" ht="15" hidden="true" customHeight="false" outlineLevel="0" collapsed="false">
      <c r="A17" s="111"/>
      <c r="B17" s="106"/>
      <c r="D17" s="106"/>
      <c r="E17" s="106"/>
      <c r="G17" s="106"/>
      <c r="H17" s="106"/>
      <c r="I17" s="106"/>
      <c r="J17" s="106"/>
      <c r="K17" s="106"/>
      <c r="L17" s="106"/>
      <c r="M17" s="106"/>
      <c r="N17" s="106"/>
      <c r="O17" s="106"/>
      <c r="P17" s="106"/>
      <c r="Q17" s="106"/>
      <c r="R17" s="106"/>
      <c r="S17" s="106"/>
      <c r="T17" s="106"/>
      <c r="U17" s="106"/>
      <c r="V17" s="106"/>
      <c r="W17" s="22"/>
      <c r="X17" s="22"/>
      <c r="Y17" s="22"/>
      <c r="Z17" s="22"/>
      <c r="AA17" s="22"/>
      <c r="AB17" s="22"/>
      <c r="AC17" s="22"/>
      <c r="AD17" s="22"/>
      <c r="AE17" s="22"/>
      <c r="AF17" s="22"/>
      <c r="AG17" s="22"/>
      <c r="AH17" s="22"/>
    </row>
    <row r="18" customFormat="false" ht="15" hidden="true" customHeight="false" outlineLevel="0" collapsed="false">
      <c r="A18" s="22"/>
      <c r="R18" s="22"/>
      <c r="S18" s="22"/>
      <c r="T18" s="22"/>
      <c r="U18" s="22"/>
      <c r="V18" s="22"/>
      <c r="W18" s="22"/>
      <c r="X18" s="22"/>
      <c r="Y18" s="22"/>
      <c r="Z18" s="22"/>
      <c r="AA18" s="22"/>
      <c r="AB18" s="22"/>
      <c r="AC18" s="22"/>
      <c r="AD18" s="22"/>
      <c r="AE18" s="22"/>
      <c r="AF18" s="22"/>
      <c r="AG18" s="22"/>
      <c r="AH18" s="22"/>
    </row>
    <row r="19" customFormat="false" ht="15" hidden="true" customHeight="false" outlineLevel="0" collapsed="false">
      <c r="A19" s="22"/>
      <c r="R19" s="22"/>
      <c r="S19" s="22"/>
      <c r="T19" s="22"/>
      <c r="U19" s="22"/>
      <c r="V19" s="22"/>
      <c r="W19" s="22"/>
      <c r="X19" s="22"/>
      <c r="Y19" s="22"/>
      <c r="Z19" s="22"/>
      <c r="AA19" s="22"/>
      <c r="AB19" s="22"/>
      <c r="AC19" s="22"/>
      <c r="AD19" s="22"/>
      <c r="AE19" s="22"/>
      <c r="AF19" s="22"/>
      <c r="AG19" s="22"/>
      <c r="AH19" s="22"/>
    </row>
    <row r="20" customFormat="false" ht="15" hidden="true" customHeight="false" outlineLevel="0" collapsed="false">
      <c r="A20" s="22"/>
      <c r="R20" s="22"/>
      <c r="S20" s="22"/>
      <c r="T20" s="22"/>
      <c r="U20" s="22"/>
      <c r="V20" s="22"/>
      <c r="W20" s="22"/>
      <c r="X20" s="22"/>
      <c r="Y20" s="22"/>
      <c r="Z20" s="22"/>
      <c r="AA20" s="22"/>
      <c r="AB20" s="22"/>
      <c r="AC20" s="22"/>
      <c r="AD20" s="22"/>
      <c r="AE20" s="22"/>
      <c r="AF20" s="22"/>
      <c r="AG20" s="22"/>
      <c r="AH20" s="22"/>
    </row>
    <row r="21" customFormat="false" ht="15" hidden="true" customHeight="false" outlineLevel="0" collapsed="false">
      <c r="A21" s="22"/>
      <c r="R21" s="22"/>
      <c r="S21" s="22"/>
      <c r="T21" s="22"/>
      <c r="U21" s="22"/>
      <c r="V21" s="22"/>
      <c r="W21" s="22"/>
      <c r="X21" s="22"/>
      <c r="Y21" s="22"/>
      <c r="Z21" s="22"/>
      <c r="AA21" s="22"/>
      <c r="AB21" s="22"/>
      <c r="AC21" s="22"/>
      <c r="AD21" s="22"/>
      <c r="AE21" s="22"/>
      <c r="AF21" s="22"/>
      <c r="AG21" s="22"/>
      <c r="AH21" s="22"/>
    </row>
    <row r="22" customFormat="false" ht="15" hidden="true" customHeight="false" outlineLevel="0" collapsed="false">
      <c r="A22" s="22"/>
      <c r="R22" s="22"/>
      <c r="S22" s="22"/>
      <c r="T22" s="22"/>
      <c r="U22" s="22"/>
      <c r="V22" s="22"/>
      <c r="W22" s="22"/>
      <c r="X22" s="22"/>
      <c r="Y22" s="22"/>
      <c r="Z22" s="22"/>
      <c r="AA22" s="22"/>
      <c r="AB22" s="22"/>
      <c r="AC22" s="22"/>
      <c r="AD22" s="22"/>
      <c r="AE22" s="22"/>
      <c r="AF22" s="22"/>
      <c r="AG22" s="22"/>
      <c r="AH22" s="22"/>
    </row>
    <row r="23" customFormat="false" ht="15" hidden="true" customHeight="false" outlineLevel="0" collapsed="false">
      <c r="A23" s="22"/>
      <c r="R23" s="22"/>
      <c r="S23" s="22"/>
      <c r="T23" s="22"/>
      <c r="U23" s="22"/>
      <c r="V23" s="22"/>
      <c r="W23" s="22"/>
      <c r="X23" s="22"/>
      <c r="Y23" s="22"/>
      <c r="Z23" s="22"/>
      <c r="AA23" s="22"/>
      <c r="AB23" s="22"/>
      <c r="AC23" s="22"/>
      <c r="AD23" s="22"/>
      <c r="AE23" s="22"/>
      <c r="AF23" s="22"/>
      <c r="AG23" s="22"/>
      <c r="AH23" s="22"/>
    </row>
    <row r="24" customFormat="false" ht="15" hidden="true" customHeight="false" outlineLevel="0" collapsed="false">
      <c r="A24" s="22"/>
      <c r="R24" s="22"/>
      <c r="S24" s="22"/>
      <c r="T24" s="22"/>
      <c r="U24" s="22"/>
      <c r="V24" s="22"/>
      <c r="W24" s="22"/>
      <c r="X24" s="22"/>
      <c r="Y24" s="22"/>
      <c r="Z24" s="22"/>
      <c r="AA24" s="22"/>
      <c r="AB24" s="22"/>
      <c r="AC24" s="22"/>
      <c r="AD24" s="22"/>
      <c r="AE24" s="22"/>
      <c r="AF24" s="22"/>
      <c r="AG24" s="22"/>
      <c r="AH24" s="22"/>
    </row>
    <row r="25" customFormat="false" ht="15" hidden="true" customHeight="false" outlineLevel="0" collapsed="false">
      <c r="A25" s="22"/>
      <c r="R25" s="22"/>
      <c r="S25" s="22"/>
      <c r="T25" s="22"/>
      <c r="U25" s="22"/>
      <c r="V25" s="22"/>
      <c r="W25" s="22"/>
      <c r="X25" s="22"/>
      <c r="Y25" s="22"/>
      <c r="Z25" s="22"/>
      <c r="AA25" s="22"/>
      <c r="AB25" s="22"/>
      <c r="AC25" s="22"/>
      <c r="AD25" s="22"/>
      <c r="AE25" s="22"/>
      <c r="AF25" s="22"/>
      <c r="AG25" s="22"/>
      <c r="AH25" s="22"/>
    </row>
    <row r="26" customFormat="false" ht="15" hidden="true" customHeight="false" outlineLevel="0" collapsed="false">
      <c r="A26" s="22"/>
      <c r="R26" s="22"/>
      <c r="S26" s="22"/>
      <c r="T26" s="22"/>
      <c r="U26" s="22"/>
      <c r="V26" s="22"/>
      <c r="W26" s="22"/>
      <c r="X26" s="22"/>
      <c r="Y26" s="22"/>
      <c r="Z26" s="22"/>
      <c r="AA26" s="22"/>
      <c r="AB26" s="22"/>
      <c r="AC26" s="22"/>
      <c r="AD26" s="22"/>
      <c r="AE26" s="22"/>
      <c r="AF26" s="22"/>
      <c r="AG26" s="22"/>
      <c r="AH26" s="22"/>
    </row>
    <row r="27" customFormat="false" ht="15" hidden="true" customHeight="false" outlineLevel="0" collapsed="false">
      <c r="A27" s="22"/>
      <c r="R27" s="22"/>
      <c r="S27" s="22"/>
      <c r="T27" s="22"/>
      <c r="U27" s="22"/>
      <c r="V27" s="22"/>
      <c r="W27" s="22"/>
      <c r="X27" s="22"/>
      <c r="Y27" s="22"/>
      <c r="Z27" s="22"/>
      <c r="AA27" s="22"/>
      <c r="AB27" s="22"/>
      <c r="AC27" s="22"/>
      <c r="AD27" s="22"/>
      <c r="AE27" s="22"/>
      <c r="AF27" s="22"/>
      <c r="AG27" s="22"/>
      <c r="AH27" s="22"/>
    </row>
  </sheetData>
  <mergeCells count="3">
    <mergeCell ref="A3:W3"/>
    <mergeCell ref="X3:AH3"/>
    <mergeCell ref="E5:S5"/>
  </mergeCells>
  <printOptions headings="false" gridLines="fals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drawing r:id="rId1"/>
</worksheet>
</file>

<file path=xl/worksheets/sheet33.xml><?xml version="1.0" encoding="utf-8"?>
<worksheet xmlns="http://schemas.openxmlformats.org/spreadsheetml/2006/main" xmlns:r="http://schemas.openxmlformats.org/officeDocument/2006/relationships">
  <sheetPr filterMode="false">
    <pageSetUpPr fitToPage="false"/>
  </sheetPr>
  <dimension ref="A1:AH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10" activeCellId="0" sqref="L10"/>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5.43"/>
    <col collapsed="false" customWidth="true" hidden="false" outlineLevel="0" max="6" min="6" style="16" width="2.71"/>
    <col collapsed="false" customWidth="true" hidden="false" outlineLevel="0" max="21" min="7" style="4" width="8.86"/>
    <col collapsed="false" customWidth="true" hidden="false" outlineLevel="0" max="22" min="22" style="4" width="7.29"/>
    <col collapsed="false" customWidth="true" hidden="false" outlineLevel="0" max="23" min="23" style="4" width="5.14"/>
    <col collapsed="false" customWidth="true" hidden="true" outlineLevel="0" max="32" min="24" style="4" width="5.14"/>
    <col collapsed="false" customWidth="true" hidden="true" outlineLevel="0" max="33" min="33" style="4" width="8.57"/>
    <col collapsed="false" customWidth="true" hidden="true" outlineLevel="0" max="34" min="34" style="4" width="2"/>
    <col collapsed="false" customWidth="true" hidden="true" outlineLevel="0" max="255" min="35" style="4" width="9.14"/>
    <col collapsed="false" customWidth="false" hidden="true" outlineLevel="0" max="1025" min="256" style="4" width="11.52"/>
  </cols>
  <sheetData>
    <row r="1" customFormat="false" ht="15" hidden="false" customHeight="false" outlineLevel="0" collapsed="false">
      <c r="A1" s="723"/>
      <c r="B1" s="724"/>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4"/>
      <c r="AG1" s="724"/>
      <c r="AH1" s="725"/>
    </row>
    <row r="2" customFormat="false" ht="37.5" hidden="false" customHeight="true" outlineLevel="0" collapsed="false">
      <c r="A2" s="111"/>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10"/>
    </row>
    <row r="3" customFormat="false" ht="27.6" hidden="false" customHeight="true" outlineLevel="0" collapsed="false">
      <c r="A3" s="384" t="s">
        <v>489</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c r="AD3" s="384"/>
      <c r="AE3" s="384"/>
      <c r="AF3" s="384"/>
      <c r="AG3" s="384"/>
      <c r="AH3" s="384"/>
    </row>
    <row r="4" customFormat="false" ht="15" hidden="false" customHeight="true" outlineLevel="0" collapsed="false">
      <c r="A4" s="330"/>
      <c r="B4" s="16"/>
      <c r="D4" s="16"/>
      <c r="E4" s="16"/>
      <c r="G4" s="16"/>
      <c r="H4" s="16"/>
      <c r="I4" s="16"/>
      <c r="J4" s="16"/>
      <c r="K4" s="16"/>
      <c r="L4" s="16"/>
      <c r="M4" s="16"/>
      <c r="N4" s="16"/>
      <c r="O4" s="16"/>
      <c r="P4" s="16"/>
      <c r="Q4" s="16"/>
      <c r="R4" s="16"/>
      <c r="S4" s="16"/>
      <c r="T4" s="16"/>
      <c r="U4" s="16"/>
      <c r="V4" s="16"/>
      <c r="W4" s="724"/>
      <c r="X4" s="724"/>
      <c r="Y4" s="724"/>
      <c r="Z4" s="724"/>
      <c r="AA4" s="724"/>
      <c r="AB4" s="724"/>
      <c r="AC4" s="724"/>
      <c r="AD4" s="724"/>
      <c r="AE4" s="724"/>
      <c r="AF4" s="724"/>
      <c r="AG4" s="724"/>
      <c r="AH4" s="725"/>
    </row>
    <row r="5" customFormat="false" ht="15" hidden="false" customHeight="false" outlineLevel="0" collapsed="false">
      <c r="A5" s="330"/>
      <c r="B5" s="726" t="s">
        <v>174</v>
      </c>
      <c r="C5" s="727"/>
      <c r="D5" s="726" t="s">
        <v>481</v>
      </c>
      <c r="E5" s="726"/>
      <c r="F5" s="728"/>
      <c r="G5" s="729" t="s">
        <v>490</v>
      </c>
      <c r="H5" s="729"/>
      <c r="I5" s="729"/>
      <c r="J5" s="729"/>
      <c r="K5" s="729"/>
      <c r="L5" s="729"/>
      <c r="M5" s="729"/>
      <c r="N5" s="729"/>
      <c r="O5" s="729"/>
      <c r="P5" s="729"/>
      <c r="Q5" s="729"/>
      <c r="R5" s="729"/>
      <c r="S5" s="729"/>
      <c r="T5" s="729"/>
      <c r="U5" s="729"/>
      <c r="V5" s="730"/>
      <c r="W5" s="16"/>
      <c r="X5" s="16"/>
      <c r="Y5" s="16"/>
      <c r="Z5" s="16"/>
      <c r="AA5" s="16"/>
      <c r="AB5" s="16"/>
      <c r="AC5" s="16"/>
      <c r="AD5" s="16"/>
      <c r="AE5" s="16"/>
      <c r="AF5" s="16"/>
      <c r="AG5" s="16"/>
      <c r="AH5" s="422"/>
    </row>
    <row r="6" customFormat="false" ht="15" hidden="false" customHeight="false" outlineLevel="0" collapsed="false">
      <c r="A6" s="330"/>
      <c r="B6" s="731" t="s">
        <v>298</v>
      </c>
      <c r="C6" s="727"/>
      <c r="D6" s="732" t="s">
        <v>482</v>
      </c>
      <c r="E6" s="733" t="s">
        <v>483</v>
      </c>
      <c r="F6" s="727"/>
      <c r="G6" s="732" t="s">
        <v>299</v>
      </c>
      <c r="H6" s="734" t="s">
        <v>300</v>
      </c>
      <c r="I6" s="734" t="s">
        <v>301</v>
      </c>
      <c r="J6" s="734" t="s">
        <v>302</v>
      </c>
      <c r="K6" s="734" t="s">
        <v>303</v>
      </c>
      <c r="L6" s="734" t="s">
        <v>304</v>
      </c>
      <c r="M6" s="734" t="s">
        <v>305</v>
      </c>
      <c r="N6" s="734" t="s">
        <v>306</v>
      </c>
      <c r="O6" s="734" t="s">
        <v>307</v>
      </c>
      <c r="P6" s="734" t="s">
        <v>308</v>
      </c>
      <c r="Q6" s="734" t="s">
        <v>309</v>
      </c>
      <c r="R6" s="734" t="s">
        <v>310</v>
      </c>
      <c r="S6" s="734" t="s">
        <v>311</v>
      </c>
      <c r="T6" s="734" t="s">
        <v>312</v>
      </c>
      <c r="U6" s="734" t="s">
        <v>313</v>
      </c>
      <c r="V6" s="735"/>
      <c r="W6" s="22"/>
      <c r="X6" s="16"/>
      <c r="Y6" s="16"/>
      <c r="Z6" s="16"/>
      <c r="AA6" s="16"/>
      <c r="AB6" s="16"/>
      <c r="AC6" s="16"/>
      <c r="AD6" s="16"/>
      <c r="AE6" s="16"/>
      <c r="AF6" s="16"/>
      <c r="AG6" s="16"/>
      <c r="AH6" s="422"/>
    </row>
    <row r="7" customFormat="false" ht="15" hidden="false" customHeight="false" outlineLevel="0" collapsed="false">
      <c r="A7" s="330"/>
      <c r="B7" s="736" t="n">
        <v>45</v>
      </c>
      <c r="C7" s="737"/>
      <c r="D7" s="738" t="s">
        <v>484</v>
      </c>
      <c r="E7" s="738" t="n">
        <v>2</v>
      </c>
      <c r="F7" s="737"/>
      <c r="G7" s="753" t="n">
        <v>98.22</v>
      </c>
      <c r="H7" s="753" t="n">
        <v>144.624</v>
      </c>
      <c r="I7" s="753" t="n">
        <v>123.684</v>
      </c>
      <c r="J7" s="753" t="n">
        <v>140.328</v>
      </c>
      <c r="K7" s="753" t="n">
        <v>139.008</v>
      </c>
      <c r="L7" s="753" t="n">
        <v>124.68</v>
      </c>
      <c r="M7" s="753" t="n">
        <v>132.4725</v>
      </c>
      <c r="N7" s="753" t="n">
        <v>140.265</v>
      </c>
      <c r="O7" s="753" t="n">
        <v>148.0575</v>
      </c>
      <c r="P7" s="753" t="n">
        <v>155.85</v>
      </c>
      <c r="Q7" s="753" t="n">
        <v>149.616</v>
      </c>
      <c r="R7" s="753" t="n">
        <v>143.382</v>
      </c>
      <c r="S7" s="753" t="n">
        <v>137.148</v>
      </c>
      <c r="T7" s="753" t="n">
        <v>130.914</v>
      </c>
      <c r="U7" s="753" t="n">
        <v>124.68</v>
      </c>
      <c r="V7" s="706"/>
      <c r="W7" s="22"/>
      <c r="X7" s="16"/>
      <c r="Y7" s="16"/>
      <c r="Z7" s="16"/>
      <c r="AA7" s="16"/>
      <c r="AB7" s="16"/>
      <c r="AC7" s="16"/>
      <c r="AD7" s="16"/>
      <c r="AE7" s="16"/>
      <c r="AF7" s="16"/>
      <c r="AG7" s="16"/>
      <c r="AH7" s="422"/>
    </row>
    <row r="8" customFormat="false" ht="15" hidden="false" customHeight="false" outlineLevel="0" collapsed="false">
      <c r="A8" s="330"/>
      <c r="B8" s="740" t="n">
        <v>55</v>
      </c>
      <c r="C8" s="741"/>
      <c r="D8" s="740" t="s">
        <v>484</v>
      </c>
      <c r="E8" s="736" t="n">
        <v>2</v>
      </c>
      <c r="F8" s="737"/>
      <c r="G8" s="753" t="n">
        <v>112.164</v>
      </c>
      <c r="H8" s="753" t="n">
        <v>150.864</v>
      </c>
      <c r="I8" s="753" t="n">
        <v>139.428</v>
      </c>
      <c r="J8" s="753" t="n">
        <v>143.628</v>
      </c>
      <c r="K8" s="753" t="n">
        <v>118.968</v>
      </c>
      <c r="L8" s="753" t="n">
        <v>142.644</v>
      </c>
      <c r="M8" s="753" t="n">
        <v>151.55925</v>
      </c>
      <c r="N8" s="753" t="n">
        <v>160.4745</v>
      </c>
      <c r="O8" s="753" t="n">
        <v>169.38975</v>
      </c>
      <c r="P8" s="753" t="n">
        <v>178.305</v>
      </c>
      <c r="Q8" s="753" t="n">
        <v>171.1728</v>
      </c>
      <c r="R8" s="753" t="n">
        <v>164.0406</v>
      </c>
      <c r="S8" s="753" t="n">
        <v>156.9084</v>
      </c>
      <c r="T8" s="753" t="n">
        <v>149.7762</v>
      </c>
      <c r="U8" s="753" t="n">
        <v>142.644</v>
      </c>
      <c r="V8" s="706"/>
      <c r="W8" s="22"/>
      <c r="X8" s="16"/>
      <c r="Y8" s="16"/>
      <c r="Z8" s="16"/>
      <c r="AA8" s="16"/>
      <c r="AB8" s="16"/>
      <c r="AC8" s="16"/>
      <c r="AD8" s="16"/>
      <c r="AE8" s="16"/>
      <c r="AF8" s="16"/>
      <c r="AG8" s="16"/>
      <c r="AH8" s="422"/>
    </row>
    <row r="9" customFormat="false" ht="15" hidden="false" customHeight="false" outlineLevel="0" collapsed="false">
      <c r="A9" s="330"/>
      <c r="B9" s="740"/>
      <c r="C9" s="741"/>
      <c r="D9" s="740"/>
      <c r="E9" s="736" t="n">
        <v>3</v>
      </c>
      <c r="F9" s="737"/>
      <c r="G9" s="753" t="n">
        <v>140.507814652311</v>
      </c>
      <c r="H9" s="753" t="n">
        <v>188.9872949405</v>
      </c>
      <c r="I9" s="753" t="n">
        <v>174.661420610378</v>
      </c>
      <c r="J9" s="753" t="n">
        <v>179.922759556383</v>
      </c>
      <c r="K9" s="753" t="n">
        <v>149.031183744839</v>
      </c>
      <c r="L9" s="753" t="n">
        <v>178.690103003319</v>
      </c>
      <c r="M9" s="753" t="n">
        <v>189.858234441027</v>
      </c>
      <c r="N9" s="753" t="n">
        <v>201.026365878734</v>
      </c>
      <c r="O9" s="753" t="n">
        <v>212.194497316441</v>
      </c>
      <c r="P9" s="753" t="n">
        <v>223.362628754149</v>
      </c>
      <c r="Q9" s="753" t="n">
        <v>214.428123603983</v>
      </c>
      <c r="R9" s="753" t="n">
        <v>205.493618453817</v>
      </c>
      <c r="S9" s="753" t="n">
        <v>196.559113303651</v>
      </c>
      <c r="T9" s="753" t="n">
        <v>187.624608153485</v>
      </c>
      <c r="U9" s="753" t="n">
        <v>178.690103003319</v>
      </c>
      <c r="V9" s="706"/>
      <c r="W9" s="22"/>
      <c r="X9" s="16"/>
      <c r="Y9" s="16"/>
      <c r="Z9" s="16"/>
      <c r="AA9" s="16"/>
      <c r="AB9" s="16"/>
      <c r="AC9" s="16"/>
      <c r="AD9" s="16"/>
      <c r="AE9" s="16"/>
      <c r="AF9" s="16"/>
      <c r="AG9" s="16"/>
      <c r="AH9" s="422"/>
    </row>
    <row r="10" customFormat="false" ht="15" hidden="false" customHeight="false" outlineLevel="0" collapsed="false">
      <c r="A10" s="330"/>
      <c r="B10" s="740"/>
      <c r="C10" s="741"/>
      <c r="D10" s="736" t="s">
        <v>485</v>
      </c>
      <c r="E10" s="736" t="n">
        <v>2</v>
      </c>
      <c r="F10" s="737"/>
      <c r="G10" s="753" t="n">
        <v>112.164</v>
      </c>
      <c r="H10" s="753" t="n">
        <v>150.864</v>
      </c>
      <c r="I10" s="753" t="n">
        <v>139.428</v>
      </c>
      <c r="J10" s="753" t="n">
        <v>143.628</v>
      </c>
      <c r="K10" s="753" t="n">
        <v>118.968</v>
      </c>
      <c r="L10" s="753" t="n">
        <v>142.644</v>
      </c>
      <c r="M10" s="753" t="n">
        <v>151.55925</v>
      </c>
      <c r="N10" s="753" t="n">
        <v>160.4745</v>
      </c>
      <c r="O10" s="753" t="n">
        <v>169.38975</v>
      </c>
      <c r="P10" s="753" t="n">
        <v>178.305</v>
      </c>
      <c r="Q10" s="753" t="n">
        <v>171.1728</v>
      </c>
      <c r="R10" s="753" t="n">
        <v>164.0406</v>
      </c>
      <c r="S10" s="753" t="n">
        <v>156.9084</v>
      </c>
      <c r="T10" s="753" t="n">
        <v>149.7762</v>
      </c>
      <c r="U10" s="753" t="n">
        <v>142.644</v>
      </c>
      <c r="V10" s="706"/>
      <c r="W10" s="22"/>
      <c r="X10" s="16"/>
      <c r="Y10" s="16"/>
      <c r="Z10" s="16"/>
      <c r="AA10" s="16"/>
      <c r="AB10" s="16"/>
      <c r="AC10" s="16"/>
      <c r="AD10" s="16"/>
      <c r="AE10" s="16"/>
      <c r="AF10" s="16"/>
      <c r="AG10" s="16"/>
      <c r="AH10" s="422"/>
    </row>
    <row r="11" customFormat="false" ht="15" hidden="false" customHeight="false" outlineLevel="0" collapsed="false">
      <c r="A11" s="330"/>
      <c r="B11" s="742" t="n">
        <v>65</v>
      </c>
      <c r="C11" s="737"/>
      <c r="D11" s="736" t="s">
        <v>484</v>
      </c>
      <c r="E11" s="736" t="n">
        <v>2</v>
      </c>
      <c r="F11" s="737"/>
      <c r="G11" s="753" t="n">
        <v>185.459016393443</v>
      </c>
      <c r="H11" s="753" t="n">
        <v>230.919829787234</v>
      </c>
      <c r="I11" s="753" t="n">
        <v>220.452216216216</v>
      </c>
      <c r="J11" s="753" t="n">
        <v>223.364493506494</v>
      </c>
      <c r="K11" s="753" t="n">
        <v>256.102458100559</v>
      </c>
      <c r="L11" s="753" t="n">
        <v>298.492120481928</v>
      </c>
      <c r="M11" s="753" t="n">
        <v>317.147878012048</v>
      </c>
      <c r="N11" s="753" t="n">
        <v>335.803635542169</v>
      </c>
      <c r="O11" s="753" t="n">
        <v>354.459393072289</v>
      </c>
      <c r="P11" s="753" t="n">
        <v>373.11515060241</v>
      </c>
      <c r="Q11" s="753" t="n">
        <v>358.190544578313</v>
      </c>
      <c r="R11" s="753" t="n">
        <v>343.265938554217</v>
      </c>
      <c r="S11" s="753" t="n">
        <v>328.34133253012</v>
      </c>
      <c r="T11" s="753" t="n">
        <v>313.416726506024</v>
      </c>
      <c r="U11" s="753" t="n">
        <v>298.492120481928</v>
      </c>
      <c r="V11" s="706"/>
      <c r="W11" s="22"/>
      <c r="X11" s="16"/>
      <c r="Y11" s="16"/>
      <c r="Z11" s="16"/>
      <c r="AA11" s="16"/>
      <c r="AB11" s="16"/>
      <c r="AC11" s="16"/>
      <c r="AD11" s="16"/>
      <c r="AE11" s="16"/>
      <c r="AF11" s="16"/>
      <c r="AG11" s="16"/>
      <c r="AH11" s="422"/>
    </row>
    <row r="12" customFormat="false" ht="15" hidden="false" customHeight="false" outlineLevel="0" collapsed="false">
      <c r="A12" s="330"/>
      <c r="B12" s="740" t="n">
        <v>75</v>
      </c>
      <c r="C12" s="741"/>
      <c r="D12" s="740" t="s">
        <v>484</v>
      </c>
      <c r="E12" s="736" t="n">
        <v>2</v>
      </c>
      <c r="F12" s="737"/>
      <c r="G12" s="753" t="n">
        <v>255.816</v>
      </c>
      <c r="H12" s="753" t="n">
        <v>226.848</v>
      </c>
      <c r="I12" s="753" t="n">
        <v>234.6</v>
      </c>
      <c r="J12" s="753" t="n">
        <v>258.06</v>
      </c>
      <c r="K12" s="753" t="n">
        <v>229.332</v>
      </c>
      <c r="L12" s="753" t="n">
        <v>279.756</v>
      </c>
      <c r="M12" s="753" t="n">
        <v>297.24075</v>
      </c>
      <c r="N12" s="753" t="n">
        <v>314.7255</v>
      </c>
      <c r="O12" s="753" t="n">
        <v>332.21025</v>
      </c>
      <c r="P12" s="753" t="n">
        <v>349.695</v>
      </c>
      <c r="Q12" s="753" t="n">
        <v>335.7072</v>
      </c>
      <c r="R12" s="753" t="n">
        <v>321.7194</v>
      </c>
      <c r="S12" s="753" t="n">
        <v>307.7316</v>
      </c>
      <c r="T12" s="753" t="n">
        <v>293.7438</v>
      </c>
      <c r="U12" s="753" t="n">
        <v>279.756</v>
      </c>
      <c r="V12" s="706"/>
      <c r="W12" s="22"/>
      <c r="X12" s="16"/>
      <c r="Y12" s="16"/>
      <c r="Z12" s="16"/>
      <c r="AA12" s="16"/>
      <c r="AB12" s="16"/>
      <c r="AC12" s="16"/>
      <c r="AD12" s="16"/>
      <c r="AE12" s="16"/>
      <c r="AF12" s="16"/>
      <c r="AG12" s="16"/>
      <c r="AH12" s="422"/>
    </row>
    <row r="13" customFormat="false" ht="15" hidden="false" customHeight="false" outlineLevel="0" collapsed="false">
      <c r="A13" s="330"/>
      <c r="B13" s="740"/>
      <c r="C13" s="741"/>
      <c r="D13" s="740"/>
      <c r="E13" s="736" t="n">
        <v>3</v>
      </c>
      <c r="F13" s="737"/>
      <c r="G13" s="753" t="n">
        <v>284.22</v>
      </c>
      <c r="H13" s="753" t="n">
        <v>286.764</v>
      </c>
      <c r="I13" s="753" t="n">
        <v>298.416</v>
      </c>
      <c r="J13" s="753" t="n">
        <v>312.132</v>
      </c>
      <c r="K13" s="753" t="n">
        <v>347.724</v>
      </c>
      <c r="L13" s="753" t="n">
        <v>316.464</v>
      </c>
      <c r="M13" s="753" t="n">
        <v>336.243</v>
      </c>
      <c r="N13" s="753" t="n">
        <v>356.022</v>
      </c>
      <c r="O13" s="753" t="n">
        <v>375.801</v>
      </c>
      <c r="P13" s="753" t="n">
        <v>395.58</v>
      </c>
      <c r="Q13" s="753" t="n">
        <v>379.7568</v>
      </c>
      <c r="R13" s="753" t="n">
        <v>363.9336</v>
      </c>
      <c r="S13" s="753" t="n">
        <v>348.1104</v>
      </c>
      <c r="T13" s="753" t="n">
        <v>332.2872</v>
      </c>
      <c r="U13" s="753" t="n">
        <v>316.464</v>
      </c>
      <c r="V13" s="706"/>
      <c r="W13" s="22"/>
      <c r="X13" s="16"/>
      <c r="Y13" s="16"/>
      <c r="Z13" s="16"/>
      <c r="AA13" s="16"/>
      <c r="AB13" s="16"/>
      <c r="AC13" s="16"/>
      <c r="AD13" s="16"/>
      <c r="AE13" s="16"/>
      <c r="AF13" s="16"/>
      <c r="AG13" s="16"/>
      <c r="AH13" s="422"/>
    </row>
    <row r="14" customFormat="false" ht="15" hidden="false" customHeight="false" outlineLevel="0" collapsed="false">
      <c r="A14" s="330"/>
      <c r="B14" s="740"/>
      <c r="C14" s="741"/>
      <c r="D14" s="740"/>
      <c r="E14" s="736" t="n">
        <v>4</v>
      </c>
      <c r="F14" s="737"/>
      <c r="G14" s="753" t="n">
        <v>329.949394632559</v>
      </c>
      <c r="H14" s="753" t="n">
        <v>332.902709881117</v>
      </c>
      <c r="I14" s="753" t="n">
        <v>346.429450948806</v>
      </c>
      <c r="J14" s="753" t="n">
        <v>362.352277972873</v>
      </c>
      <c r="K14" s="753" t="n">
        <v>403.67082998808</v>
      </c>
      <c r="L14" s="753" t="n">
        <v>367.381272334805</v>
      </c>
      <c r="M14" s="753" t="n">
        <v>390.34260185573</v>
      </c>
      <c r="N14" s="753" t="n">
        <v>413.303931376655</v>
      </c>
      <c r="O14" s="753" t="n">
        <v>436.265260897581</v>
      </c>
      <c r="P14" s="753" t="n">
        <v>459.226590418506</v>
      </c>
      <c r="Q14" s="753" t="n">
        <v>440.857526801766</v>
      </c>
      <c r="R14" s="753" t="n">
        <v>422.488463185025</v>
      </c>
      <c r="S14" s="753" t="n">
        <v>404.119399568285</v>
      </c>
      <c r="T14" s="753" t="n">
        <v>385.750335951545</v>
      </c>
      <c r="U14" s="753" t="n">
        <v>367.381272334805</v>
      </c>
      <c r="V14" s="706"/>
      <c r="W14" s="22"/>
      <c r="X14" s="16"/>
      <c r="Y14" s="16"/>
      <c r="Z14" s="16"/>
      <c r="AA14" s="16"/>
      <c r="AB14" s="16"/>
      <c r="AC14" s="16"/>
      <c r="AD14" s="16"/>
      <c r="AE14" s="16"/>
      <c r="AF14" s="16"/>
      <c r="AG14" s="16"/>
      <c r="AH14" s="422"/>
    </row>
    <row r="15" customFormat="false" ht="15" hidden="false" customHeight="false" outlineLevel="0" collapsed="false">
      <c r="A15" s="330"/>
      <c r="B15" s="740"/>
      <c r="C15" s="741"/>
      <c r="D15" s="736" t="s">
        <v>485</v>
      </c>
      <c r="E15" s="736" t="n">
        <v>2</v>
      </c>
      <c r="F15" s="737"/>
      <c r="G15" s="753" t="n">
        <v>277.032</v>
      </c>
      <c r="H15" s="753" t="n">
        <v>256.824</v>
      </c>
      <c r="I15" s="753" t="n">
        <v>270.192</v>
      </c>
      <c r="J15" s="753" t="n">
        <v>257.22</v>
      </c>
      <c r="K15" s="753" t="n">
        <v>330.444</v>
      </c>
      <c r="L15" s="753" t="n">
        <v>422.328</v>
      </c>
      <c r="M15" s="753" t="n">
        <v>448.7235</v>
      </c>
      <c r="N15" s="753" t="n">
        <v>475.119</v>
      </c>
      <c r="O15" s="753" t="n">
        <v>501.5145</v>
      </c>
      <c r="P15" s="753" t="n">
        <v>527.91</v>
      </c>
      <c r="Q15" s="753" t="n">
        <v>506.7936</v>
      </c>
      <c r="R15" s="753" t="n">
        <v>485.6772</v>
      </c>
      <c r="S15" s="753" t="n">
        <v>464.5608</v>
      </c>
      <c r="T15" s="753" t="n">
        <v>443.4444</v>
      </c>
      <c r="U15" s="753" t="n">
        <v>422.328</v>
      </c>
      <c r="V15" s="706"/>
      <c r="W15" s="22"/>
      <c r="X15" s="16"/>
      <c r="Y15" s="16"/>
      <c r="Z15" s="16"/>
      <c r="AA15" s="16"/>
      <c r="AB15" s="16"/>
      <c r="AC15" s="16"/>
      <c r="AD15" s="16"/>
      <c r="AE15" s="16"/>
      <c r="AF15" s="16"/>
      <c r="AG15" s="16"/>
      <c r="AH15" s="422"/>
    </row>
    <row r="16" customFormat="false" ht="15" hidden="false" customHeight="false" outlineLevel="0" collapsed="false">
      <c r="A16" s="330"/>
      <c r="B16" s="740" t="n">
        <v>85</v>
      </c>
      <c r="C16" s="741"/>
      <c r="D16" s="740" t="s">
        <v>484</v>
      </c>
      <c r="E16" s="736" t="n">
        <v>2</v>
      </c>
      <c r="F16" s="737"/>
      <c r="G16" s="753" t="n">
        <v>498.132</v>
      </c>
      <c r="H16" s="753" t="n">
        <v>440.772</v>
      </c>
      <c r="I16" s="753" t="n">
        <v>383.412</v>
      </c>
      <c r="J16" s="753" t="n">
        <v>205.488</v>
      </c>
      <c r="K16" s="753" t="n">
        <v>283.392</v>
      </c>
      <c r="L16" s="753" t="n">
        <v>235.284</v>
      </c>
      <c r="M16" s="753" t="n">
        <v>249.98925</v>
      </c>
      <c r="N16" s="753" t="n">
        <v>264.6945</v>
      </c>
      <c r="O16" s="753" t="n">
        <v>279.39975</v>
      </c>
      <c r="P16" s="753" t="n">
        <v>294.105</v>
      </c>
      <c r="Q16" s="753" t="n">
        <v>282.3408</v>
      </c>
      <c r="R16" s="753" t="n">
        <v>270.5766</v>
      </c>
      <c r="S16" s="753" t="n">
        <v>258.8124</v>
      </c>
      <c r="T16" s="753" t="n">
        <v>247.0482</v>
      </c>
      <c r="U16" s="753" t="n">
        <v>235.284</v>
      </c>
      <c r="V16" s="706"/>
      <c r="W16" s="22"/>
      <c r="X16" s="16"/>
      <c r="Y16" s="16"/>
      <c r="Z16" s="16"/>
      <c r="AA16" s="16"/>
      <c r="AB16" s="16"/>
      <c r="AC16" s="16"/>
      <c r="AD16" s="16"/>
      <c r="AE16" s="16"/>
      <c r="AF16" s="16"/>
      <c r="AG16" s="16"/>
      <c r="AH16" s="422"/>
    </row>
    <row r="17" customFormat="false" ht="15" hidden="false" customHeight="false" outlineLevel="0" collapsed="false">
      <c r="A17" s="330"/>
      <c r="B17" s="740"/>
      <c r="C17" s="741"/>
      <c r="D17" s="740"/>
      <c r="E17" s="736" t="n">
        <v>3</v>
      </c>
      <c r="F17" s="737"/>
      <c r="G17" s="753" t="n">
        <v>369.408</v>
      </c>
      <c r="H17" s="753" t="n">
        <v>403.092</v>
      </c>
      <c r="I17" s="753" t="n">
        <v>297.888</v>
      </c>
      <c r="J17" s="753" t="n">
        <v>291.96</v>
      </c>
      <c r="K17" s="753" t="n">
        <v>284.52</v>
      </c>
      <c r="L17" s="753" t="n">
        <v>342.348</v>
      </c>
      <c r="M17" s="753" t="n">
        <v>363.74475</v>
      </c>
      <c r="N17" s="753" t="n">
        <v>385.1415</v>
      </c>
      <c r="O17" s="753" t="n">
        <v>406.53825</v>
      </c>
      <c r="P17" s="753" t="n">
        <v>427.935</v>
      </c>
      <c r="Q17" s="753" t="n">
        <v>410.8176</v>
      </c>
      <c r="R17" s="753" t="n">
        <v>393.7002</v>
      </c>
      <c r="S17" s="753" t="n">
        <v>376.5828</v>
      </c>
      <c r="T17" s="753" t="n">
        <v>359.4654</v>
      </c>
      <c r="U17" s="753" t="n">
        <v>342.348</v>
      </c>
      <c r="V17" s="706"/>
      <c r="W17" s="22"/>
      <c r="X17" s="16"/>
      <c r="Y17" s="16"/>
      <c r="Z17" s="16"/>
      <c r="AA17" s="16"/>
      <c r="AB17" s="16"/>
      <c r="AC17" s="16"/>
      <c r="AD17" s="16"/>
      <c r="AE17" s="16"/>
      <c r="AF17" s="16"/>
      <c r="AG17" s="16"/>
      <c r="AH17" s="422"/>
    </row>
    <row r="18" customFormat="false" ht="15" hidden="false" customHeight="false" outlineLevel="0" collapsed="false">
      <c r="A18" s="330"/>
      <c r="B18" s="740"/>
      <c r="C18" s="741"/>
      <c r="D18" s="740"/>
      <c r="E18" s="736" t="n">
        <v>4</v>
      </c>
      <c r="F18" s="737"/>
      <c r="G18" s="753" t="n">
        <v>364.92</v>
      </c>
      <c r="H18" s="753" t="n">
        <v>332.736</v>
      </c>
      <c r="I18" s="753" t="n">
        <v>271.056</v>
      </c>
      <c r="J18" s="753" t="n">
        <v>240.24</v>
      </c>
      <c r="K18" s="753" t="n">
        <v>362.508</v>
      </c>
      <c r="L18" s="753" t="n">
        <v>482.028</v>
      </c>
      <c r="M18" s="753" t="n">
        <v>512.15475</v>
      </c>
      <c r="N18" s="753" t="n">
        <v>542.2815</v>
      </c>
      <c r="O18" s="753" t="n">
        <v>572.40825</v>
      </c>
      <c r="P18" s="753" t="n">
        <v>602.535</v>
      </c>
      <c r="Q18" s="753" t="n">
        <v>578.4336</v>
      </c>
      <c r="R18" s="753" t="n">
        <v>554.3322</v>
      </c>
      <c r="S18" s="753" t="n">
        <v>530.2308</v>
      </c>
      <c r="T18" s="753" t="n">
        <v>506.1294</v>
      </c>
      <c r="U18" s="753" t="n">
        <v>482.028</v>
      </c>
      <c r="V18" s="706"/>
      <c r="W18" s="22"/>
      <c r="X18" s="16"/>
      <c r="Y18" s="16"/>
      <c r="Z18" s="16"/>
      <c r="AA18" s="16"/>
      <c r="AB18" s="16"/>
      <c r="AC18" s="16"/>
      <c r="AD18" s="16"/>
      <c r="AE18" s="16"/>
      <c r="AF18" s="16"/>
      <c r="AG18" s="16"/>
      <c r="AH18" s="422"/>
    </row>
    <row r="19" customFormat="false" ht="15" hidden="false" customHeight="false" outlineLevel="0" collapsed="false">
      <c r="A19" s="330"/>
      <c r="B19" s="740"/>
      <c r="C19" s="741"/>
      <c r="D19" s="740" t="s">
        <v>485</v>
      </c>
      <c r="E19" s="736" t="n">
        <v>2</v>
      </c>
      <c r="F19" s="737"/>
      <c r="G19" s="753" t="n">
        <v>332.868</v>
      </c>
      <c r="H19" s="753" t="n">
        <v>300.48</v>
      </c>
      <c r="I19" s="753" t="n">
        <v>315.204</v>
      </c>
      <c r="J19" s="753" t="n">
        <v>290.448</v>
      </c>
      <c r="K19" s="753" t="n">
        <v>343.932</v>
      </c>
      <c r="L19" s="753" t="n">
        <v>349.32</v>
      </c>
      <c r="M19" s="753" t="n">
        <v>371.1525</v>
      </c>
      <c r="N19" s="753" t="n">
        <v>392.985</v>
      </c>
      <c r="O19" s="753" t="n">
        <v>414.8175</v>
      </c>
      <c r="P19" s="753" t="n">
        <v>436.65</v>
      </c>
      <c r="Q19" s="753" t="n">
        <v>419.184</v>
      </c>
      <c r="R19" s="753" t="n">
        <v>401.718</v>
      </c>
      <c r="S19" s="753" t="n">
        <v>384.252</v>
      </c>
      <c r="T19" s="753" t="n">
        <v>366.786</v>
      </c>
      <c r="U19" s="753" t="n">
        <v>349.32</v>
      </c>
      <c r="V19" s="706"/>
      <c r="W19" s="22"/>
      <c r="X19" s="16"/>
      <c r="Y19" s="16"/>
      <c r="Z19" s="16"/>
      <c r="AA19" s="16"/>
      <c r="AB19" s="16"/>
      <c r="AC19" s="16"/>
      <c r="AD19" s="16"/>
      <c r="AE19" s="16"/>
      <c r="AF19" s="16"/>
      <c r="AG19" s="16"/>
      <c r="AH19" s="422"/>
    </row>
    <row r="20" customFormat="false" ht="15" hidden="false" customHeight="false" outlineLevel="0" collapsed="false">
      <c r="A20" s="330"/>
      <c r="B20" s="740"/>
      <c r="C20" s="741"/>
      <c r="D20" s="740"/>
      <c r="E20" s="736" t="n">
        <v>3</v>
      </c>
      <c r="F20" s="737"/>
      <c r="G20" s="753" t="n">
        <v>402.816</v>
      </c>
      <c r="H20" s="753" t="n">
        <v>424.128</v>
      </c>
      <c r="I20" s="753" t="n">
        <v>346.404</v>
      </c>
      <c r="J20" s="753" t="n">
        <v>327.936</v>
      </c>
      <c r="K20" s="753" t="n">
        <v>247.536</v>
      </c>
      <c r="L20" s="753" t="n">
        <v>375.624</v>
      </c>
      <c r="M20" s="753" t="n">
        <v>399.1005</v>
      </c>
      <c r="N20" s="753" t="n">
        <v>422.577</v>
      </c>
      <c r="O20" s="753" t="n">
        <v>446.0535</v>
      </c>
      <c r="P20" s="753" t="n">
        <v>469.53</v>
      </c>
      <c r="Q20" s="753" t="n">
        <v>450.7488</v>
      </c>
      <c r="R20" s="753" t="n">
        <v>431.9676</v>
      </c>
      <c r="S20" s="753" t="n">
        <v>413.1864</v>
      </c>
      <c r="T20" s="753" t="n">
        <v>394.4052</v>
      </c>
      <c r="U20" s="753" t="n">
        <v>375.624</v>
      </c>
      <c r="V20" s="706"/>
      <c r="W20" s="22"/>
      <c r="X20" s="16"/>
      <c r="Y20" s="16"/>
      <c r="Z20" s="16"/>
      <c r="AA20" s="16"/>
      <c r="AB20" s="16"/>
      <c r="AC20" s="16"/>
      <c r="AD20" s="16"/>
      <c r="AE20" s="16"/>
      <c r="AF20" s="16"/>
      <c r="AG20" s="16"/>
      <c r="AH20" s="422"/>
    </row>
    <row r="21" customFormat="false" ht="15" hidden="false" customHeight="false" outlineLevel="0" collapsed="false">
      <c r="A21" s="330"/>
      <c r="B21" s="740" t="n">
        <v>95</v>
      </c>
      <c r="C21" s="741"/>
      <c r="D21" s="740" t="s">
        <v>484</v>
      </c>
      <c r="E21" s="736" t="n">
        <v>2</v>
      </c>
      <c r="F21" s="737"/>
      <c r="G21" s="753" t="n">
        <v>489.672</v>
      </c>
      <c r="H21" s="753" t="n">
        <v>457.608</v>
      </c>
      <c r="I21" s="753" t="n">
        <v>425.544</v>
      </c>
      <c r="J21" s="753" t="n">
        <v>433.848</v>
      </c>
      <c r="K21" s="753" t="n">
        <v>303.462636985766</v>
      </c>
      <c r="L21" s="753" t="n">
        <v>180.242026571043</v>
      </c>
      <c r="M21" s="753" t="n">
        <v>191.507153231733</v>
      </c>
      <c r="N21" s="753" t="n">
        <v>202.772279892423</v>
      </c>
      <c r="O21" s="753" t="n">
        <v>214.037406553113</v>
      </c>
      <c r="P21" s="753" t="n">
        <v>225.302533213804</v>
      </c>
      <c r="Q21" s="753" t="n">
        <v>216.290431885251</v>
      </c>
      <c r="R21" s="753" t="n">
        <v>207.278330556699</v>
      </c>
      <c r="S21" s="753" t="n">
        <v>198.266229228147</v>
      </c>
      <c r="T21" s="753" t="n">
        <v>189.254127899595</v>
      </c>
      <c r="U21" s="753" t="n">
        <v>180.242026571043</v>
      </c>
      <c r="V21" s="706"/>
      <c r="W21" s="22"/>
      <c r="X21" s="16"/>
      <c r="Y21" s="16"/>
      <c r="Z21" s="16"/>
      <c r="AA21" s="16"/>
      <c r="AB21" s="16"/>
      <c r="AC21" s="16"/>
      <c r="AD21" s="16"/>
      <c r="AE21" s="16"/>
      <c r="AF21" s="16"/>
      <c r="AG21" s="16"/>
      <c r="AH21" s="422"/>
    </row>
    <row r="22" customFormat="false" ht="15" hidden="false" customHeight="false" outlineLevel="0" collapsed="false">
      <c r="A22" s="330"/>
      <c r="B22" s="740"/>
      <c r="C22" s="741"/>
      <c r="D22" s="740"/>
      <c r="E22" s="736" t="n">
        <v>3</v>
      </c>
      <c r="F22" s="737"/>
      <c r="G22" s="753" t="n">
        <v>378.96</v>
      </c>
      <c r="H22" s="753" t="n">
        <v>285.792</v>
      </c>
      <c r="I22" s="753" t="n">
        <v>317.604</v>
      </c>
      <c r="J22" s="753" t="n">
        <v>288.756</v>
      </c>
      <c r="K22" s="753" t="n">
        <v>305.52</v>
      </c>
      <c r="L22" s="753" t="n">
        <v>181.464</v>
      </c>
      <c r="M22" s="753" t="n">
        <v>192.8055</v>
      </c>
      <c r="N22" s="753" t="n">
        <v>204.147</v>
      </c>
      <c r="O22" s="753" t="n">
        <v>215.4885</v>
      </c>
      <c r="P22" s="753" t="n">
        <v>226.83</v>
      </c>
      <c r="Q22" s="753" t="n">
        <v>217.7568</v>
      </c>
      <c r="R22" s="753" t="n">
        <v>208.6836</v>
      </c>
      <c r="S22" s="753" t="n">
        <v>199.6104</v>
      </c>
      <c r="T22" s="753" t="n">
        <v>190.5372</v>
      </c>
      <c r="U22" s="753" t="n">
        <v>181.464</v>
      </c>
      <c r="V22" s="706"/>
      <c r="W22" s="22"/>
      <c r="X22" s="16"/>
      <c r="Y22" s="16"/>
      <c r="Z22" s="16"/>
      <c r="AA22" s="16"/>
      <c r="AB22" s="16"/>
      <c r="AC22" s="16"/>
      <c r="AD22" s="16"/>
      <c r="AE22" s="16"/>
      <c r="AF22" s="16"/>
      <c r="AG22" s="16"/>
      <c r="AH22" s="422"/>
    </row>
    <row r="23" customFormat="false" ht="15" hidden="false" customHeight="false" outlineLevel="0" collapsed="false">
      <c r="A23" s="330"/>
      <c r="B23" s="740"/>
      <c r="C23" s="741"/>
      <c r="D23" s="740"/>
      <c r="E23" s="736" t="n">
        <v>4</v>
      </c>
      <c r="F23" s="737"/>
      <c r="G23" s="753" t="n">
        <v>439.932526176746</v>
      </c>
      <c r="H23" s="753" t="n">
        <v>331.774320564451</v>
      </c>
      <c r="I23" s="753" t="n">
        <v>368.704691903734</v>
      </c>
      <c r="J23" s="753" t="n">
        <v>335.215211443668</v>
      </c>
      <c r="K23" s="753" t="n">
        <v>354.676444473082</v>
      </c>
      <c r="L23" s="753" t="n">
        <v>210.660533908953</v>
      </c>
      <c r="M23" s="753" t="n">
        <v>223.826817278263</v>
      </c>
      <c r="N23" s="753" t="n">
        <v>236.993100647572</v>
      </c>
      <c r="O23" s="753" t="n">
        <v>250.159384016882</v>
      </c>
      <c r="P23" s="753" t="n">
        <v>263.325667386192</v>
      </c>
      <c r="Q23" s="753" t="n">
        <v>252.792640690744</v>
      </c>
      <c r="R23" s="753" t="n">
        <v>242.259613995296</v>
      </c>
      <c r="S23" s="753" t="n">
        <v>231.726587299849</v>
      </c>
      <c r="T23" s="753" t="n">
        <v>221.193560604401</v>
      </c>
      <c r="U23" s="753" t="n">
        <v>210.660533908953</v>
      </c>
      <c r="V23" s="706"/>
      <c r="W23" s="22"/>
      <c r="X23" s="16"/>
      <c r="Y23" s="16"/>
      <c r="Z23" s="16"/>
      <c r="AA23" s="16"/>
      <c r="AB23" s="16"/>
      <c r="AC23" s="16"/>
      <c r="AD23" s="16"/>
      <c r="AE23" s="16"/>
      <c r="AF23" s="16"/>
      <c r="AG23" s="16"/>
      <c r="AH23" s="422"/>
    </row>
    <row r="24" customFormat="false" ht="15" hidden="false" customHeight="false" outlineLevel="0" collapsed="false">
      <c r="A24" s="330"/>
      <c r="B24" s="740"/>
      <c r="C24" s="741"/>
      <c r="D24" s="740" t="s">
        <v>485</v>
      </c>
      <c r="E24" s="736" t="n">
        <v>2</v>
      </c>
      <c r="F24" s="737"/>
      <c r="G24" s="753" t="n">
        <v>298.404</v>
      </c>
      <c r="H24" s="753" t="n">
        <v>297.396</v>
      </c>
      <c r="I24" s="753" t="n">
        <v>292.068</v>
      </c>
      <c r="J24" s="753" t="n">
        <v>287.88</v>
      </c>
      <c r="K24" s="753" t="n">
        <v>305.328</v>
      </c>
      <c r="L24" s="753" t="n">
        <v>313.416</v>
      </c>
      <c r="M24" s="753" t="n">
        <v>333.0045</v>
      </c>
      <c r="N24" s="753" t="n">
        <v>352.593</v>
      </c>
      <c r="O24" s="753" t="n">
        <v>372.1815</v>
      </c>
      <c r="P24" s="753" t="n">
        <v>391.77</v>
      </c>
      <c r="Q24" s="753" t="n">
        <v>376.0992</v>
      </c>
      <c r="R24" s="753" t="n">
        <v>360.4284</v>
      </c>
      <c r="S24" s="753" t="n">
        <v>344.7576</v>
      </c>
      <c r="T24" s="753" t="n">
        <v>329.0868</v>
      </c>
      <c r="U24" s="753" t="n">
        <v>313.416</v>
      </c>
      <c r="V24" s="706"/>
      <c r="W24" s="22"/>
      <c r="X24" s="16"/>
      <c r="Y24" s="16"/>
      <c r="Z24" s="16"/>
      <c r="AA24" s="16"/>
      <c r="AB24" s="16"/>
      <c r="AC24" s="16"/>
      <c r="AD24" s="16"/>
      <c r="AE24" s="16"/>
      <c r="AF24" s="16"/>
      <c r="AG24" s="16"/>
      <c r="AH24" s="422"/>
    </row>
    <row r="25" customFormat="false" ht="15" hidden="false" customHeight="false" outlineLevel="0" collapsed="false">
      <c r="A25" s="330"/>
      <c r="B25" s="740"/>
      <c r="C25" s="741"/>
      <c r="D25" s="740"/>
      <c r="E25" s="736" t="n">
        <v>3</v>
      </c>
      <c r="F25" s="737"/>
      <c r="G25" s="753" t="n">
        <v>402.816</v>
      </c>
      <c r="H25" s="753" t="n">
        <v>424.128</v>
      </c>
      <c r="I25" s="753" t="n">
        <v>346.404</v>
      </c>
      <c r="J25" s="753" t="n">
        <v>327.936</v>
      </c>
      <c r="K25" s="753" t="n">
        <v>247.536</v>
      </c>
      <c r="L25" s="753" t="n">
        <v>375.624</v>
      </c>
      <c r="M25" s="753" t="n">
        <v>399.1005</v>
      </c>
      <c r="N25" s="753" t="n">
        <v>422.577</v>
      </c>
      <c r="O25" s="753" t="n">
        <v>446.0535</v>
      </c>
      <c r="P25" s="753" t="n">
        <v>469.53</v>
      </c>
      <c r="Q25" s="753" t="n">
        <v>450.7488</v>
      </c>
      <c r="R25" s="753" t="n">
        <v>431.9676</v>
      </c>
      <c r="S25" s="753" t="n">
        <v>413.1864</v>
      </c>
      <c r="T25" s="753" t="n">
        <v>394.4052</v>
      </c>
      <c r="U25" s="753" t="n">
        <v>375.624</v>
      </c>
      <c r="V25" s="706"/>
      <c r="W25" s="22"/>
      <c r="X25" s="16"/>
      <c r="Y25" s="16"/>
      <c r="Z25" s="16"/>
      <c r="AA25" s="16"/>
      <c r="AB25" s="16"/>
      <c r="AC25" s="16"/>
      <c r="AD25" s="16"/>
      <c r="AE25" s="16"/>
      <c r="AF25" s="16"/>
      <c r="AG25" s="16"/>
      <c r="AH25" s="422"/>
    </row>
    <row r="26" customFormat="false" ht="15" hidden="false" customHeight="false" outlineLevel="0" collapsed="false">
      <c r="A26" s="330"/>
      <c r="B26" s="740"/>
      <c r="C26" s="741"/>
      <c r="D26" s="740"/>
      <c r="E26" s="736" t="n">
        <v>4</v>
      </c>
      <c r="F26" s="737"/>
      <c r="G26" s="753" t="n">
        <v>467.626821998132</v>
      </c>
      <c r="H26" s="753" t="n">
        <v>492.367802570959</v>
      </c>
      <c r="I26" s="753" t="n">
        <v>402.138449434582</v>
      </c>
      <c r="J26" s="753" t="n">
        <v>380.699052417926</v>
      </c>
      <c r="K26" s="753" t="n">
        <v>287.363145977641</v>
      </c>
      <c r="L26" s="753" t="n">
        <v>436.059782596089</v>
      </c>
      <c r="M26" s="753" t="n">
        <v>463.313519008344</v>
      </c>
      <c r="N26" s="753" t="n">
        <v>490.5672554206</v>
      </c>
      <c r="O26" s="753" t="n">
        <v>517.820991832856</v>
      </c>
      <c r="P26" s="753" t="n">
        <v>545.074728245111</v>
      </c>
      <c r="Q26" s="753" t="n">
        <v>523.271739115307</v>
      </c>
      <c r="R26" s="753" t="n">
        <v>501.468749985502</v>
      </c>
      <c r="S26" s="753" t="n">
        <v>479.665760855698</v>
      </c>
      <c r="T26" s="753" t="n">
        <v>457.862771725893</v>
      </c>
      <c r="U26" s="753" t="n">
        <v>436.059782596089</v>
      </c>
      <c r="V26" s="706"/>
      <c r="W26" s="22"/>
      <c r="X26" s="16"/>
      <c r="Y26" s="16"/>
      <c r="Z26" s="16"/>
      <c r="AA26" s="16"/>
      <c r="AB26" s="16"/>
      <c r="AC26" s="16"/>
      <c r="AD26" s="16"/>
      <c r="AE26" s="16"/>
      <c r="AF26" s="16"/>
      <c r="AG26" s="16"/>
      <c r="AH26" s="422"/>
    </row>
    <row r="27" customFormat="false" ht="15" hidden="false" customHeight="false" outlineLevel="0" collapsed="false">
      <c r="A27" s="330"/>
      <c r="B27" s="740" t="n">
        <v>105</v>
      </c>
      <c r="C27" s="741"/>
      <c r="D27" s="740" t="s">
        <v>484</v>
      </c>
      <c r="E27" s="736" t="n">
        <v>2</v>
      </c>
      <c r="F27" s="737"/>
      <c r="G27" s="753" t="n">
        <v>205.08</v>
      </c>
      <c r="H27" s="753" t="n">
        <v>266.844</v>
      </c>
      <c r="I27" s="753" t="n">
        <v>207.918391185377</v>
      </c>
      <c r="J27" s="753" t="n">
        <v>433.848</v>
      </c>
      <c r="K27" s="753" t="n">
        <v>303.462636985766</v>
      </c>
      <c r="L27" s="753" t="n">
        <v>180.242026571043</v>
      </c>
      <c r="M27" s="753" t="n">
        <v>191.507153231733</v>
      </c>
      <c r="N27" s="753" t="n">
        <v>202.772279892423</v>
      </c>
      <c r="O27" s="753" t="n">
        <v>214.037406553113</v>
      </c>
      <c r="P27" s="753" t="n">
        <v>225.302533213804</v>
      </c>
      <c r="Q27" s="753" t="n">
        <v>216.290431885251</v>
      </c>
      <c r="R27" s="753" t="n">
        <v>207.278330556699</v>
      </c>
      <c r="S27" s="753" t="n">
        <v>198.266229228147</v>
      </c>
      <c r="T27" s="753" t="n">
        <v>189.254127899595</v>
      </c>
      <c r="U27" s="753" t="n">
        <v>180.242026571043</v>
      </c>
      <c r="V27" s="706"/>
      <c r="W27" s="22"/>
      <c r="X27" s="16"/>
      <c r="Y27" s="16"/>
      <c r="Z27" s="16"/>
      <c r="AA27" s="16"/>
      <c r="AB27" s="16"/>
      <c r="AC27" s="16"/>
      <c r="AD27" s="16"/>
      <c r="AE27" s="16"/>
      <c r="AF27" s="16"/>
      <c r="AG27" s="16"/>
      <c r="AH27" s="422"/>
    </row>
    <row r="28" customFormat="false" ht="15" hidden="false" customHeight="false" outlineLevel="0" collapsed="false">
      <c r="A28" s="330"/>
      <c r="B28" s="740"/>
      <c r="C28" s="741"/>
      <c r="D28" s="740"/>
      <c r="E28" s="736" t="n">
        <v>3</v>
      </c>
      <c r="F28" s="737"/>
      <c r="G28" s="753" t="n">
        <v>218.556</v>
      </c>
      <c r="H28" s="753" t="n">
        <v>192.132</v>
      </c>
      <c r="I28" s="753" t="n">
        <v>209.328</v>
      </c>
      <c r="J28" s="753" t="n">
        <v>288.756</v>
      </c>
      <c r="K28" s="753" t="n">
        <v>305.52</v>
      </c>
      <c r="L28" s="753" t="n">
        <v>181.464</v>
      </c>
      <c r="M28" s="753" t="n">
        <v>192.8055</v>
      </c>
      <c r="N28" s="753" t="n">
        <v>204.147</v>
      </c>
      <c r="O28" s="753" t="n">
        <v>215.4885</v>
      </c>
      <c r="P28" s="753" t="n">
        <v>226.83</v>
      </c>
      <c r="Q28" s="753" t="n">
        <v>217.7568</v>
      </c>
      <c r="R28" s="753" t="n">
        <v>208.6836</v>
      </c>
      <c r="S28" s="753" t="n">
        <v>199.6104</v>
      </c>
      <c r="T28" s="753" t="n">
        <v>190.5372</v>
      </c>
      <c r="U28" s="753" t="n">
        <v>181.464</v>
      </c>
      <c r="V28" s="706"/>
      <c r="W28" s="22"/>
      <c r="X28" s="16"/>
      <c r="Y28" s="16"/>
      <c r="Z28" s="16"/>
      <c r="AA28" s="16"/>
      <c r="AB28" s="16"/>
      <c r="AC28" s="16"/>
      <c r="AD28" s="16"/>
      <c r="AE28" s="16"/>
      <c r="AF28" s="16"/>
      <c r="AG28" s="16"/>
      <c r="AH28" s="422"/>
    </row>
    <row r="29" customFormat="false" ht="15" hidden="false" customHeight="false" outlineLevel="0" collapsed="false">
      <c r="A29" s="330"/>
      <c r="B29" s="740"/>
      <c r="C29" s="741"/>
      <c r="D29" s="740"/>
      <c r="E29" s="736" t="n">
        <v>4</v>
      </c>
      <c r="F29" s="737"/>
      <c r="G29" s="753" t="n">
        <v>253.720427462225</v>
      </c>
      <c r="H29" s="753" t="n">
        <v>223.044954927672</v>
      </c>
      <c r="I29" s="753" t="n">
        <v>243.007694320049</v>
      </c>
      <c r="J29" s="753" t="n">
        <v>335.215211443668</v>
      </c>
      <c r="K29" s="753" t="n">
        <v>354.676444473082</v>
      </c>
      <c r="L29" s="753" t="n">
        <v>210.660533908953</v>
      </c>
      <c r="M29" s="753" t="n">
        <v>223.826817278263</v>
      </c>
      <c r="N29" s="753" t="n">
        <v>236.993100647572</v>
      </c>
      <c r="O29" s="753" t="n">
        <v>250.159384016882</v>
      </c>
      <c r="P29" s="753" t="n">
        <v>263.325667386192</v>
      </c>
      <c r="Q29" s="753" t="n">
        <v>252.792640690744</v>
      </c>
      <c r="R29" s="753" t="n">
        <v>242.259613995296</v>
      </c>
      <c r="S29" s="753" t="n">
        <v>231.726587299849</v>
      </c>
      <c r="T29" s="753" t="n">
        <v>221.193560604401</v>
      </c>
      <c r="U29" s="753" t="n">
        <v>210.660533908953</v>
      </c>
      <c r="V29" s="706"/>
      <c r="W29" s="22"/>
      <c r="X29" s="16"/>
      <c r="Y29" s="16"/>
      <c r="Z29" s="16"/>
      <c r="AA29" s="16"/>
      <c r="AB29" s="16"/>
      <c r="AC29" s="16"/>
      <c r="AD29" s="16"/>
      <c r="AE29" s="16"/>
      <c r="AF29" s="16"/>
      <c r="AG29" s="16"/>
      <c r="AH29" s="422"/>
    </row>
    <row r="30" customFormat="false" ht="15" hidden="false" customHeight="false" outlineLevel="0" collapsed="false">
      <c r="A30" s="330"/>
      <c r="B30" s="740"/>
      <c r="C30" s="741"/>
      <c r="D30" s="740" t="s">
        <v>485</v>
      </c>
      <c r="E30" s="736" t="n">
        <v>2</v>
      </c>
      <c r="F30" s="737"/>
      <c r="G30" s="753" t="n">
        <v>198.036</v>
      </c>
      <c r="H30" s="753" t="n">
        <v>229.152</v>
      </c>
      <c r="I30" s="753" t="n">
        <v>150.18</v>
      </c>
      <c r="J30" s="753" t="n">
        <v>287.88</v>
      </c>
      <c r="K30" s="753" t="n">
        <v>305.328</v>
      </c>
      <c r="L30" s="753" t="n">
        <v>313.416</v>
      </c>
      <c r="M30" s="753" t="n">
        <v>333.0045</v>
      </c>
      <c r="N30" s="753" t="n">
        <v>352.593</v>
      </c>
      <c r="O30" s="753" t="n">
        <v>372.1815</v>
      </c>
      <c r="P30" s="753" t="n">
        <v>391.77</v>
      </c>
      <c r="Q30" s="753" t="n">
        <v>376.0992</v>
      </c>
      <c r="R30" s="753" t="n">
        <v>360.4284</v>
      </c>
      <c r="S30" s="753" t="n">
        <v>344.7576</v>
      </c>
      <c r="T30" s="753" t="n">
        <v>329.0868</v>
      </c>
      <c r="U30" s="753" t="n">
        <v>313.416</v>
      </c>
      <c r="V30" s="706"/>
      <c r="W30" s="22"/>
      <c r="X30" s="16"/>
      <c r="Y30" s="16"/>
      <c r="Z30" s="16"/>
      <c r="AA30" s="16"/>
      <c r="AB30" s="16"/>
      <c r="AC30" s="16"/>
      <c r="AD30" s="16"/>
      <c r="AE30" s="16"/>
      <c r="AF30" s="16"/>
      <c r="AG30" s="16"/>
      <c r="AH30" s="422"/>
    </row>
    <row r="31" customFormat="false" ht="15" hidden="false" customHeight="false" outlineLevel="0" collapsed="false">
      <c r="A31" s="330"/>
      <c r="B31" s="740"/>
      <c r="C31" s="741"/>
      <c r="D31" s="740"/>
      <c r="E31" s="736" t="n">
        <v>3</v>
      </c>
      <c r="F31" s="737"/>
      <c r="G31" s="753" t="n">
        <v>409.86</v>
      </c>
      <c r="H31" s="753" t="n">
        <v>269.628</v>
      </c>
      <c r="I31" s="753" t="n">
        <v>195.464683484696</v>
      </c>
      <c r="J31" s="753" t="n">
        <v>327.936</v>
      </c>
      <c r="K31" s="753" t="n">
        <v>247.536</v>
      </c>
      <c r="L31" s="753" t="n">
        <v>375.624</v>
      </c>
      <c r="M31" s="753" t="n">
        <v>399.1005</v>
      </c>
      <c r="N31" s="753" t="n">
        <v>422.577</v>
      </c>
      <c r="O31" s="753" t="n">
        <v>446.0535</v>
      </c>
      <c r="P31" s="753" t="n">
        <v>469.53</v>
      </c>
      <c r="Q31" s="753" t="n">
        <v>450.7488</v>
      </c>
      <c r="R31" s="753" t="n">
        <v>431.9676</v>
      </c>
      <c r="S31" s="753" t="n">
        <v>413.1864</v>
      </c>
      <c r="T31" s="753" t="n">
        <v>394.4052</v>
      </c>
      <c r="U31" s="753" t="n">
        <v>375.624</v>
      </c>
      <c r="V31" s="706"/>
      <c r="W31" s="22"/>
      <c r="X31" s="16"/>
      <c r="Y31" s="16"/>
      <c r="Z31" s="16"/>
      <c r="AA31" s="16"/>
      <c r="AB31" s="16"/>
      <c r="AC31" s="16"/>
      <c r="AD31" s="16"/>
      <c r="AE31" s="16"/>
      <c r="AF31" s="16"/>
      <c r="AG31" s="16"/>
      <c r="AH31" s="422"/>
    </row>
    <row r="32" customFormat="false" ht="15" hidden="false" customHeight="false" outlineLevel="0" collapsed="false">
      <c r="A32" s="330"/>
      <c r="B32" s="740"/>
      <c r="C32" s="741"/>
      <c r="D32" s="740"/>
      <c r="E32" s="736" t="n">
        <v>4</v>
      </c>
      <c r="F32" s="737"/>
      <c r="G32" s="753" t="n">
        <v>475.804161860885</v>
      </c>
      <c r="H32" s="753" t="n">
        <v>313.009624150263</v>
      </c>
      <c r="I32" s="753" t="n">
        <v>226.913848384421</v>
      </c>
      <c r="J32" s="753" t="n">
        <v>380.699052417926</v>
      </c>
      <c r="K32" s="753" t="n">
        <v>287.363145977641</v>
      </c>
      <c r="L32" s="753" t="n">
        <v>436.059782596089</v>
      </c>
      <c r="M32" s="753" t="n">
        <v>463.313519008344</v>
      </c>
      <c r="N32" s="753" t="n">
        <v>490.5672554206</v>
      </c>
      <c r="O32" s="753" t="n">
        <v>517.820991832856</v>
      </c>
      <c r="P32" s="753" t="n">
        <v>545.074728245111</v>
      </c>
      <c r="Q32" s="753" t="n">
        <v>523.271739115307</v>
      </c>
      <c r="R32" s="753" t="n">
        <v>501.468749985502</v>
      </c>
      <c r="S32" s="753" t="n">
        <v>479.665760855698</v>
      </c>
      <c r="T32" s="753" t="n">
        <v>457.862771725893</v>
      </c>
      <c r="U32" s="753" t="n">
        <v>436.059782596089</v>
      </c>
      <c r="V32" s="706"/>
      <c r="W32" s="22"/>
      <c r="X32" s="16"/>
      <c r="Y32" s="16"/>
      <c r="Z32" s="16"/>
      <c r="AA32" s="16"/>
      <c r="AB32" s="16"/>
      <c r="AC32" s="16"/>
      <c r="AD32" s="16"/>
      <c r="AE32" s="16"/>
      <c r="AF32" s="16"/>
      <c r="AG32" s="16"/>
      <c r="AH32" s="422"/>
    </row>
    <row r="33" customFormat="false" ht="15" hidden="false" customHeight="true" outlineLevel="0" collapsed="false">
      <c r="A33" s="330"/>
      <c r="B33" s="743"/>
      <c r="C33" s="744"/>
      <c r="D33" s="743"/>
      <c r="E33" s="743"/>
      <c r="F33" s="744"/>
      <c r="G33" s="745"/>
      <c r="H33" s="746"/>
      <c r="I33" s="746"/>
      <c r="J33" s="746"/>
      <c r="K33" s="746"/>
      <c r="L33" s="746"/>
      <c r="M33" s="746"/>
      <c r="N33" s="746"/>
      <c r="O33" s="746"/>
      <c r="P33" s="746"/>
      <c r="Q33" s="746"/>
      <c r="R33" s="746"/>
      <c r="S33" s="746"/>
      <c r="T33" s="746"/>
      <c r="U33" s="747"/>
      <c r="V33" s="748"/>
      <c r="W33" s="22"/>
      <c r="X33" s="16"/>
      <c r="Y33" s="16"/>
      <c r="Z33" s="16"/>
      <c r="AA33" s="16"/>
      <c r="AB33" s="16"/>
      <c r="AC33" s="16"/>
      <c r="AD33" s="16"/>
      <c r="AE33" s="16"/>
      <c r="AF33" s="16"/>
      <c r="AG33" s="16"/>
      <c r="AH33" s="422"/>
    </row>
    <row r="34" customFormat="false" ht="15" hidden="false" customHeight="false" outlineLevel="0" collapsed="false">
      <c r="A34" s="111"/>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10"/>
    </row>
    <row r="35" customFormat="false" ht="15" hidden="true" customHeight="false" outlineLevel="0" collapsed="false">
      <c r="A35" s="330"/>
      <c r="B35" s="16"/>
      <c r="D35" s="16"/>
      <c r="E35" s="16"/>
      <c r="G35" s="16"/>
      <c r="H35" s="16"/>
      <c r="I35" s="16"/>
      <c r="J35" s="16"/>
      <c r="K35" s="16"/>
      <c r="L35" s="16"/>
      <c r="M35" s="16"/>
      <c r="N35" s="16"/>
      <c r="O35" s="16"/>
      <c r="P35" s="16"/>
      <c r="Q35" s="16"/>
      <c r="R35" s="16"/>
      <c r="S35" s="16"/>
      <c r="T35" s="16"/>
      <c r="U35" s="16"/>
      <c r="V35" s="16"/>
      <c r="W35" s="22"/>
      <c r="X35" s="22"/>
      <c r="Y35" s="22"/>
      <c r="Z35" s="22"/>
      <c r="AA35" s="22"/>
      <c r="AB35" s="22"/>
      <c r="AC35" s="22"/>
      <c r="AD35" s="22"/>
      <c r="AE35" s="22"/>
      <c r="AF35" s="22"/>
      <c r="AG35" s="22"/>
      <c r="AH35" s="22"/>
    </row>
    <row r="36" customFormat="false" ht="15" hidden="true" customHeight="false" outlineLevel="0" collapsed="false">
      <c r="A36" s="111"/>
      <c r="B36" s="106"/>
      <c r="D36" s="106"/>
      <c r="E36" s="106"/>
      <c r="G36" s="106"/>
      <c r="H36" s="106"/>
      <c r="I36" s="106"/>
      <c r="J36" s="106"/>
      <c r="K36" s="106"/>
      <c r="L36" s="106"/>
      <c r="M36" s="106"/>
      <c r="N36" s="106"/>
      <c r="O36" s="106"/>
      <c r="P36" s="106"/>
      <c r="Q36" s="106"/>
      <c r="R36" s="106"/>
      <c r="S36" s="106"/>
      <c r="T36" s="106"/>
      <c r="U36" s="106"/>
      <c r="V36" s="106"/>
      <c r="W36" s="22"/>
      <c r="X36" s="22"/>
      <c r="Y36" s="22"/>
      <c r="Z36" s="22"/>
      <c r="AA36" s="22"/>
      <c r="AB36" s="22"/>
      <c r="AC36" s="22"/>
      <c r="AD36" s="22"/>
      <c r="AE36" s="22"/>
      <c r="AF36" s="22"/>
      <c r="AG36" s="22"/>
      <c r="AH36" s="22"/>
    </row>
    <row r="37" customFormat="false" ht="15" hidden="true" customHeight="false" outlineLevel="0" collapsed="false">
      <c r="A37" s="22"/>
      <c r="R37" s="22"/>
      <c r="S37" s="22"/>
      <c r="T37" s="22"/>
      <c r="U37" s="22"/>
      <c r="V37" s="22"/>
      <c r="W37" s="22"/>
      <c r="X37" s="22"/>
      <c r="Y37" s="22"/>
      <c r="Z37" s="22"/>
      <c r="AA37" s="22"/>
      <c r="AB37" s="22"/>
      <c r="AC37" s="22"/>
      <c r="AD37" s="22"/>
      <c r="AE37" s="22"/>
      <c r="AF37" s="22"/>
      <c r="AG37" s="22"/>
      <c r="AH37" s="22"/>
    </row>
    <row r="38" customFormat="false" ht="15" hidden="true" customHeight="false" outlineLevel="0" collapsed="false">
      <c r="A38" s="22"/>
      <c r="R38" s="22"/>
      <c r="S38" s="22"/>
      <c r="T38" s="22"/>
      <c r="U38" s="22"/>
      <c r="V38" s="22"/>
      <c r="W38" s="22"/>
      <c r="X38" s="22"/>
      <c r="Y38" s="22"/>
      <c r="Z38" s="22"/>
      <c r="AA38" s="22"/>
      <c r="AB38" s="22"/>
      <c r="AC38" s="22"/>
      <c r="AD38" s="22"/>
      <c r="AE38" s="22"/>
      <c r="AF38" s="22"/>
      <c r="AG38" s="22"/>
      <c r="AH38" s="22"/>
    </row>
    <row r="39" customFormat="false" ht="15" hidden="true" customHeight="false" outlineLevel="0" collapsed="false">
      <c r="A39" s="22"/>
      <c r="R39" s="22"/>
      <c r="S39" s="22"/>
      <c r="T39" s="22"/>
      <c r="U39" s="22"/>
      <c r="V39" s="22"/>
      <c r="W39" s="22"/>
      <c r="X39" s="22"/>
      <c r="Y39" s="22"/>
      <c r="Z39" s="22"/>
      <c r="AA39" s="22"/>
      <c r="AB39" s="22"/>
      <c r="AC39" s="22"/>
      <c r="AD39" s="22"/>
      <c r="AE39" s="22"/>
      <c r="AF39" s="22"/>
      <c r="AG39" s="22"/>
      <c r="AH39" s="22"/>
    </row>
    <row r="40" customFormat="false" ht="15" hidden="true" customHeight="false" outlineLevel="0" collapsed="false">
      <c r="A40" s="22"/>
      <c r="R40" s="22"/>
      <c r="S40" s="22"/>
      <c r="T40" s="22"/>
      <c r="U40" s="22"/>
      <c r="V40" s="22"/>
      <c r="W40" s="22"/>
      <c r="X40" s="22"/>
      <c r="Y40" s="22"/>
      <c r="Z40" s="22"/>
      <c r="AA40" s="22"/>
      <c r="AB40" s="22"/>
      <c r="AC40" s="22"/>
      <c r="AD40" s="22"/>
      <c r="AE40" s="22"/>
      <c r="AF40" s="22"/>
      <c r="AG40" s="22"/>
      <c r="AH40" s="22"/>
    </row>
    <row r="41" customFormat="false" ht="15" hidden="true" customHeight="false" outlineLevel="0" collapsed="false">
      <c r="A41" s="22"/>
      <c r="R41" s="22"/>
      <c r="S41" s="22"/>
      <c r="T41" s="22"/>
      <c r="U41" s="22"/>
      <c r="V41" s="22"/>
      <c r="W41" s="22"/>
      <c r="X41" s="22"/>
      <c r="Y41" s="22"/>
      <c r="Z41" s="22"/>
      <c r="AA41" s="22"/>
      <c r="AB41" s="22"/>
      <c r="AC41" s="22"/>
      <c r="AD41" s="22"/>
      <c r="AE41" s="22"/>
      <c r="AF41" s="22"/>
      <c r="AG41" s="22"/>
      <c r="AH41" s="22"/>
    </row>
    <row r="42" customFormat="false" ht="15" hidden="true" customHeight="false" outlineLevel="0" collapsed="false">
      <c r="A42" s="22"/>
      <c r="R42" s="22"/>
      <c r="S42" s="22"/>
      <c r="T42" s="22"/>
      <c r="U42" s="22"/>
      <c r="V42" s="22"/>
      <c r="W42" s="22"/>
      <c r="X42" s="22"/>
      <c r="Y42" s="22"/>
      <c r="Z42" s="22"/>
      <c r="AA42" s="22"/>
      <c r="AB42" s="22"/>
      <c r="AC42" s="22"/>
      <c r="AD42" s="22"/>
      <c r="AE42" s="22"/>
      <c r="AF42" s="22"/>
      <c r="AG42" s="22"/>
      <c r="AH42" s="22"/>
    </row>
    <row r="43" customFormat="false" ht="15" hidden="true" customHeight="false" outlineLevel="0" collapsed="false">
      <c r="A43" s="22"/>
      <c r="R43" s="22"/>
      <c r="S43" s="22"/>
      <c r="T43" s="22"/>
      <c r="U43" s="22"/>
      <c r="V43" s="22"/>
      <c r="W43" s="22"/>
      <c r="X43" s="22"/>
      <c r="Y43" s="22"/>
      <c r="Z43" s="22"/>
      <c r="AA43" s="22"/>
      <c r="AB43" s="22"/>
      <c r="AC43" s="22"/>
      <c r="AD43" s="22"/>
      <c r="AE43" s="22"/>
      <c r="AF43" s="22"/>
      <c r="AG43" s="22"/>
      <c r="AH43" s="22"/>
    </row>
    <row r="44" customFormat="false" ht="15" hidden="true" customHeight="false" outlineLevel="0" collapsed="false">
      <c r="A44" s="22"/>
      <c r="R44" s="22"/>
      <c r="S44" s="22"/>
      <c r="T44" s="22"/>
      <c r="U44" s="22"/>
      <c r="V44" s="22"/>
      <c r="W44" s="22"/>
      <c r="X44" s="22"/>
      <c r="Y44" s="22"/>
      <c r="Z44" s="22"/>
      <c r="AA44" s="22"/>
      <c r="AB44" s="22"/>
      <c r="AC44" s="22"/>
      <c r="AD44" s="22"/>
      <c r="AE44" s="22"/>
      <c r="AF44" s="22"/>
      <c r="AG44" s="22"/>
      <c r="AH44" s="22"/>
    </row>
    <row r="45" customFormat="false" ht="15" hidden="true" customHeight="false" outlineLevel="0" collapsed="false">
      <c r="A45" s="22"/>
      <c r="R45" s="22"/>
      <c r="S45" s="22"/>
      <c r="T45" s="22"/>
      <c r="U45" s="22"/>
      <c r="V45" s="22"/>
      <c r="W45" s="22"/>
      <c r="X45" s="22"/>
      <c r="Y45" s="22"/>
      <c r="Z45" s="22"/>
      <c r="AA45" s="22"/>
      <c r="AB45" s="22"/>
      <c r="AC45" s="22"/>
      <c r="AD45" s="22"/>
      <c r="AE45" s="22"/>
      <c r="AF45" s="22"/>
      <c r="AG45" s="22"/>
      <c r="AH45" s="22"/>
    </row>
    <row r="46" customFormat="false" ht="15" hidden="true" customHeight="false" outlineLevel="0" collapsed="false">
      <c r="A46" s="22"/>
      <c r="R46" s="22"/>
      <c r="S46" s="22"/>
      <c r="T46" s="22"/>
      <c r="U46" s="22"/>
      <c r="V46" s="22"/>
      <c r="W46" s="22"/>
      <c r="X46" s="22"/>
      <c r="Y46" s="22"/>
      <c r="Z46" s="22"/>
      <c r="AA46" s="22"/>
      <c r="AB46" s="22"/>
      <c r="AC46" s="22"/>
      <c r="AD46" s="22"/>
      <c r="AE46" s="22"/>
      <c r="AF46" s="22"/>
      <c r="AG46" s="22"/>
      <c r="AH46" s="22"/>
    </row>
  </sheetData>
  <mergeCells count="18">
    <mergeCell ref="A3:W3"/>
    <mergeCell ref="X3:AH3"/>
    <mergeCell ref="D5:E5"/>
    <mergeCell ref="G5:U5"/>
    <mergeCell ref="B8:B10"/>
    <mergeCell ref="D8:D9"/>
    <mergeCell ref="B12:B15"/>
    <mergeCell ref="D12:D14"/>
    <mergeCell ref="B16:B20"/>
    <mergeCell ref="D16:D18"/>
    <mergeCell ref="D19:D20"/>
    <mergeCell ref="B21:B26"/>
    <mergeCell ref="D21:D23"/>
    <mergeCell ref="D24:D26"/>
    <mergeCell ref="B27:B32"/>
    <mergeCell ref="D27:D29"/>
    <mergeCell ref="D30:D32"/>
    <mergeCell ref="D33:E33"/>
  </mergeCells>
  <printOptions headings="false" gridLines="false" gridLinesSet="true" horizontalCentered="false" verticalCentered="false"/>
  <pageMargins left="0.75" right="0.75" top="1" bottom="1" header="0.511805555555555" footer="0.511805555555555"/>
  <pageSetup paperSize="9" scale="76"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34.xml><?xml version="1.0" encoding="utf-8"?>
<worksheet xmlns="http://schemas.openxmlformats.org/spreadsheetml/2006/main" xmlns:r="http://schemas.openxmlformats.org/officeDocument/2006/relationships">
  <sheetPr filterMode="false">
    <pageSetUpPr fitToPage="true"/>
  </sheetPr>
  <dimension ref="A1:AH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RowHeight="15" zeroHeight="true" outlineLevelRow="0" outlineLevelCol="0"/>
  <cols>
    <col collapsed="false" customWidth="true" hidden="false" outlineLevel="0" max="1" min="1" style="4" width="2.71"/>
    <col collapsed="false" customWidth="true" hidden="false" outlineLevel="0" max="2" min="2" style="4" width="5.43"/>
    <col collapsed="false" customWidth="true" hidden="false" outlineLevel="0" max="3" min="3" style="16" width="2.71"/>
    <col collapsed="false" customWidth="true" hidden="false" outlineLevel="0" max="4" min="4" style="4" width="7.42"/>
    <col collapsed="false" customWidth="true" hidden="false" outlineLevel="0" max="5" min="5" style="4" width="8.14"/>
    <col collapsed="false" customWidth="true" hidden="false" outlineLevel="0" max="6" min="6" style="16" width="9.14"/>
    <col collapsed="false" customWidth="true" hidden="false" outlineLevel="0" max="21" min="7" style="4" width="8.86"/>
    <col collapsed="false" customWidth="true" hidden="false" outlineLevel="0" max="22" min="22" style="4" width="7.29"/>
    <col collapsed="false" customWidth="true" hidden="false" outlineLevel="0" max="23" min="23" style="4" width="5.14"/>
    <col collapsed="false" customWidth="true" hidden="true" outlineLevel="0" max="32" min="24" style="4" width="5.14"/>
    <col collapsed="false" customWidth="true" hidden="true" outlineLevel="0" max="33" min="33" style="4" width="8.57"/>
    <col collapsed="false" customWidth="true" hidden="true" outlineLevel="0" max="34" min="34" style="4" width="2"/>
    <col collapsed="false" customWidth="true" hidden="true" outlineLevel="0" max="255" min="35" style="4" width="9.14"/>
    <col collapsed="false" customWidth="false" hidden="true" outlineLevel="0" max="1025" min="256" style="4" width="11.52"/>
  </cols>
  <sheetData>
    <row r="1" customFormat="false" ht="15" hidden="false" customHeight="false" outlineLevel="0" collapsed="false">
      <c r="A1" s="723"/>
      <c r="B1" s="724"/>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4"/>
      <c r="AG1" s="724"/>
      <c r="AH1" s="725"/>
    </row>
    <row r="2" customFormat="false" ht="37.5" hidden="false" customHeight="true" outlineLevel="0" collapsed="false">
      <c r="A2" s="111"/>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10"/>
    </row>
    <row r="3" customFormat="false" ht="36.6" hidden="false" customHeight="true" outlineLevel="0" collapsed="false">
      <c r="A3" s="384" t="s">
        <v>489</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c r="AD3" s="384"/>
      <c r="AE3" s="384"/>
      <c r="AF3" s="384"/>
      <c r="AG3" s="384"/>
      <c r="AH3" s="384"/>
    </row>
    <row r="4" customFormat="false" ht="15" hidden="false" customHeight="true" outlineLevel="0" collapsed="false">
      <c r="A4" s="330"/>
      <c r="B4" s="16"/>
      <c r="D4" s="16"/>
      <c r="E4" s="16"/>
      <c r="G4" s="16"/>
      <c r="H4" s="16"/>
      <c r="I4" s="16"/>
      <c r="J4" s="16"/>
      <c r="K4" s="16"/>
      <c r="L4" s="16"/>
      <c r="M4" s="16"/>
      <c r="N4" s="16"/>
      <c r="O4" s="16"/>
      <c r="P4" s="16"/>
      <c r="Q4" s="16"/>
      <c r="R4" s="16"/>
      <c r="S4" s="16"/>
      <c r="T4" s="16"/>
      <c r="U4" s="16"/>
      <c r="V4" s="16"/>
      <c r="W4" s="724"/>
      <c r="X4" s="724"/>
      <c r="Y4" s="724"/>
      <c r="Z4" s="724"/>
      <c r="AA4" s="724"/>
      <c r="AB4" s="724"/>
      <c r="AC4" s="724"/>
      <c r="AD4" s="724"/>
      <c r="AE4" s="724"/>
      <c r="AF4" s="724"/>
      <c r="AG4" s="724"/>
      <c r="AH4" s="725"/>
    </row>
    <row r="5" customFormat="false" ht="15" hidden="false" customHeight="false" outlineLevel="0" collapsed="false">
      <c r="A5" s="330"/>
      <c r="B5" s="726" t="s">
        <v>174</v>
      </c>
      <c r="C5" s="727"/>
      <c r="D5" s="728"/>
      <c r="E5" s="729" t="s">
        <v>490</v>
      </c>
      <c r="F5" s="729"/>
      <c r="G5" s="729"/>
      <c r="H5" s="729"/>
      <c r="I5" s="729"/>
      <c r="J5" s="729"/>
      <c r="K5" s="729"/>
      <c r="L5" s="729"/>
      <c r="M5" s="729"/>
      <c r="N5" s="729"/>
      <c r="O5" s="729"/>
      <c r="P5" s="729"/>
      <c r="Q5" s="729"/>
      <c r="R5" s="729"/>
      <c r="S5" s="729"/>
      <c r="T5" s="730"/>
      <c r="U5" s="16"/>
      <c r="V5" s="16"/>
      <c r="W5" s="16"/>
      <c r="X5" s="16"/>
      <c r="Y5" s="16"/>
      <c r="Z5" s="16"/>
      <c r="AA5" s="16"/>
      <c r="AB5" s="16"/>
      <c r="AC5" s="16"/>
      <c r="AD5" s="16"/>
      <c r="AE5" s="16"/>
      <c r="AF5" s="422"/>
    </row>
    <row r="6" customFormat="false" ht="15" hidden="false" customHeight="false" outlineLevel="0" collapsed="false">
      <c r="A6" s="330"/>
      <c r="B6" s="731" t="s">
        <v>298</v>
      </c>
      <c r="C6" s="727"/>
      <c r="D6" s="727"/>
      <c r="E6" s="749" t="s">
        <v>299</v>
      </c>
      <c r="F6" s="749" t="s">
        <v>300</v>
      </c>
      <c r="G6" s="749" t="s">
        <v>301</v>
      </c>
      <c r="H6" s="749" t="s">
        <v>302</v>
      </c>
      <c r="I6" s="749" t="s">
        <v>303</v>
      </c>
      <c r="J6" s="749" t="s">
        <v>304</v>
      </c>
      <c r="K6" s="749" t="s">
        <v>305</v>
      </c>
      <c r="L6" s="749" t="s">
        <v>306</v>
      </c>
      <c r="M6" s="749" t="s">
        <v>307</v>
      </c>
      <c r="N6" s="749" t="s">
        <v>308</v>
      </c>
      <c r="O6" s="749" t="s">
        <v>309</v>
      </c>
      <c r="P6" s="749" t="s">
        <v>310</v>
      </c>
      <c r="Q6" s="749" t="s">
        <v>311</v>
      </c>
      <c r="R6" s="749" t="s">
        <v>312</v>
      </c>
      <c r="S6" s="749" t="s">
        <v>313</v>
      </c>
      <c r="T6" s="749" t="s">
        <v>486</v>
      </c>
      <c r="U6" s="22"/>
      <c r="V6" s="16"/>
      <c r="W6" s="16"/>
      <c r="X6" s="16"/>
      <c r="Y6" s="16"/>
      <c r="Z6" s="16"/>
      <c r="AA6" s="16"/>
      <c r="AB6" s="16"/>
      <c r="AC6" s="16"/>
      <c r="AD6" s="16"/>
      <c r="AE6" s="16"/>
      <c r="AF6" s="422"/>
    </row>
    <row r="7" customFormat="false" ht="15" hidden="false" customHeight="false" outlineLevel="0" collapsed="false">
      <c r="A7" s="330"/>
      <c r="B7" s="736" t="n">
        <v>45</v>
      </c>
      <c r="C7" s="737"/>
      <c r="D7" s="737"/>
      <c r="E7" s="739" t="n">
        <f aca="false">AVERAGE('DAF Oil CPV'!G7)</f>
        <v>98.22</v>
      </c>
      <c r="F7" s="739" t="n">
        <f aca="false">AVERAGE('DAF Oil CPV'!H7)</f>
        <v>144.624</v>
      </c>
      <c r="G7" s="739" t="n">
        <f aca="false">AVERAGE('DAF Oil CPV'!I7)</f>
        <v>123.684</v>
      </c>
      <c r="H7" s="739" t="n">
        <f aca="false">AVERAGE('DAF Oil CPV'!J7)</f>
        <v>140.328</v>
      </c>
      <c r="I7" s="739" t="n">
        <f aca="false">AVERAGE('DAF Oil CPV'!K7)</f>
        <v>139.008</v>
      </c>
      <c r="J7" s="739" t="n">
        <f aca="false">AVERAGE('DAF Oil CPV'!L7)</f>
        <v>124.68</v>
      </c>
      <c r="K7" s="739" t="n">
        <f aca="false">AVERAGE('DAF Oil CPV'!M7)</f>
        <v>132.4725</v>
      </c>
      <c r="L7" s="739" t="n">
        <f aca="false">AVERAGE('DAF Oil CPV'!N7)</f>
        <v>140.265</v>
      </c>
      <c r="M7" s="739" t="n">
        <f aca="false">AVERAGE('DAF Oil CPV'!O7)</f>
        <v>148.0575</v>
      </c>
      <c r="N7" s="739" t="n">
        <f aca="false">AVERAGE('DAF Oil CPV'!P7)</f>
        <v>155.85</v>
      </c>
      <c r="O7" s="739" t="n">
        <f aca="false">AVERAGE('DAF Oil CPV'!Q7)</f>
        <v>149.616</v>
      </c>
      <c r="P7" s="739" t="n">
        <f aca="false">AVERAGE('DAF Oil CPV'!R7)</f>
        <v>143.382</v>
      </c>
      <c r="Q7" s="739" t="n">
        <f aca="false">AVERAGE('DAF Oil CPV'!S7)</f>
        <v>137.148</v>
      </c>
      <c r="R7" s="739" t="n">
        <f aca="false">AVERAGE('DAF Oil CPV'!T7)</f>
        <v>130.914</v>
      </c>
      <c r="S7" s="739" t="n">
        <f aca="false">AVERAGE('DAF Oil CPV'!U7)</f>
        <v>124.68</v>
      </c>
      <c r="T7" s="750" t="n">
        <f aca="false">AVERAGE(E7:S7)</f>
        <v>135.5286</v>
      </c>
      <c r="U7" s="22"/>
      <c r="V7" s="16"/>
      <c r="W7" s="16"/>
      <c r="X7" s="16"/>
      <c r="Y7" s="16"/>
      <c r="Z7" s="16"/>
      <c r="AA7" s="16"/>
      <c r="AB7" s="16"/>
      <c r="AC7" s="16"/>
      <c r="AD7" s="16"/>
      <c r="AE7" s="16"/>
      <c r="AF7" s="422"/>
    </row>
    <row r="8" customFormat="false" ht="15" hidden="false" customHeight="false" outlineLevel="0" collapsed="false">
      <c r="A8" s="330"/>
      <c r="B8" s="751" t="n">
        <v>55</v>
      </c>
      <c r="C8" s="741"/>
      <c r="D8" s="737"/>
      <c r="E8" s="739" t="n">
        <f aca="false">AVERAGE('DAF Oil CPV'!G8:G10)</f>
        <v>121.611938217437</v>
      </c>
      <c r="F8" s="739" t="n">
        <f aca="false">AVERAGE('DAF Oil CPV'!H8:H10)</f>
        <v>163.571764980167</v>
      </c>
      <c r="G8" s="739" t="n">
        <f aca="false">AVERAGE('DAF Oil CPV'!I8:I10)</f>
        <v>151.172473536793</v>
      </c>
      <c r="H8" s="739" t="n">
        <f aca="false">AVERAGE('DAF Oil CPV'!J8:J10)</f>
        <v>155.726253185461</v>
      </c>
      <c r="I8" s="739" t="n">
        <f aca="false">AVERAGE('DAF Oil CPV'!K8:K10)</f>
        <v>128.98906124828</v>
      </c>
      <c r="J8" s="739" t="n">
        <f aca="false">AVERAGE('DAF Oil CPV'!L8:L10)</f>
        <v>154.659367667773</v>
      </c>
      <c r="K8" s="739" t="n">
        <f aca="false">AVERAGE('DAF Oil CPV'!M8:M10)</f>
        <v>164.325578147009</v>
      </c>
      <c r="L8" s="739" t="n">
        <f aca="false">AVERAGE('DAF Oil CPV'!N8:N10)</f>
        <v>173.991788626245</v>
      </c>
      <c r="M8" s="739" t="n">
        <f aca="false">AVERAGE('DAF Oil CPV'!O8:O10)</f>
        <v>183.657999105481</v>
      </c>
      <c r="N8" s="739" t="n">
        <f aca="false">AVERAGE('DAF Oil CPV'!P8:P10)</f>
        <v>193.324209584716</v>
      </c>
      <c r="O8" s="739" t="n">
        <f aca="false">AVERAGE('DAF Oil CPV'!Q8:Q10)</f>
        <v>185.591241201328</v>
      </c>
      <c r="P8" s="739" t="n">
        <f aca="false">AVERAGE('DAF Oil CPV'!R8:R10)</f>
        <v>177.858272817939</v>
      </c>
      <c r="Q8" s="739" t="n">
        <f aca="false">AVERAGE('DAF Oil CPV'!S8:S10)</f>
        <v>170.12530443455</v>
      </c>
      <c r="R8" s="739" t="n">
        <f aca="false">AVERAGE('DAF Oil CPV'!T8:T10)</f>
        <v>162.392336051162</v>
      </c>
      <c r="S8" s="739" t="n">
        <f aca="false">AVERAGE('DAF Oil CPV'!U8:U10)</f>
        <v>154.659367667773</v>
      </c>
      <c r="T8" s="750" t="n">
        <f aca="false">AVERAGE(E8:S8)</f>
        <v>162.777130431474</v>
      </c>
      <c r="U8" s="22"/>
      <c r="V8" s="16"/>
      <c r="W8" s="16"/>
      <c r="X8" s="16"/>
      <c r="Y8" s="16"/>
      <c r="Z8" s="16"/>
      <c r="AA8" s="16"/>
      <c r="AB8" s="16"/>
      <c r="AC8" s="16"/>
      <c r="AD8" s="16"/>
      <c r="AE8" s="16"/>
      <c r="AF8" s="422"/>
    </row>
    <row r="9" customFormat="false" ht="15" hidden="false" customHeight="false" outlineLevel="0" collapsed="false">
      <c r="A9" s="330"/>
      <c r="B9" s="742" t="n">
        <v>65</v>
      </c>
      <c r="C9" s="737"/>
      <c r="D9" s="737"/>
      <c r="E9" s="739" t="n">
        <f aca="false">AVERAGE('DAF Oil CPV'!G11)</f>
        <v>185.459016393443</v>
      </c>
      <c r="F9" s="739" t="n">
        <f aca="false">AVERAGE('DAF Oil CPV'!H11)</f>
        <v>230.919829787234</v>
      </c>
      <c r="G9" s="739" t="n">
        <f aca="false">AVERAGE('DAF Oil CPV'!I11)</f>
        <v>220.452216216216</v>
      </c>
      <c r="H9" s="739" t="n">
        <f aca="false">AVERAGE('DAF Oil CPV'!J11)</f>
        <v>223.364493506494</v>
      </c>
      <c r="I9" s="739" t="n">
        <f aca="false">AVERAGE('DAF Oil CPV'!K11)</f>
        <v>256.102458100559</v>
      </c>
      <c r="J9" s="739" t="n">
        <f aca="false">AVERAGE('DAF Oil CPV'!L11)</f>
        <v>298.492120481928</v>
      </c>
      <c r="K9" s="739" t="n">
        <f aca="false">AVERAGE('DAF Oil CPV'!M11)</f>
        <v>317.147878012048</v>
      </c>
      <c r="L9" s="739" t="n">
        <f aca="false">AVERAGE('DAF Oil CPV'!N11)</f>
        <v>335.803635542169</v>
      </c>
      <c r="M9" s="739" t="n">
        <f aca="false">AVERAGE('DAF Oil CPV'!O11)</f>
        <v>354.459393072289</v>
      </c>
      <c r="N9" s="739" t="n">
        <f aca="false">AVERAGE('DAF Oil CPV'!P11)</f>
        <v>373.11515060241</v>
      </c>
      <c r="O9" s="739" t="n">
        <f aca="false">AVERAGE('DAF Oil CPV'!Q11)</f>
        <v>358.190544578313</v>
      </c>
      <c r="P9" s="739" t="n">
        <f aca="false">AVERAGE('DAF Oil CPV'!R11)</f>
        <v>343.265938554217</v>
      </c>
      <c r="Q9" s="739" t="n">
        <f aca="false">AVERAGE('DAF Oil CPV'!S11)</f>
        <v>328.34133253012</v>
      </c>
      <c r="R9" s="739" t="n">
        <f aca="false">AVERAGE('DAF Oil CPV'!T11)</f>
        <v>313.416726506024</v>
      </c>
      <c r="S9" s="739" t="n">
        <f aca="false">AVERAGE('DAF Oil CPV'!U11)</f>
        <v>298.492120481928</v>
      </c>
      <c r="T9" s="750" t="n">
        <f aca="false">AVERAGE(E9:S9)</f>
        <v>295.801523624359</v>
      </c>
      <c r="U9" s="22"/>
      <c r="V9" s="16"/>
      <c r="W9" s="16"/>
      <c r="X9" s="16"/>
      <c r="Y9" s="16"/>
      <c r="Z9" s="16"/>
      <c r="AA9" s="16"/>
      <c r="AB9" s="16"/>
      <c r="AC9" s="16"/>
      <c r="AD9" s="16"/>
      <c r="AE9" s="16"/>
      <c r="AF9" s="422"/>
    </row>
    <row r="10" customFormat="false" ht="15" hidden="false" customHeight="false" outlineLevel="0" collapsed="false">
      <c r="A10" s="330"/>
      <c r="B10" s="751" t="n">
        <v>75</v>
      </c>
      <c r="C10" s="741"/>
      <c r="D10" s="737"/>
      <c r="E10" s="739" t="n">
        <f aca="false">AVERAGE('DAF Oil CPV'!G12:G13,'DAF Oil CPV'!G15)</f>
        <v>272.356</v>
      </c>
      <c r="F10" s="739" t="n">
        <f aca="false">AVERAGE('DAF Oil CPV'!H12:H13,'DAF Oil CPV'!H15)</f>
        <v>256.812</v>
      </c>
      <c r="G10" s="739" t="n">
        <f aca="false">AVERAGE('DAF Oil CPV'!I12:I13,'DAF Oil CPV'!I15)</f>
        <v>267.736</v>
      </c>
      <c r="H10" s="739" t="n">
        <f aca="false">AVERAGE('DAF Oil CPV'!J12:J13,'DAF Oil CPV'!J15)</f>
        <v>275.804</v>
      </c>
      <c r="I10" s="739" t="n">
        <f aca="false">AVERAGE('DAF Oil CPV'!K12:K13,'DAF Oil CPV'!K15)</f>
        <v>302.5</v>
      </c>
      <c r="J10" s="739" t="n">
        <f aca="false">AVERAGE('DAF Oil CPV'!L12:L13,'DAF Oil CPV'!L15)</f>
        <v>339.516</v>
      </c>
      <c r="K10" s="739" t="n">
        <f aca="false">AVERAGE('DAF Oil CPV'!M12:M13,'DAF Oil CPV'!M15)</f>
        <v>360.73575</v>
      </c>
      <c r="L10" s="739" t="n">
        <f aca="false">AVERAGE('DAF Oil CPV'!N12:N13,'DAF Oil CPV'!N15)</f>
        <v>381.9555</v>
      </c>
      <c r="M10" s="739" t="n">
        <f aca="false">AVERAGE('DAF Oil CPV'!O12:O13,'DAF Oil CPV'!O15)</f>
        <v>403.17525</v>
      </c>
      <c r="N10" s="739" t="n">
        <f aca="false">AVERAGE('DAF Oil CPV'!P12:P13,'DAF Oil CPV'!P15)</f>
        <v>424.395</v>
      </c>
      <c r="O10" s="739" t="n">
        <f aca="false">AVERAGE('DAF Oil CPV'!Q12:Q13,'DAF Oil CPV'!Q15)</f>
        <v>407.4192</v>
      </c>
      <c r="P10" s="739" t="n">
        <f aca="false">AVERAGE('DAF Oil CPV'!R12:R13,'DAF Oil CPV'!R15)</f>
        <v>390.4434</v>
      </c>
      <c r="Q10" s="739" t="n">
        <f aca="false">AVERAGE('DAF Oil CPV'!S12:S13,'DAF Oil CPV'!S15)</f>
        <v>373.4676</v>
      </c>
      <c r="R10" s="739" t="n">
        <f aca="false">AVERAGE('DAF Oil CPV'!T12:T13,'DAF Oil CPV'!T15)</f>
        <v>356.4918</v>
      </c>
      <c r="S10" s="739" t="n">
        <f aca="false">AVERAGE('DAF Oil CPV'!U12:U13,'DAF Oil CPV'!U15)</f>
        <v>339.516</v>
      </c>
      <c r="T10" s="750" t="n">
        <f aca="false">AVERAGE(E10:S10)</f>
        <v>343.488233333333</v>
      </c>
      <c r="U10" s="22"/>
      <c r="V10" s="16"/>
      <c r="W10" s="16"/>
      <c r="X10" s="16"/>
      <c r="Y10" s="16"/>
      <c r="Z10" s="16"/>
      <c r="AA10" s="16"/>
      <c r="AB10" s="16"/>
      <c r="AC10" s="16"/>
      <c r="AD10" s="16"/>
      <c r="AE10" s="16"/>
      <c r="AF10" s="422"/>
    </row>
    <row r="11" customFormat="false" ht="15" hidden="false" customHeight="false" outlineLevel="0" collapsed="false">
      <c r="A11" s="330"/>
      <c r="B11" s="751" t="n">
        <v>85</v>
      </c>
      <c r="C11" s="741"/>
      <c r="D11" s="737"/>
      <c r="E11" s="739" t="n">
        <f aca="false">AVERAGE('DAF Oil CPV'!G16:G17,'DAF Oil CPV'!G19:G20)</f>
        <v>400.806</v>
      </c>
      <c r="F11" s="739" t="n">
        <f aca="false">AVERAGE('DAF Oil CPV'!H16:H17,'DAF Oil CPV'!H19:H20)</f>
        <v>392.118</v>
      </c>
      <c r="G11" s="739" t="n">
        <f aca="false">AVERAGE('DAF Oil CPV'!I16:I17,'DAF Oil CPV'!I19:I20)</f>
        <v>335.727</v>
      </c>
      <c r="H11" s="739" t="n">
        <f aca="false">AVERAGE('DAF Oil CPV'!J16:J17,'DAF Oil CPV'!J19:J20)</f>
        <v>278.958</v>
      </c>
      <c r="I11" s="739" t="n">
        <f aca="false">AVERAGE('DAF Oil CPV'!K16:K17,'DAF Oil CPV'!K19:K20)</f>
        <v>289.845</v>
      </c>
      <c r="J11" s="739" t="n">
        <f aca="false">AVERAGE('DAF Oil CPV'!L16:L17,'DAF Oil CPV'!L19:L20)</f>
        <v>325.644</v>
      </c>
      <c r="K11" s="739" t="n">
        <f aca="false">AVERAGE('DAF Oil CPV'!M16:M17,'DAF Oil CPV'!M19:M20)</f>
        <v>345.99675</v>
      </c>
      <c r="L11" s="739" t="n">
        <f aca="false">AVERAGE('DAF Oil CPV'!N16:N17,'DAF Oil CPV'!N19:N20)</f>
        <v>366.3495</v>
      </c>
      <c r="M11" s="739" t="n">
        <f aca="false">AVERAGE('DAF Oil CPV'!O16:O17,'DAF Oil CPV'!O19:O20)</f>
        <v>386.70225</v>
      </c>
      <c r="N11" s="739" t="n">
        <f aca="false">AVERAGE('DAF Oil CPV'!P16:P17,'DAF Oil CPV'!P19:P20)</f>
        <v>407.055</v>
      </c>
      <c r="O11" s="739" t="n">
        <f aca="false">AVERAGE('DAF Oil CPV'!Q16:Q17,'DAF Oil CPV'!Q19:Q20)</f>
        <v>390.7728</v>
      </c>
      <c r="P11" s="739" t="n">
        <f aca="false">AVERAGE('DAF Oil CPV'!R16:R17,'DAF Oil CPV'!R19:R20)</f>
        <v>374.4906</v>
      </c>
      <c r="Q11" s="739" t="n">
        <f aca="false">AVERAGE('DAF Oil CPV'!S16:S17,'DAF Oil CPV'!S19:S20)</f>
        <v>358.2084</v>
      </c>
      <c r="R11" s="739" t="n">
        <f aca="false">AVERAGE('DAF Oil CPV'!T16:T17,'DAF Oil CPV'!T19:T20)</f>
        <v>341.9262</v>
      </c>
      <c r="S11" s="739" t="n">
        <f aca="false">AVERAGE('DAF Oil CPV'!U16:U17,'DAF Oil CPV'!U19:U20)</f>
        <v>325.644</v>
      </c>
      <c r="T11" s="750" t="n">
        <f aca="false">AVERAGE(E11:S11)</f>
        <v>354.6829</v>
      </c>
      <c r="U11" s="22"/>
      <c r="V11" s="16"/>
      <c r="W11" s="16"/>
      <c r="X11" s="16"/>
      <c r="Y11" s="16"/>
      <c r="Z11" s="16"/>
      <c r="AA11" s="16"/>
      <c r="AB11" s="16"/>
      <c r="AC11" s="16"/>
      <c r="AD11" s="16"/>
      <c r="AE11" s="16"/>
      <c r="AF11" s="422"/>
    </row>
    <row r="12" customFormat="false" ht="15" hidden="false" customHeight="false" outlineLevel="0" collapsed="false">
      <c r="A12" s="330"/>
      <c r="B12" s="751" t="n">
        <v>95</v>
      </c>
      <c r="C12" s="741"/>
      <c r="D12" s="737"/>
      <c r="E12" s="739" t="n">
        <f aca="false">AVERAGE('DAF Oil CPV'!G21:G22,'DAF Oil CPV'!G24:G25)</f>
        <v>392.463</v>
      </c>
      <c r="F12" s="739" t="n">
        <f aca="false">AVERAGE('DAF Oil CPV'!H21:H22,'DAF Oil CPV'!H24:H25)</f>
        <v>366.231</v>
      </c>
      <c r="G12" s="739" t="n">
        <f aca="false">AVERAGE('DAF Oil CPV'!I21:I22,'DAF Oil CPV'!I24:I25)</f>
        <v>345.405</v>
      </c>
      <c r="H12" s="739" t="n">
        <f aca="false">AVERAGE('DAF Oil CPV'!J21:J22,'DAF Oil CPV'!J24:J25)</f>
        <v>334.605</v>
      </c>
      <c r="I12" s="739" t="n">
        <f aca="false">AVERAGE('DAF Oil CPV'!K21:K22,'DAF Oil CPV'!K24:K25)</f>
        <v>290.461659246441</v>
      </c>
      <c r="J12" s="739" t="n">
        <f aca="false">AVERAGE('DAF Oil CPV'!L21:L22,'DAF Oil CPV'!L24:L25)</f>
        <v>262.686506642761</v>
      </c>
      <c r="K12" s="739" t="n">
        <f aca="false">AVERAGE('DAF Oil CPV'!M21:M22,'DAF Oil CPV'!M24:M25)</f>
        <v>279.104413307933</v>
      </c>
      <c r="L12" s="739" t="n">
        <f aca="false">AVERAGE('DAF Oil CPV'!N21:N22,'DAF Oil CPV'!N24:N25)</f>
        <v>295.522319973106</v>
      </c>
      <c r="M12" s="739" t="n">
        <f aca="false">AVERAGE('DAF Oil CPV'!O21:O22,'DAF Oil CPV'!O24:O25)</f>
        <v>311.940226638278</v>
      </c>
      <c r="N12" s="739" t="n">
        <f aca="false">AVERAGE('DAF Oil CPV'!P21:P22,'DAF Oil CPV'!P24:P25)</f>
        <v>328.358133303451</v>
      </c>
      <c r="O12" s="739" t="n">
        <f aca="false">AVERAGE('DAF Oil CPV'!Q21:Q22,'DAF Oil CPV'!Q24:Q25)</f>
        <v>315.223807971313</v>
      </c>
      <c r="P12" s="739" t="n">
        <f aca="false">AVERAGE('DAF Oil CPV'!R21:R22,'DAF Oil CPV'!R24:R25)</f>
        <v>302.089482639175</v>
      </c>
      <c r="Q12" s="739" t="n">
        <f aca="false">AVERAGE('DAF Oil CPV'!S21:S22,'DAF Oil CPV'!S24:S25)</f>
        <v>288.955157307037</v>
      </c>
      <c r="R12" s="739" t="n">
        <f aca="false">AVERAGE('DAF Oil CPV'!T21:T22,'DAF Oil CPV'!T24:T25)</f>
        <v>275.820831974899</v>
      </c>
      <c r="S12" s="739" t="n">
        <f aca="false">AVERAGE('DAF Oil CPV'!U21:U22,'DAF Oil CPV'!U24:U25)</f>
        <v>262.686506642761</v>
      </c>
      <c r="T12" s="750" t="n">
        <f aca="false">AVERAGE(E12:S12)</f>
        <v>310.103536376477</v>
      </c>
      <c r="U12" s="22"/>
      <c r="V12" s="16"/>
      <c r="W12" s="16"/>
      <c r="X12" s="16"/>
      <c r="Y12" s="16"/>
      <c r="Z12" s="16"/>
      <c r="AA12" s="16"/>
      <c r="AB12" s="16"/>
      <c r="AC12" s="16"/>
      <c r="AD12" s="16"/>
      <c r="AE12" s="16"/>
      <c r="AF12" s="422"/>
    </row>
    <row r="13" customFormat="false" ht="15" hidden="false" customHeight="false" outlineLevel="0" collapsed="false">
      <c r="A13" s="330"/>
      <c r="B13" s="751" t="n">
        <v>105</v>
      </c>
      <c r="C13" s="741"/>
      <c r="D13" s="737"/>
      <c r="E13" s="739" t="n">
        <f aca="false">AVERAGE('DAF Oil CPV'!G27:G28,'DAF Oil CPV'!G30:G31)</f>
        <v>257.883</v>
      </c>
      <c r="F13" s="739" t="n">
        <f aca="false">AVERAGE('DAF Oil CPV'!H27:H28,'DAF Oil CPV'!H30:H31)</f>
        <v>239.439</v>
      </c>
      <c r="G13" s="739" t="n">
        <f aca="false">AVERAGE('DAF Oil CPV'!I27:I28,'DAF Oil CPV'!I30:I31)</f>
        <v>190.722768667518</v>
      </c>
      <c r="H13" s="739" t="n">
        <f aca="false">AVERAGE('DAF Oil CPV'!J27:J28,'DAF Oil CPV'!J30:J31)</f>
        <v>334.605</v>
      </c>
      <c r="I13" s="739" t="n">
        <f aca="false">AVERAGE('DAF Oil CPV'!K27:K28,'DAF Oil CPV'!K30:K31)</f>
        <v>290.461659246441</v>
      </c>
      <c r="J13" s="739" t="n">
        <f aca="false">AVERAGE('DAF Oil CPV'!L27:L28,'DAF Oil CPV'!L30:L31)</f>
        <v>262.686506642761</v>
      </c>
      <c r="K13" s="739" t="n">
        <f aca="false">AVERAGE('DAF Oil CPV'!M27:M28,'DAF Oil CPV'!M30:M31)</f>
        <v>279.104413307933</v>
      </c>
      <c r="L13" s="739" t="n">
        <f aca="false">AVERAGE('DAF Oil CPV'!N27:N28,'DAF Oil CPV'!N30:N31)</f>
        <v>295.522319973106</v>
      </c>
      <c r="M13" s="739" t="n">
        <f aca="false">AVERAGE('DAF Oil CPV'!O27:O28,'DAF Oil CPV'!O30:O31)</f>
        <v>311.940226638278</v>
      </c>
      <c r="N13" s="739" t="n">
        <f aca="false">AVERAGE('DAF Oil CPV'!P27:P28,'DAF Oil CPV'!P30:P31)</f>
        <v>328.358133303451</v>
      </c>
      <c r="O13" s="739" t="n">
        <f aca="false">AVERAGE('DAF Oil CPV'!Q27:Q28,'DAF Oil CPV'!Q30:Q31)</f>
        <v>315.223807971313</v>
      </c>
      <c r="P13" s="739" t="n">
        <f aca="false">AVERAGE('DAF Oil CPV'!R27:R28,'DAF Oil CPV'!R30:R31)</f>
        <v>302.089482639175</v>
      </c>
      <c r="Q13" s="739" t="n">
        <f aca="false">AVERAGE('DAF Oil CPV'!S27:S28,'DAF Oil CPV'!S30:S31)</f>
        <v>288.955157307037</v>
      </c>
      <c r="R13" s="739" t="n">
        <f aca="false">AVERAGE('DAF Oil CPV'!T27:T28,'DAF Oil CPV'!T30:T31)</f>
        <v>275.820831974899</v>
      </c>
      <c r="S13" s="739" t="n">
        <f aca="false">AVERAGE('DAF Oil CPV'!U27:U28,'DAF Oil CPV'!U30:U31)</f>
        <v>262.686506642761</v>
      </c>
      <c r="T13" s="750" t="n">
        <f aca="false">AVERAGE(E13:S13)</f>
        <v>282.366587620978</v>
      </c>
      <c r="U13" s="22"/>
      <c r="V13" s="16"/>
      <c r="W13" s="16"/>
      <c r="X13" s="16"/>
      <c r="Y13" s="16"/>
      <c r="Z13" s="16"/>
      <c r="AA13" s="16"/>
      <c r="AB13" s="16"/>
      <c r="AC13" s="16"/>
      <c r="AD13" s="16"/>
      <c r="AE13" s="16"/>
      <c r="AF13" s="422"/>
    </row>
    <row r="14" customFormat="false" ht="15" hidden="false" customHeight="true" outlineLevel="0" collapsed="false">
      <c r="A14" s="330"/>
      <c r="B14" s="743" t="s">
        <v>486</v>
      </c>
      <c r="C14" s="744"/>
      <c r="D14" s="744"/>
      <c r="E14" s="752" t="n">
        <f aca="false">AVERAGE(E7:E13)</f>
        <v>246.971279230126</v>
      </c>
      <c r="F14" s="752" t="n">
        <f aca="false">AVERAGE(F7:F13)</f>
        <v>256.245084966771</v>
      </c>
      <c r="G14" s="752" t="n">
        <f aca="false">AVERAGE(G7:G13)</f>
        <v>233.557065488647</v>
      </c>
      <c r="H14" s="752" t="n">
        <f aca="false">AVERAGE(H7:H13)</f>
        <v>249.055820955994</v>
      </c>
      <c r="I14" s="752" t="n">
        <f aca="false">AVERAGE(I7:I13)</f>
        <v>242.481119691674</v>
      </c>
      <c r="J14" s="752" t="n">
        <f aca="false">AVERAGE(J7:J13)</f>
        <v>252.623500205032</v>
      </c>
      <c r="K14" s="752" t="n">
        <f aca="false">AVERAGE(K7:K13)</f>
        <v>268.412468967846</v>
      </c>
      <c r="L14" s="752" t="n">
        <f aca="false">AVERAGE(L7:L13)</f>
        <v>284.201437730661</v>
      </c>
      <c r="M14" s="752" t="n">
        <f aca="false">AVERAGE(M7:M13)</f>
        <v>299.990406493475</v>
      </c>
      <c r="N14" s="752" t="n">
        <f aca="false">AVERAGE(N7:N13)</f>
        <v>315.77937525629</v>
      </c>
      <c r="O14" s="752" t="n">
        <f aca="false">AVERAGE(O7:O13)</f>
        <v>303.148200246038</v>
      </c>
      <c r="P14" s="752" t="n">
        <f aca="false">AVERAGE(P7:P13)</f>
        <v>290.517025235786</v>
      </c>
      <c r="Q14" s="752" t="n">
        <f aca="false">AVERAGE(Q7:Q13)</f>
        <v>277.885850225535</v>
      </c>
      <c r="R14" s="752" t="n">
        <f aca="false">AVERAGE(R7:R13)</f>
        <v>265.254675215283</v>
      </c>
      <c r="S14" s="752" t="n">
        <f aca="false">AVERAGE(S7:S13)</f>
        <v>252.623500205032</v>
      </c>
      <c r="T14" s="750" t="n">
        <f aca="false">AVERAGE(E14:S14)</f>
        <v>269.249787340946</v>
      </c>
      <c r="U14" s="22"/>
      <c r="V14" s="16"/>
      <c r="W14" s="16"/>
      <c r="X14" s="16"/>
      <c r="Y14" s="16"/>
      <c r="Z14" s="16"/>
      <c r="AA14" s="16"/>
      <c r="AB14" s="16"/>
      <c r="AC14" s="16"/>
      <c r="AD14" s="16"/>
      <c r="AE14" s="16"/>
      <c r="AF14" s="422"/>
    </row>
    <row r="15" customFormat="false" ht="15" hidden="false" customHeight="false" outlineLevel="0" collapsed="false">
      <c r="A15" s="111"/>
      <c r="B15" s="106"/>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10"/>
    </row>
    <row r="16" customFormat="false" ht="15" hidden="true" customHeight="false" outlineLevel="0" collapsed="false">
      <c r="A16" s="330"/>
      <c r="B16" s="16"/>
      <c r="D16" s="16"/>
      <c r="E16" s="16"/>
      <c r="G16" s="16"/>
      <c r="H16" s="16"/>
      <c r="I16" s="16"/>
      <c r="J16" s="16"/>
      <c r="K16" s="16"/>
      <c r="L16" s="16"/>
      <c r="M16" s="16"/>
      <c r="N16" s="16"/>
      <c r="O16" s="16"/>
      <c r="P16" s="16"/>
      <c r="Q16" s="16"/>
      <c r="R16" s="16"/>
      <c r="S16" s="16"/>
      <c r="T16" s="16"/>
      <c r="U16" s="16"/>
      <c r="V16" s="16"/>
      <c r="W16" s="22"/>
      <c r="X16" s="22"/>
      <c r="Y16" s="22"/>
      <c r="Z16" s="22"/>
      <c r="AA16" s="22"/>
      <c r="AB16" s="22"/>
      <c r="AC16" s="22"/>
      <c r="AD16" s="22"/>
      <c r="AE16" s="22"/>
      <c r="AF16" s="22"/>
      <c r="AG16" s="22"/>
      <c r="AH16" s="22"/>
    </row>
    <row r="17" customFormat="false" ht="15" hidden="true" customHeight="false" outlineLevel="0" collapsed="false">
      <c r="A17" s="111"/>
      <c r="B17" s="106"/>
      <c r="D17" s="106"/>
      <c r="E17" s="106"/>
      <c r="G17" s="106"/>
      <c r="H17" s="106"/>
      <c r="I17" s="106"/>
      <c r="J17" s="106"/>
      <c r="K17" s="106"/>
      <c r="L17" s="106"/>
      <c r="M17" s="106"/>
      <c r="N17" s="106"/>
      <c r="O17" s="106"/>
      <c r="P17" s="106"/>
      <c r="Q17" s="106"/>
      <c r="R17" s="106"/>
      <c r="S17" s="106"/>
      <c r="T17" s="106"/>
      <c r="U17" s="106"/>
      <c r="V17" s="106"/>
      <c r="W17" s="22"/>
      <c r="X17" s="22"/>
      <c r="Y17" s="22"/>
      <c r="Z17" s="22"/>
      <c r="AA17" s="22"/>
      <c r="AB17" s="22"/>
      <c r="AC17" s="22"/>
      <c r="AD17" s="22"/>
      <c r="AE17" s="22"/>
      <c r="AF17" s="22"/>
      <c r="AG17" s="22"/>
      <c r="AH17" s="22"/>
    </row>
    <row r="18" customFormat="false" ht="15" hidden="true" customHeight="false" outlineLevel="0" collapsed="false">
      <c r="A18" s="22"/>
      <c r="R18" s="22"/>
      <c r="S18" s="22"/>
      <c r="T18" s="22"/>
      <c r="U18" s="22"/>
      <c r="V18" s="22"/>
      <c r="W18" s="22"/>
      <c r="X18" s="22"/>
      <c r="Y18" s="22"/>
      <c r="Z18" s="22"/>
      <c r="AA18" s="22"/>
      <c r="AB18" s="22"/>
      <c r="AC18" s="22"/>
      <c r="AD18" s="22"/>
      <c r="AE18" s="22"/>
      <c r="AF18" s="22"/>
      <c r="AG18" s="22"/>
      <c r="AH18" s="22"/>
    </row>
    <row r="19" customFormat="false" ht="15" hidden="true" customHeight="false" outlineLevel="0" collapsed="false">
      <c r="A19" s="22"/>
      <c r="R19" s="22"/>
      <c r="S19" s="22"/>
      <c r="T19" s="22"/>
      <c r="U19" s="22"/>
      <c r="V19" s="22"/>
      <c r="W19" s="22"/>
      <c r="X19" s="22"/>
      <c r="Y19" s="22"/>
      <c r="Z19" s="22"/>
      <c r="AA19" s="22"/>
      <c r="AB19" s="22"/>
      <c r="AC19" s="22"/>
      <c r="AD19" s="22"/>
      <c r="AE19" s="22"/>
      <c r="AF19" s="22"/>
      <c r="AG19" s="22"/>
      <c r="AH19" s="22"/>
    </row>
    <row r="20" customFormat="false" ht="15" hidden="true" customHeight="false" outlineLevel="0" collapsed="false">
      <c r="A20" s="22"/>
      <c r="R20" s="22"/>
      <c r="S20" s="22"/>
      <c r="T20" s="22"/>
      <c r="U20" s="22"/>
      <c r="V20" s="22"/>
      <c r="W20" s="22"/>
      <c r="X20" s="22"/>
      <c r="Y20" s="22"/>
      <c r="Z20" s="22"/>
      <c r="AA20" s="22"/>
      <c r="AB20" s="22"/>
      <c r="AC20" s="22"/>
      <c r="AD20" s="22"/>
      <c r="AE20" s="22"/>
      <c r="AF20" s="22"/>
      <c r="AG20" s="22"/>
      <c r="AH20" s="22"/>
    </row>
    <row r="21" customFormat="false" ht="15" hidden="true" customHeight="false" outlineLevel="0" collapsed="false">
      <c r="A21" s="22"/>
      <c r="R21" s="22"/>
      <c r="S21" s="22"/>
      <c r="T21" s="22"/>
      <c r="U21" s="22"/>
      <c r="V21" s="22"/>
      <c r="W21" s="22"/>
      <c r="X21" s="22"/>
      <c r="Y21" s="22"/>
      <c r="Z21" s="22"/>
      <c r="AA21" s="22"/>
      <c r="AB21" s="22"/>
      <c r="AC21" s="22"/>
      <c r="AD21" s="22"/>
      <c r="AE21" s="22"/>
      <c r="AF21" s="22"/>
      <c r="AG21" s="22"/>
      <c r="AH21" s="22"/>
    </row>
    <row r="22" customFormat="false" ht="15" hidden="true" customHeight="false" outlineLevel="0" collapsed="false">
      <c r="A22" s="22"/>
      <c r="R22" s="22"/>
      <c r="S22" s="22"/>
      <c r="T22" s="22"/>
      <c r="U22" s="22"/>
      <c r="V22" s="22"/>
      <c r="W22" s="22"/>
      <c r="X22" s="22"/>
      <c r="Y22" s="22"/>
      <c r="Z22" s="22"/>
      <c r="AA22" s="22"/>
      <c r="AB22" s="22"/>
      <c r="AC22" s="22"/>
      <c r="AD22" s="22"/>
      <c r="AE22" s="22"/>
      <c r="AF22" s="22"/>
      <c r="AG22" s="22"/>
      <c r="AH22" s="22"/>
    </row>
    <row r="23" customFormat="false" ht="15" hidden="true" customHeight="false" outlineLevel="0" collapsed="false">
      <c r="A23" s="22"/>
      <c r="R23" s="22"/>
      <c r="S23" s="22"/>
      <c r="T23" s="22"/>
      <c r="U23" s="22"/>
      <c r="V23" s="22"/>
      <c r="W23" s="22"/>
      <c r="X23" s="22"/>
      <c r="Y23" s="22"/>
      <c r="Z23" s="22"/>
      <c r="AA23" s="22"/>
      <c r="AB23" s="22"/>
      <c r="AC23" s="22"/>
      <c r="AD23" s="22"/>
      <c r="AE23" s="22"/>
      <c r="AF23" s="22"/>
      <c r="AG23" s="22"/>
      <c r="AH23" s="22"/>
    </row>
    <row r="24" customFormat="false" ht="15" hidden="true" customHeight="false" outlineLevel="0" collapsed="false">
      <c r="A24" s="22"/>
      <c r="R24" s="22"/>
      <c r="S24" s="22"/>
      <c r="T24" s="22"/>
      <c r="U24" s="22"/>
      <c r="V24" s="22"/>
      <c r="W24" s="22"/>
      <c r="X24" s="22"/>
      <c r="Y24" s="22"/>
      <c r="Z24" s="22"/>
      <c r="AA24" s="22"/>
      <c r="AB24" s="22"/>
      <c r="AC24" s="22"/>
      <c r="AD24" s="22"/>
      <c r="AE24" s="22"/>
      <c r="AF24" s="22"/>
      <c r="AG24" s="22"/>
      <c r="AH24" s="22"/>
    </row>
    <row r="25" customFormat="false" ht="15" hidden="true" customHeight="false" outlineLevel="0" collapsed="false">
      <c r="A25" s="22"/>
      <c r="R25" s="22"/>
      <c r="S25" s="22"/>
      <c r="T25" s="22"/>
      <c r="U25" s="22"/>
      <c r="V25" s="22"/>
      <c r="W25" s="22"/>
      <c r="X25" s="22"/>
      <c r="Y25" s="22"/>
      <c r="Z25" s="22"/>
      <c r="AA25" s="22"/>
      <c r="AB25" s="22"/>
      <c r="AC25" s="22"/>
      <c r="AD25" s="22"/>
      <c r="AE25" s="22"/>
      <c r="AF25" s="22"/>
      <c r="AG25" s="22"/>
      <c r="AH25" s="22"/>
    </row>
    <row r="26" customFormat="false" ht="15" hidden="true" customHeight="false" outlineLevel="0" collapsed="false">
      <c r="A26" s="22"/>
      <c r="R26" s="22"/>
      <c r="S26" s="22"/>
      <c r="T26" s="22"/>
      <c r="U26" s="22"/>
      <c r="V26" s="22"/>
      <c r="W26" s="22"/>
      <c r="X26" s="22"/>
      <c r="Y26" s="22"/>
      <c r="Z26" s="22"/>
      <c r="AA26" s="22"/>
      <c r="AB26" s="22"/>
      <c r="AC26" s="22"/>
      <c r="AD26" s="22"/>
      <c r="AE26" s="22"/>
      <c r="AF26" s="22"/>
      <c r="AG26" s="22"/>
      <c r="AH26" s="22"/>
    </row>
    <row r="27" customFormat="false" ht="15" hidden="true" customHeight="false" outlineLevel="0" collapsed="false">
      <c r="A27" s="22"/>
      <c r="R27" s="22"/>
      <c r="S27" s="22"/>
      <c r="T27" s="22"/>
      <c r="U27" s="22"/>
      <c r="V27" s="22"/>
      <c r="W27" s="22"/>
      <c r="X27" s="22"/>
      <c r="Y27" s="22"/>
      <c r="Z27" s="22"/>
      <c r="AA27" s="22"/>
      <c r="AB27" s="22"/>
      <c r="AC27" s="22"/>
      <c r="AD27" s="22"/>
      <c r="AE27" s="22"/>
      <c r="AF27" s="22"/>
      <c r="AG27" s="22"/>
      <c r="AH27" s="22"/>
    </row>
  </sheetData>
  <mergeCells count="3">
    <mergeCell ref="A3:W3"/>
    <mergeCell ref="X3:AH3"/>
    <mergeCell ref="E5:S5"/>
  </mergeCells>
  <printOptions headings="false" gridLines="fals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drawing r:id="rId1"/>
</worksheet>
</file>

<file path=xl/worksheets/sheet35.xml><?xml version="1.0" encoding="utf-8"?>
<worksheet xmlns="http://schemas.openxmlformats.org/spreadsheetml/2006/main" xmlns:r="http://schemas.openxmlformats.org/officeDocument/2006/relationships">
  <sheetPr filterMode="false">
    <pageSetUpPr fitToPage="false"/>
  </sheetPr>
  <dimension ref="A1:AC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6" activeCellId="0" sqref="B16"/>
    </sheetView>
  </sheetViews>
  <sheetFormatPr defaultRowHeight="15" zeroHeight="true" outlineLevelRow="0" outlineLevelCol="0"/>
  <cols>
    <col collapsed="false" customWidth="true" hidden="false" outlineLevel="0" max="1" min="1" style="4" width="2.71"/>
    <col collapsed="false" customWidth="true" hidden="false" outlineLevel="0" max="2" min="2" style="4" width="7.15"/>
    <col collapsed="false" customWidth="true" hidden="false" outlineLevel="0" max="3" min="3" style="16" width="7.42"/>
    <col collapsed="false" customWidth="true" hidden="false" outlineLevel="0" max="4" min="4" style="4" width="9.14"/>
    <col collapsed="false" customWidth="true" hidden="false" outlineLevel="0" max="5" min="5" style="16" width="2.71"/>
    <col collapsed="false" customWidth="true" hidden="false" outlineLevel="0" max="20" min="6" style="4" width="8.86"/>
    <col collapsed="false" customWidth="true" hidden="false" outlineLevel="0" max="21" min="21" style="4" width="5.14"/>
    <col collapsed="false" customWidth="true" hidden="false" outlineLevel="0" max="22" min="22" style="4" width="6.57"/>
    <col collapsed="false" customWidth="true" hidden="true" outlineLevel="0" max="27" min="23" style="4" width="5.14"/>
    <col collapsed="false" customWidth="true" hidden="true" outlineLevel="0" max="28" min="28" style="4" width="8.57"/>
    <col collapsed="false" customWidth="true" hidden="true" outlineLevel="0" max="29" min="29" style="4" width="2"/>
    <col collapsed="false" customWidth="true" hidden="true" outlineLevel="0" max="255" min="30" style="4" width="9.14"/>
    <col collapsed="false" customWidth="false" hidden="true" outlineLevel="0" max="1025" min="256" style="4" width="11.52"/>
  </cols>
  <sheetData>
    <row r="1" customFormat="false" ht="15" hidden="false" customHeight="false" outlineLevel="0" collapsed="false">
      <c r="A1" s="700"/>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4"/>
    </row>
    <row r="2" customFormat="false" ht="37.5" hidden="false" customHeight="true" outlineLevel="0" collapsed="false">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8"/>
    </row>
    <row r="3" customFormat="false" ht="28.5" hidden="false" customHeight="false" outlineLevel="0" collapsed="false">
      <c r="A3" s="384" t="s">
        <v>491</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row>
    <row r="4" customFormat="false" ht="11.45" hidden="false" customHeight="true" outlineLevel="0" collapsed="false">
      <c r="A4" s="90"/>
      <c r="B4" s="91"/>
      <c r="C4" s="91"/>
      <c r="D4" s="91"/>
      <c r="E4" s="91"/>
      <c r="F4" s="91"/>
      <c r="G4" s="91"/>
      <c r="H4" s="91"/>
      <c r="I4" s="91"/>
      <c r="J4" s="91"/>
      <c r="K4" s="91"/>
      <c r="L4" s="91"/>
      <c r="M4" s="91"/>
      <c r="N4" s="91"/>
      <c r="O4" s="91"/>
      <c r="P4" s="91"/>
      <c r="Q4" s="91"/>
      <c r="R4" s="91"/>
      <c r="S4" s="91"/>
      <c r="T4" s="91"/>
      <c r="U4" s="93"/>
      <c r="V4" s="93"/>
      <c r="W4" s="93"/>
      <c r="X4" s="93"/>
      <c r="Y4" s="93"/>
      <c r="Z4" s="93"/>
      <c r="AA4" s="93"/>
      <c r="AB4" s="93"/>
      <c r="AC4" s="94"/>
    </row>
    <row r="5" customFormat="false" ht="15" hidden="false" customHeight="false" outlineLevel="0" collapsed="false">
      <c r="A5" s="90"/>
      <c r="B5" s="398" t="s">
        <v>492</v>
      </c>
      <c r="C5" s="398"/>
      <c r="D5" s="398"/>
      <c r="E5" s="399"/>
      <c r="F5" s="398" t="s">
        <v>493</v>
      </c>
      <c r="G5" s="398"/>
      <c r="H5" s="398"/>
      <c r="I5" s="398"/>
      <c r="J5" s="398"/>
      <c r="K5" s="398"/>
      <c r="L5" s="398"/>
      <c r="M5" s="398"/>
      <c r="N5" s="398"/>
      <c r="O5" s="398"/>
      <c r="P5" s="398"/>
      <c r="Q5" s="398"/>
      <c r="R5" s="398"/>
      <c r="S5" s="398"/>
      <c r="T5" s="398"/>
      <c r="U5" s="91"/>
      <c r="V5" s="91"/>
      <c r="W5" s="91"/>
      <c r="X5" s="91"/>
      <c r="Y5" s="91"/>
      <c r="Z5" s="91"/>
      <c r="AA5" s="91"/>
      <c r="AB5" s="91"/>
      <c r="AC5" s="96"/>
    </row>
    <row r="6" customFormat="false" ht="15" hidden="false" customHeight="false" outlineLevel="0" collapsed="false">
      <c r="A6" s="90"/>
      <c r="B6" s="431" t="s">
        <v>290</v>
      </c>
      <c r="C6" s="432" t="s">
        <v>482</v>
      </c>
      <c r="D6" s="417" t="s">
        <v>483</v>
      </c>
      <c r="E6" s="403"/>
      <c r="F6" s="431" t="s">
        <v>299</v>
      </c>
      <c r="G6" s="432" t="s">
        <v>300</v>
      </c>
      <c r="H6" s="432" t="s">
        <v>301</v>
      </c>
      <c r="I6" s="432" t="s">
        <v>302</v>
      </c>
      <c r="J6" s="432" t="s">
        <v>303</v>
      </c>
      <c r="K6" s="432" t="s">
        <v>304</v>
      </c>
      <c r="L6" s="432" t="s">
        <v>305</v>
      </c>
      <c r="M6" s="432" t="s">
        <v>306</v>
      </c>
      <c r="N6" s="432" t="s">
        <v>307</v>
      </c>
      <c r="O6" s="432" t="s">
        <v>308</v>
      </c>
      <c r="P6" s="432" t="s">
        <v>309</v>
      </c>
      <c r="Q6" s="432" t="s">
        <v>310</v>
      </c>
      <c r="R6" s="432" t="s">
        <v>311</v>
      </c>
      <c r="S6" s="432" t="s">
        <v>312</v>
      </c>
      <c r="T6" s="417" t="s">
        <v>313</v>
      </c>
      <c r="U6" s="91"/>
      <c r="V6" s="91"/>
      <c r="W6" s="91"/>
      <c r="X6" s="91"/>
      <c r="Y6" s="91"/>
      <c r="Z6" s="91"/>
      <c r="AA6" s="91"/>
      <c r="AB6" s="91"/>
      <c r="AC6" s="96"/>
    </row>
    <row r="7" customFormat="false" ht="15" hidden="false" customHeight="false" outlineLevel="0" collapsed="false">
      <c r="A7" s="90"/>
      <c r="B7" s="754" t="s">
        <v>291</v>
      </c>
      <c r="C7" s="707" t="s">
        <v>484</v>
      </c>
      <c r="D7" s="418" t="n">
        <v>2</v>
      </c>
      <c r="E7" s="98"/>
      <c r="F7" s="755" t="n">
        <v>1460.44830026614</v>
      </c>
      <c r="G7" s="755" t="n">
        <v>1532.76144560429</v>
      </c>
      <c r="H7" s="755" t="n">
        <v>2227.59107967428</v>
      </c>
      <c r="I7" s="755" t="n">
        <v>2400.63415868632</v>
      </c>
      <c r="J7" s="755" t="n">
        <v>2354.45562887253</v>
      </c>
      <c r="K7" s="755" t="n">
        <v>1914.63561859744</v>
      </c>
      <c r="L7" s="755" t="n">
        <v>2034.30034475978</v>
      </c>
      <c r="M7" s="755" t="n">
        <v>2153.96507092212</v>
      </c>
      <c r="N7" s="755" t="n">
        <v>2273.62979708446</v>
      </c>
      <c r="O7" s="755" t="n">
        <v>2393.2945232468</v>
      </c>
      <c r="P7" s="755" t="n">
        <v>2297.56274231693</v>
      </c>
      <c r="Q7" s="755" t="n">
        <v>2201.83096138706</v>
      </c>
      <c r="R7" s="755" t="n">
        <v>2106.09918045719</v>
      </c>
      <c r="S7" s="755" t="n">
        <v>2010.36739952732</v>
      </c>
      <c r="T7" s="755" t="n">
        <v>1914.63561859744</v>
      </c>
      <c r="U7" s="91"/>
      <c r="V7" s="91"/>
      <c r="W7" s="91"/>
      <c r="X7" s="91"/>
      <c r="Y7" s="91"/>
      <c r="Z7" s="91"/>
      <c r="AA7" s="91"/>
      <c r="AB7" s="91"/>
      <c r="AC7" s="96"/>
    </row>
    <row r="8" customFormat="false" ht="15" hidden="false" customHeight="false" outlineLevel="0" collapsed="false">
      <c r="A8" s="90"/>
      <c r="B8" s="754"/>
      <c r="C8" s="707"/>
      <c r="D8" s="418" t="n">
        <v>3</v>
      </c>
      <c r="E8" s="98"/>
      <c r="F8" s="755" t="n">
        <v>1460.44830026614</v>
      </c>
      <c r="G8" s="755" t="n">
        <v>1532.76144560429</v>
      </c>
      <c r="H8" s="755" t="n">
        <v>2227.59107967428</v>
      </c>
      <c r="I8" s="755" t="n">
        <v>2400.63415868632</v>
      </c>
      <c r="J8" s="755" t="n">
        <v>2354.45562887253</v>
      </c>
      <c r="K8" s="755" t="n">
        <v>1914.63561859744</v>
      </c>
      <c r="L8" s="755" t="n">
        <v>2034.30034475978</v>
      </c>
      <c r="M8" s="755" t="n">
        <v>2153.96507092212</v>
      </c>
      <c r="N8" s="755" t="n">
        <v>2273.62979708446</v>
      </c>
      <c r="O8" s="755" t="n">
        <v>2393.2945232468</v>
      </c>
      <c r="P8" s="755" t="n">
        <v>2297.56274231693</v>
      </c>
      <c r="Q8" s="755" t="n">
        <v>2201.83096138706</v>
      </c>
      <c r="R8" s="755" t="n">
        <v>2106.09918045719</v>
      </c>
      <c r="S8" s="755" t="n">
        <v>2010.36739952732</v>
      </c>
      <c r="T8" s="755" t="n">
        <v>1914.63561859744</v>
      </c>
      <c r="U8" s="91"/>
      <c r="V8" s="91"/>
      <c r="W8" s="91"/>
      <c r="X8" s="91"/>
      <c r="Y8" s="91"/>
      <c r="Z8" s="91"/>
      <c r="AA8" s="91"/>
      <c r="AB8" s="91"/>
      <c r="AC8" s="96"/>
    </row>
    <row r="9" customFormat="false" ht="15" hidden="false" customHeight="false" outlineLevel="0" collapsed="false">
      <c r="A9" s="90"/>
      <c r="B9" s="754"/>
      <c r="C9" s="418" t="s">
        <v>485</v>
      </c>
      <c r="D9" s="418" t="n">
        <v>2</v>
      </c>
      <c r="E9" s="98"/>
      <c r="F9" s="755" t="n">
        <v>1460.44830026614</v>
      </c>
      <c r="G9" s="755" t="n">
        <v>1532.76144560429</v>
      </c>
      <c r="H9" s="755" t="n">
        <v>2227.59107967428</v>
      </c>
      <c r="I9" s="755" t="n">
        <v>2400.63415868632</v>
      </c>
      <c r="J9" s="755" t="n">
        <v>2354.45562887253</v>
      </c>
      <c r="K9" s="755" t="n">
        <v>1914.63561859744</v>
      </c>
      <c r="L9" s="755" t="n">
        <v>2034.30034475978</v>
      </c>
      <c r="M9" s="755" t="n">
        <v>2153.96507092212</v>
      </c>
      <c r="N9" s="755" t="n">
        <v>2273.62979708446</v>
      </c>
      <c r="O9" s="755" t="n">
        <v>2393.2945232468</v>
      </c>
      <c r="P9" s="755" t="n">
        <v>2297.56274231693</v>
      </c>
      <c r="Q9" s="755" t="n">
        <v>2201.83096138706</v>
      </c>
      <c r="R9" s="755" t="n">
        <v>2106.09918045719</v>
      </c>
      <c r="S9" s="755" t="n">
        <v>2010.36739952732</v>
      </c>
      <c r="T9" s="755" t="n">
        <v>1914.63561859744</v>
      </c>
      <c r="U9" s="91"/>
      <c r="V9" s="91"/>
      <c r="W9" s="91"/>
      <c r="X9" s="91"/>
      <c r="Y9" s="91"/>
      <c r="Z9" s="91"/>
      <c r="AA9" s="91"/>
      <c r="AB9" s="91"/>
      <c r="AC9" s="96"/>
    </row>
    <row r="10" customFormat="false" ht="15" hidden="false" customHeight="false" outlineLevel="0" collapsed="false">
      <c r="A10" s="90"/>
      <c r="B10" s="707" t="s">
        <v>292</v>
      </c>
      <c r="C10" s="707" t="s">
        <v>484</v>
      </c>
      <c r="D10" s="418" t="n">
        <v>2</v>
      </c>
      <c r="E10" s="98"/>
      <c r="F10" s="755" t="n">
        <v>1499.367892876</v>
      </c>
      <c r="G10" s="755" t="n">
        <v>1219.65364713406</v>
      </c>
      <c r="H10" s="755" t="n">
        <v>1907.74770541015</v>
      </c>
      <c r="I10" s="755" t="n">
        <v>2331.47829210086</v>
      </c>
      <c r="J10" s="755" t="n">
        <v>2565.11180392483</v>
      </c>
      <c r="K10" s="755" t="n">
        <v>2667.89945235094</v>
      </c>
      <c r="L10" s="755" t="n">
        <v>2834.64316812287</v>
      </c>
      <c r="M10" s="755" t="n">
        <v>3001.38688389481</v>
      </c>
      <c r="N10" s="755" t="n">
        <v>3168.13059966674</v>
      </c>
      <c r="O10" s="755" t="n">
        <v>3334.87431543868</v>
      </c>
      <c r="P10" s="755" t="n">
        <v>3201.47934282113</v>
      </c>
      <c r="Q10" s="755" t="n">
        <v>3068.08437020358</v>
      </c>
      <c r="R10" s="755" t="n">
        <v>2934.68939758604</v>
      </c>
      <c r="S10" s="755" t="n">
        <v>2801.29442496849</v>
      </c>
      <c r="T10" s="755" t="n">
        <v>2667.89945235094</v>
      </c>
      <c r="U10" s="91"/>
      <c r="V10" s="91"/>
      <c r="W10" s="91"/>
      <c r="X10" s="91"/>
      <c r="Y10" s="91"/>
      <c r="Z10" s="91"/>
      <c r="AA10" s="91"/>
      <c r="AB10" s="91"/>
      <c r="AC10" s="96"/>
    </row>
    <row r="11" customFormat="false" ht="15" hidden="false" customHeight="false" outlineLevel="0" collapsed="false">
      <c r="A11" s="90"/>
      <c r="B11" s="707"/>
      <c r="C11" s="707"/>
      <c r="D11" s="418" t="n">
        <v>3</v>
      </c>
      <c r="E11" s="98"/>
      <c r="F11" s="755" t="n">
        <v>1809.25819706019</v>
      </c>
      <c r="G11" s="755" t="n">
        <v>1639.60518763425</v>
      </c>
      <c r="H11" s="755" t="n">
        <v>2611.03001192094</v>
      </c>
      <c r="I11" s="755" t="n">
        <v>3236.5254689993</v>
      </c>
      <c r="J11" s="755" t="n">
        <v>3516.22728514071</v>
      </c>
      <c r="K11" s="755" t="n">
        <v>3571.53254002377</v>
      </c>
      <c r="L11" s="755" t="n">
        <v>3794.75332377526</v>
      </c>
      <c r="M11" s="755" t="n">
        <v>4017.97410752674</v>
      </c>
      <c r="N11" s="755" t="n">
        <v>4241.19489127823</v>
      </c>
      <c r="O11" s="755" t="n">
        <v>4464.41567502971</v>
      </c>
      <c r="P11" s="755" t="n">
        <v>4285.83904802853</v>
      </c>
      <c r="Q11" s="755" t="n">
        <v>4107.26242102734</v>
      </c>
      <c r="R11" s="755" t="n">
        <v>3928.68579402615</v>
      </c>
      <c r="S11" s="755" t="n">
        <v>3750.10916702496</v>
      </c>
      <c r="T11" s="755" t="n">
        <v>3571.53254002377</v>
      </c>
      <c r="U11" s="91"/>
      <c r="V11" s="91"/>
      <c r="W11" s="91"/>
      <c r="X11" s="91"/>
      <c r="Y11" s="91"/>
      <c r="Z11" s="91"/>
      <c r="AA11" s="91"/>
      <c r="AB11" s="91"/>
      <c r="AC11" s="96"/>
    </row>
    <row r="12" customFormat="false" ht="15" hidden="false" customHeight="false" outlineLevel="0" collapsed="false">
      <c r="A12" s="90"/>
      <c r="B12" s="707"/>
      <c r="C12" s="707"/>
      <c r="D12" s="418" t="n">
        <v>4</v>
      </c>
      <c r="E12" s="98"/>
      <c r="F12" s="755" t="n">
        <v>3008.30368882733</v>
      </c>
      <c r="G12" s="755" t="n">
        <v>3264.18523355733</v>
      </c>
      <c r="H12" s="755" t="n">
        <v>5936.53765522894</v>
      </c>
      <c r="I12" s="755" t="n">
        <v>7097.47123514142</v>
      </c>
      <c r="J12" s="755" t="n">
        <v>6217.0935156543</v>
      </c>
      <c r="K12" s="755" t="n">
        <v>6225.63904073627</v>
      </c>
      <c r="L12" s="755" t="n">
        <v>6614.74148078228</v>
      </c>
      <c r="M12" s="755" t="n">
        <v>7003.8439208283</v>
      </c>
      <c r="N12" s="755" t="n">
        <v>7392.94636087432</v>
      </c>
      <c r="O12" s="755" t="n">
        <v>7782.04880092033</v>
      </c>
      <c r="P12" s="755" t="n">
        <v>7470.76684888352</v>
      </c>
      <c r="Q12" s="755" t="n">
        <v>7159.48489684671</v>
      </c>
      <c r="R12" s="755" t="n">
        <v>6848.20294480989</v>
      </c>
      <c r="S12" s="755" t="n">
        <v>6536.92099277308</v>
      </c>
      <c r="T12" s="755" t="n">
        <v>6225.63904073627</v>
      </c>
      <c r="U12" s="91"/>
      <c r="V12" s="91"/>
      <c r="W12" s="91"/>
      <c r="X12" s="91"/>
      <c r="Y12" s="91"/>
      <c r="Z12" s="91"/>
      <c r="AA12" s="91"/>
      <c r="AB12" s="91"/>
      <c r="AC12" s="96"/>
    </row>
    <row r="13" customFormat="false" ht="15" hidden="false" customHeight="false" outlineLevel="0" collapsed="false">
      <c r="A13" s="90"/>
      <c r="B13" s="707"/>
      <c r="C13" s="707" t="s">
        <v>485</v>
      </c>
      <c r="D13" s="418" t="n">
        <v>2</v>
      </c>
      <c r="E13" s="98"/>
      <c r="F13" s="755" t="n">
        <v>1608.73118119234</v>
      </c>
      <c r="G13" s="755" t="n">
        <v>1520.90302036652</v>
      </c>
      <c r="H13" s="755" t="n">
        <v>2015.46002142946</v>
      </c>
      <c r="I13" s="755" t="n">
        <v>2613.22233083058</v>
      </c>
      <c r="J13" s="755" t="n">
        <v>3052.15427471281</v>
      </c>
      <c r="K13" s="755" t="n">
        <v>2943.44671211171</v>
      </c>
      <c r="L13" s="755" t="n">
        <v>3127.41213161869</v>
      </c>
      <c r="M13" s="755" t="n">
        <v>3311.37755112568</v>
      </c>
      <c r="N13" s="755" t="n">
        <v>3495.34297063266</v>
      </c>
      <c r="O13" s="755" t="n">
        <v>3679.30839013964</v>
      </c>
      <c r="P13" s="755" t="n">
        <v>3532.13605453405</v>
      </c>
      <c r="Q13" s="755" t="n">
        <v>3384.96371892847</v>
      </c>
      <c r="R13" s="755" t="n">
        <v>3237.79138332288</v>
      </c>
      <c r="S13" s="755" t="n">
        <v>3090.6190477173</v>
      </c>
      <c r="T13" s="755" t="n">
        <v>2943.44671211171</v>
      </c>
      <c r="U13" s="91"/>
      <c r="V13" s="91"/>
      <c r="W13" s="91"/>
      <c r="X13" s="91"/>
      <c r="Y13" s="91"/>
      <c r="Z13" s="91"/>
      <c r="AA13" s="91"/>
      <c r="AB13" s="91"/>
      <c r="AC13" s="96"/>
    </row>
    <row r="14" customFormat="false" ht="15" hidden="false" customHeight="false" outlineLevel="0" collapsed="false">
      <c r="A14" s="90"/>
      <c r="B14" s="707"/>
      <c r="C14" s="707"/>
      <c r="D14" s="418" t="n">
        <v>3</v>
      </c>
      <c r="E14" s="98"/>
      <c r="F14" s="755" t="n">
        <v>1967.32977796502</v>
      </c>
      <c r="G14" s="755" t="n">
        <v>1585.77720966855</v>
      </c>
      <c r="H14" s="755" t="n">
        <v>3028.44768739816</v>
      </c>
      <c r="I14" s="755" t="n">
        <v>3898.36597350741</v>
      </c>
      <c r="J14" s="755" t="n">
        <v>4328.04961776197</v>
      </c>
      <c r="K14" s="755" t="n">
        <v>4077.65099100379</v>
      </c>
      <c r="L14" s="755" t="n">
        <v>4332.50417794153</v>
      </c>
      <c r="M14" s="755" t="n">
        <v>4587.35736487927</v>
      </c>
      <c r="N14" s="755" t="n">
        <v>4842.210551817</v>
      </c>
      <c r="O14" s="755" t="n">
        <v>5097.06373875474</v>
      </c>
      <c r="P14" s="755" t="n">
        <v>4893.18118920455</v>
      </c>
      <c r="Q14" s="755" t="n">
        <v>4689.29863965436</v>
      </c>
      <c r="R14" s="755" t="n">
        <v>4485.41609010417</v>
      </c>
      <c r="S14" s="755" t="n">
        <v>4281.53354055398</v>
      </c>
      <c r="T14" s="755" t="n">
        <v>4077.65099100379</v>
      </c>
      <c r="U14" s="91"/>
      <c r="V14" s="91"/>
      <c r="W14" s="91"/>
      <c r="X14" s="91"/>
      <c r="Y14" s="91"/>
      <c r="Z14" s="91"/>
      <c r="AA14" s="91"/>
      <c r="AB14" s="91"/>
      <c r="AC14" s="96"/>
    </row>
    <row r="15" customFormat="false" ht="15" hidden="false" customHeight="false" outlineLevel="0" collapsed="false">
      <c r="A15" s="90"/>
      <c r="B15" s="707"/>
      <c r="C15" s="707"/>
      <c r="D15" s="418" t="n">
        <v>4</v>
      </c>
      <c r="E15" s="98"/>
      <c r="F15" s="755" t="n">
        <v>2722.66964608325</v>
      </c>
      <c r="G15" s="755" t="n">
        <v>3064.62182123781</v>
      </c>
      <c r="H15" s="755" t="n">
        <v>4482.69006085328</v>
      </c>
      <c r="I15" s="755" t="n">
        <v>5876.60586668449</v>
      </c>
      <c r="J15" s="755" t="n">
        <v>6931.71180051126</v>
      </c>
      <c r="K15" s="755" t="n">
        <v>5968.1865596051</v>
      </c>
      <c r="L15" s="755" t="n">
        <v>6341.19821958042</v>
      </c>
      <c r="M15" s="755" t="n">
        <v>6714.20987955574</v>
      </c>
      <c r="N15" s="755" t="n">
        <v>7087.22153953106</v>
      </c>
      <c r="O15" s="755" t="n">
        <v>7460.23319950638</v>
      </c>
      <c r="P15" s="755" t="n">
        <v>7161.82387152612</v>
      </c>
      <c r="Q15" s="755" t="n">
        <v>6863.41454354587</v>
      </c>
      <c r="R15" s="755" t="n">
        <v>6565.00521556561</v>
      </c>
      <c r="S15" s="755" t="n">
        <v>6266.59588758536</v>
      </c>
      <c r="T15" s="755" t="n">
        <v>5968.1865596051</v>
      </c>
      <c r="U15" s="91"/>
      <c r="V15" s="91"/>
      <c r="W15" s="91"/>
      <c r="X15" s="91"/>
      <c r="Y15" s="91"/>
      <c r="Z15" s="91"/>
      <c r="AA15" s="91"/>
      <c r="AB15" s="91"/>
      <c r="AC15" s="96"/>
    </row>
    <row r="16" customFormat="false" ht="15" hidden="false" customHeight="false" outlineLevel="0" collapsed="false">
      <c r="A16" s="90"/>
      <c r="B16" s="434"/>
      <c r="C16" s="434"/>
      <c r="D16" s="434"/>
      <c r="E16" s="98"/>
      <c r="F16" s="715" t="n">
        <f aca="false">AVERAGE(F7:F11,F13:F14)</f>
        <v>1609.43313569885</v>
      </c>
      <c r="G16" s="715" t="n">
        <f aca="false">AVERAGE(G7:G11,G13:G14)</f>
        <v>1509.17477165946</v>
      </c>
      <c r="H16" s="715" t="n">
        <f aca="false">AVERAGE(H7:H11,H13:H14)</f>
        <v>2320.77980931165</v>
      </c>
      <c r="I16" s="715" t="n">
        <f aca="false">AVERAGE(I7:I11,I13:I14)</f>
        <v>2754.49922021387</v>
      </c>
      <c r="J16" s="715" t="n">
        <f aca="false">AVERAGE(J7:J11,J13:J14)</f>
        <v>2932.12998116542</v>
      </c>
      <c r="K16" s="715" t="n">
        <f aca="false">AVERAGE(K7:K11,K13:K14)</f>
        <v>2714.91950732608</v>
      </c>
      <c r="L16" s="715" t="n">
        <f aca="false">AVERAGE(L7:L11,L13:L14)</f>
        <v>2884.60197653396</v>
      </c>
      <c r="M16" s="715" t="n">
        <f aca="false">AVERAGE(M7:M11,M13:M14)</f>
        <v>3054.28444574184</v>
      </c>
      <c r="N16" s="715" t="n">
        <f aca="false">AVERAGE(N7:N11,N13:N14)</f>
        <v>3223.96691494972</v>
      </c>
      <c r="O16" s="715" t="n">
        <f aca="false">AVERAGE(O7:O11,O13:O14)</f>
        <v>3393.6493841576</v>
      </c>
      <c r="P16" s="715" t="n">
        <f aca="false">AVERAGE(P7:P11,P13:P14)</f>
        <v>3257.90340879129</v>
      </c>
      <c r="Q16" s="715" t="n">
        <f aca="false">AVERAGE(Q7:Q11,Q13:Q14)</f>
        <v>3122.15743342499</v>
      </c>
      <c r="R16" s="715" t="n">
        <f aca="false">AVERAGE(R7:R11,R13:R14)</f>
        <v>2986.41145805869</v>
      </c>
      <c r="S16" s="715" t="n">
        <f aca="false">AVERAGE(S7:S11,S13:S14)</f>
        <v>2850.66548269238</v>
      </c>
      <c r="T16" s="715" t="n">
        <f aca="false">AVERAGE(T7:T11,T13:T14)</f>
        <v>2714.91950732608</v>
      </c>
      <c r="U16" s="91"/>
      <c r="V16" s="91"/>
      <c r="W16" s="91"/>
      <c r="X16" s="91"/>
      <c r="Y16" s="91"/>
      <c r="Z16" s="91"/>
      <c r="AA16" s="91"/>
      <c r="AB16" s="91"/>
      <c r="AC16" s="96"/>
    </row>
    <row r="17" customFormat="false" ht="15" hidden="false" customHeight="false" outlineLevel="0" collapsed="false">
      <c r="A17" s="90"/>
      <c r="B17" s="91"/>
      <c r="C17" s="91"/>
      <c r="D17" s="91"/>
      <c r="E17" s="98"/>
      <c r="F17" s="424"/>
      <c r="G17" s="424"/>
      <c r="H17" s="424"/>
      <c r="I17" s="424"/>
      <c r="J17" s="424"/>
      <c r="K17" s="424"/>
      <c r="L17" s="424"/>
      <c r="M17" s="424"/>
      <c r="N17" s="424"/>
      <c r="O17" s="424"/>
      <c r="P17" s="424"/>
      <c r="Q17" s="424"/>
      <c r="R17" s="424"/>
      <c r="S17" s="424"/>
      <c r="T17" s="424"/>
      <c r="U17" s="91"/>
      <c r="V17" s="91"/>
      <c r="W17" s="91"/>
      <c r="X17" s="91"/>
      <c r="Y17" s="91"/>
      <c r="Z17" s="91"/>
      <c r="AA17" s="91"/>
      <c r="AB17" s="91"/>
      <c r="AC17" s="96"/>
    </row>
    <row r="18" customFormat="false" ht="15" hidden="false" customHeight="false" outlineLevel="0" collapsed="false">
      <c r="A18" s="90"/>
      <c r="B18" s="91"/>
      <c r="C18" s="91"/>
      <c r="D18" s="91"/>
      <c r="E18" s="98"/>
      <c r="F18" s="756"/>
      <c r="G18" s="756"/>
      <c r="H18" s="756"/>
      <c r="I18" s="756"/>
      <c r="J18" s="756"/>
      <c r="K18" s="756"/>
      <c r="L18" s="756"/>
      <c r="M18" s="756"/>
      <c r="N18" s="756"/>
      <c r="O18" s="756"/>
      <c r="P18" s="756"/>
      <c r="Q18" s="756"/>
      <c r="R18" s="756"/>
      <c r="S18" s="756"/>
      <c r="T18" s="756"/>
      <c r="U18" s="91"/>
      <c r="V18" s="91"/>
      <c r="W18" s="91"/>
      <c r="X18" s="91"/>
      <c r="Y18" s="91"/>
      <c r="Z18" s="91"/>
      <c r="AA18" s="91"/>
      <c r="AB18" s="91"/>
      <c r="AC18" s="96"/>
    </row>
    <row r="19" customFormat="false" ht="15" hidden="false" customHeight="false" outlineLevel="0" collapsed="false">
      <c r="A19" s="90"/>
      <c r="B19" s="398" t="s">
        <v>494</v>
      </c>
      <c r="C19" s="398"/>
      <c r="D19" s="398"/>
      <c r="E19" s="98"/>
      <c r="F19" s="398" t="s">
        <v>493</v>
      </c>
      <c r="G19" s="398"/>
      <c r="H19" s="398"/>
      <c r="I19" s="398"/>
      <c r="J19" s="398"/>
      <c r="K19" s="398"/>
      <c r="L19" s="398"/>
      <c r="M19" s="398"/>
      <c r="N19" s="398"/>
      <c r="O19" s="398"/>
      <c r="P19" s="398"/>
      <c r="Q19" s="398"/>
      <c r="R19" s="398"/>
      <c r="S19" s="398"/>
      <c r="T19" s="398"/>
      <c r="U19" s="91"/>
      <c r="V19" s="91"/>
      <c r="W19" s="91"/>
      <c r="X19" s="91"/>
      <c r="Y19" s="91"/>
      <c r="Z19" s="91"/>
      <c r="AA19" s="91"/>
      <c r="AB19" s="91"/>
      <c r="AC19" s="96"/>
    </row>
    <row r="20" customFormat="false" ht="15" hidden="false" customHeight="false" outlineLevel="0" collapsed="false">
      <c r="A20" s="90"/>
      <c r="B20" s="431" t="s">
        <v>482</v>
      </c>
      <c r="C20" s="431"/>
      <c r="D20" s="417" t="s">
        <v>483</v>
      </c>
      <c r="E20" s="98"/>
      <c r="F20" s="431" t="s">
        <v>299</v>
      </c>
      <c r="G20" s="432" t="s">
        <v>300</v>
      </c>
      <c r="H20" s="432" t="s">
        <v>301</v>
      </c>
      <c r="I20" s="432" t="s">
        <v>302</v>
      </c>
      <c r="J20" s="432" t="s">
        <v>303</v>
      </c>
      <c r="K20" s="432" t="s">
        <v>304</v>
      </c>
      <c r="L20" s="432" t="s">
        <v>305</v>
      </c>
      <c r="M20" s="432" t="s">
        <v>306</v>
      </c>
      <c r="N20" s="432" t="s">
        <v>307</v>
      </c>
      <c r="O20" s="432" t="s">
        <v>308</v>
      </c>
      <c r="P20" s="432" t="s">
        <v>309</v>
      </c>
      <c r="Q20" s="432" t="s">
        <v>310</v>
      </c>
      <c r="R20" s="432" t="s">
        <v>311</v>
      </c>
      <c r="S20" s="432" t="s">
        <v>312</v>
      </c>
      <c r="T20" s="417" t="s">
        <v>313</v>
      </c>
      <c r="U20" s="91"/>
      <c r="V20" s="91"/>
      <c r="W20" s="91"/>
      <c r="X20" s="91"/>
      <c r="Y20" s="91"/>
      <c r="Z20" s="91"/>
      <c r="AA20" s="91"/>
      <c r="AB20" s="91"/>
      <c r="AC20" s="96"/>
    </row>
    <row r="21" customFormat="false" ht="15" hidden="false" customHeight="false" outlineLevel="0" collapsed="false">
      <c r="A21" s="90"/>
      <c r="B21" s="707" t="s">
        <v>319</v>
      </c>
      <c r="C21" s="707"/>
      <c r="D21" s="757" t="n">
        <v>1</v>
      </c>
      <c r="E21" s="98"/>
      <c r="F21" s="755" t="n">
        <v>300</v>
      </c>
      <c r="G21" s="755" t="n">
        <v>300</v>
      </c>
      <c r="H21" s="755" t="n">
        <v>300</v>
      </c>
      <c r="I21" s="755" t="n">
        <v>300</v>
      </c>
      <c r="J21" s="755" t="n">
        <v>300</v>
      </c>
      <c r="K21" s="755" t="n">
        <v>300</v>
      </c>
      <c r="L21" s="755" t="n">
        <v>300</v>
      </c>
      <c r="M21" s="755" t="n">
        <v>300</v>
      </c>
      <c r="N21" s="755" t="n">
        <v>300</v>
      </c>
      <c r="O21" s="755" t="n">
        <v>300</v>
      </c>
      <c r="P21" s="755" t="n">
        <v>300</v>
      </c>
      <c r="Q21" s="755" t="n">
        <v>300</v>
      </c>
      <c r="R21" s="755" t="n">
        <v>300</v>
      </c>
      <c r="S21" s="755" t="n">
        <v>300</v>
      </c>
      <c r="T21" s="755" t="n">
        <v>300</v>
      </c>
      <c r="U21" s="91"/>
      <c r="V21" s="91"/>
      <c r="W21" s="91"/>
      <c r="X21" s="91"/>
      <c r="Y21" s="91"/>
      <c r="Z21" s="91"/>
      <c r="AA21" s="91"/>
      <c r="AB21" s="91"/>
      <c r="AC21" s="96"/>
    </row>
    <row r="22" customFormat="false" ht="15" hidden="false" customHeight="false" outlineLevel="0" collapsed="false">
      <c r="A22" s="90"/>
      <c r="B22" s="707"/>
      <c r="C22" s="707"/>
      <c r="D22" s="757" t="n">
        <v>2</v>
      </c>
      <c r="E22" s="98"/>
      <c r="F22" s="755" t="n">
        <v>500</v>
      </c>
      <c r="G22" s="755" t="n">
        <v>500</v>
      </c>
      <c r="H22" s="755" t="n">
        <v>500</v>
      </c>
      <c r="I22" s="755" t="n">
        <v>500</v>
      </c>
      <c r="J22" s="755" t="n">
        <v>500</v>
      </c>
      <c r="K22" s="755" t="n">
        <v>500</v>
      </c>
      <c r="L22" s="755" t="n">
        <v>500</v>
      </c>
      <c r="M22" s="755" t="n">
        <v>500</v>
      </c>
      <c r="N22" s="755" t="n">
        <v>500</v>
      </c>
      <c r="O22" s="755" t="n">
        <v>500</v>
      </c>
      <c r="P22" s="755" t="n">
        <v>500</v>
      </c>
      <c r="Q22" s="755" t="n">
        <v>500</v>
      </c>
      <c r="R22" s="755" t="n">
        <v>500</v>
      </c>
      <c r="S22" s="755" t="n">
        <v>500</v>
      </c>
      <c r="T22" s="755" t="n">
        <v>500</v>
      </c>
      <c r="U22" s="91"/>
      <c r="V22" s="91"/>
      <c r="W22" s="91"/>
      <c r="X22" s="91"/>
      <c r="Y22" s="91"/>
      <c r="Z22" s="91"/>
      <c r="AA22" s="91"/>
      <c r="AB22" s="91"/>
      <c r="AC22" s="96"/>
    </row>
    <row r="23" customFormat="false" ht="15" hidden="false" customHeight="false" outlineLevel="0" collapsed="false">
      <c r="A23" s="90"/>
      <c r="B23" s="707"/>
      <c r="C23" s="707"/>
      <c r="D23" s="757" t="n">
        <v>3</v>
      </c>
      <c r="E23" s="98"/>
      <c r="F23" s="755" t="n">
        <v>700</v>
      </c>
      <c r="G23" s="755" t="n">
        <v>700</v>
      </c>
      <c r="H23" s="755" t="n">
        <v>700</v>
      </c>
      <c r="I23" s="755" t="n">
        <v>700</v>
      </c>
      <c r="J23" s="755" t="n">
        <v>700</v>
      </c>
      <c r="K23" s="755" t="n">
        <v>700</v>
      </c>
      <c r="L23" s="755" t="n">
        <v>700</v>
      </c>
      <c r="M23" s="755" t="n">
        <v>700</v>
      </c>
      <c r="N23" s="755" t="n">
        <v>700</v>
      </c>
      <c r="O23" s="755" t="n">
        <v>700</v>
      </c>
      <c r="P23" s="755" t="n">
        <v>700</v>
      </c>
      <c r="Q23" s="755" t="n">
        <v>700</v>
      </c>
      <c r="R23" s="755" t="n">
        <v>700</v>
      </c>
      <c r="S23" s="755" t="n">
        <v>700</v>
      </c>
      <c r="T23" s="755" t="n">
        <v>700</v>
      </c>
      <c r="U23" s="91"/>
      <c r="V23" s="91"/>
      <c r="W23" s="91"/>
      <c r="X23" s="91"/>
      <c r="Y23" s="91"/>
      <c r="Z23" s="91"/>
      <c r="AA23" s="91"/>
      <c r="AB23" s="91"/>
      <c r="AC23" s="96"/>
    </row>
    <row r="24" customFormat="false" ht="15" hidden="false" customHeight="false" outlineLevel="0" collapsed="false">
      <c r="A24" s="90"/>
      <c r="B24" s="707" t="s">
        <v>320</v>
      </c>
      <c r="C24" s="707"/>
      <c r="D24" s="757" t="n">
        <v>1</v>
      </c>
      <c r="E24" s="98"/>
      <c r="F24" s="755" t="n">
        <v>300</v>
      </c>
      <c r="G24" s="755" t="n">
        <v>300</v>
      </c>
      <c r="H24" s="755" t="n">
        <v>300</v>
      </c>
      <c r="I24" s="755" t="n">
        <v>300</v>
      </c>
      <c r="J24" s="755" t="n">
        <v>300</v>
      </c>
      <c r="K24" s="755" t="n">
        <v>300</v>
      </c>
      <c r="L24" s="755" t="n">
        <v>300</v>
      </c>
      <c r="M24" s="755" t="n">
        <v>300</v>
      </c>
      <c r="N24" s="755" t="n">
        <v>300</v>
      </c>
      <c r="O24" s="755" t="n">
        <v>300</v>
      </c>
      <c r="P24" s="755" t="n">
        <v>300</v>
      </c>
      <c r="Q24" s="755" t="n">
        <v>300</v>
      </c>
      <c r="R24" s="755" t="n">
        <v>300</v>
      </c>
      <c r="S24" s="755" t="n">
        <v>300</v>
      </c>
      <c r="T24" s="755" t="n">
        <v>300</v>
      </c>
      <c r="U24" s="91"/>
      <c r="V24" s="91"/>
      <c r="W24" s="91"/>
      <c r="X24" s="91"/>
      <c r="Y24" s="91"/>
      <c r="Z24" s="91"/>
      <c r="AA24" s="91"/>
      <c r="AB24" s="91"/>
      <c r="AC24" s="96"/>
    </row>
    <row r="25" customFormat="false" ht="15" hidden="false" customHeight="false" outlineLevel="0" collapsed="false">
      <c r="A25" s="90"/>
      <c r="B25" s="707"/>
      <c r="C25" s="707"/>
      <c r="D25" s="757" t="n">
        <v>2</v>
      </c>
      <c r="E25" s="98"/>
      <c r="F25" s="755" t="n">
        <v>500</v>
      </c>
      <c r="G25" s="755" t="n">
        <v>500</v>
      </c>
      <c r="H25" s="755" t="n">
        <v>500</v>
      </c>
      <c r="I25" s="755" t="n">
        <v>500</v>
      </c>
      <c r="J25" s="755" t="n">
        <v>500</v>
      </c>
      <c r="K25" s="755" t="n">
        <v>500</v>
      </c>
      <c r="L25" s="755" t="n">
        <v>500</v>
      </c>
      <c r="M25" s="755" t="n">
        <v>500</v>
      </c>
      <c r="N25" s="755" t="n">
        <v>500</v>
      </c>
      <c r="O25" s="755" t="n">
        <v>500</v>
      </c>
      <c r="P25" s="755" t="n">
        <v>500</v>
      </c>
      <c r="Q25" s="755" t="n">
        <v>500</v>
      </c>
      <c r="R25" s="755" t="n">
        <v>500</v>
      </c>
      <c r="S25" s="755" t="n">
        <v>500</v>
      </c>
      <c r="T25" s="755" t="n">
        <v>500</v>
      </c>
      <c r="U25" s="91"/>
      <c r="V25" s="91"/>
      <c r="W25" s="91"/>
      <c r="X25" s="91"/>
      <c r="Y25" s="91"/>
      <c r="Z25" s="91"/>
      <c r="AA25" s="91"/>
      <c r="AB25" s="91"/>
      <c r="AC25" s="96"/>
    </row>
    <row r="26" customFormat="false" ht="15" hidden="false" customHeight="false" outlineLevel="0" collapsed="false">
      <c r="A26" s="90"/>
      <c r="B26" s="707"/>
      <c r="C26" s="707"/>
      <c r="D26" s="757" t="n">
        <v>3</v>
      </c>
      <c r="E26" s="98"/>
      <c r="F26" s="755" t="n">
        <v>700</v>
      </c>
      <c r="G26" s="755" t="n">
        <v>700</v>
      </c>
      <c r="H26" s="755" t="n">
        <v>700</v>
      </c>
      <c r="I26" s="755" t="n">
        <v>700</v>
      </c>
      <c r="J26" s="755" t="n">
        <v>700</v>
      </c>
      <c r="K26" s="755" t="n">
        <v>700</v>
      </c>
      <c r="L26" s="755" t="n">
        <v>700</v>
      </c>
      <c r="M26" s="755" t="n">
        <v>700</v>
      </c>
      <c r="N26" s="755" t="n">
        <v>700</v>
      </c>
      <c r="O26" s="755" t="n">
        <v>700</v>
      </c>
      <c r="P26" s="755" t="n">
        <v>700</v>
      </c>
      <c r="Q26" s="755" t="n">
        <v>700</v>
      </c>
      <c r="R26" s="755" t="n">
        <v>700</v>
      </c>
      <c r="S26" s="755" t="n">
        <v>700</v>
      </c>
      <c r="T26" s="755" t="n">
        <v>700</v>
      </c>
      <c r="U26" s="91"/>
      <c r="V26" s="91"/>
      <c r="W26" s="91"/>
      <c r="X26" s="91"/>
      <c r="Y26" s="91"/>
      <c r="Z26" s="91"/>
      <c r="AA26" s="91"/>
      <c r="AB26" s="91"/>
      <c r="AC26" s="96"/>
    </row>
    <row r="27" customFormat="false" ht="15" hidden="false" customHeight="false" outlineLevel="0" collapsed="false">
      <c r="A27" s="90"/>
      <c r="B27" s="434"/>
      <c r="C27" s="434"/>
      <c r="D27" s="434"/>
      <c r="E27" s="98"/>
      <c r="F27" s="715"/>
      <c r="G27" s="716"/>
      <c r="H27" s="716"/>
      <c r="I27" s="716"/>
      <c r="J27" s="716"/>
      <c r="K27" s="716"/>
      <c r="L27" s="716"/>
      <c r="M27" s="716"/>
      <c r="N27" s="716"/>
      <c r="O27" s="716"/>
      <c r="P27" s="716"/>
      <c r="Q27" s="716"/>
      <c r="R27" s="716"/>
      <c r="S27" s="716"/>
      <c r="T27" s="717"/>
      <c r="U27" s="91"/>
      <c r="V27" s="91"/>
      <c r="W27" s="91"/>
      <c r="X27" s="91"/>
      <c r="Y27" s="91"/>
      <c r="Z27" s="91"/>
      <c r="AA27" s="91"/>
      <c r="AB27" s="91"/>
      <c r="AC27" s="96"/>
    </row>
    <row r="28" customFormat="false" ht="15" hidden="false" customHeight="false" outlineLevel="0" collapsed="false">
      <c r="A28" s="90"/>
      <c r="B28" s="99"/>
      <c r="C28" s="99"/>
      <c r="D28" s="99"/>
      <c r="E28" s="98"/>
      <c r="F28" s="91"/>
      <c r="G28" s="91"/>
      <c r="H28" s="91"/>
      <c r="I28" s="91"/>
      <c r="J28" s="91"/>
      <c r="K28" s="91"/>
      <c r="L28" s="91"/>
      <c r="M28" s="91"/>
      <c r="N28" s="91"/>
      <c r="O28" s="91"/>
      <c r="P28" s="91"/>
      <c r="Q28" s="91"/>
      <c r="R28" s="91"/>
      <c r="S28" s="91"/>
      <c r="T28" s="91"/>
      <c r="U28" s="91"/>
      <c r="V28" s="91"/>
      <c r="W28" s="91"/>
      <c r="X28" s="91"/>
      <c r="Y28" s="91"/>
      <c r="Z28" s="91"/>
      <c r="AA28" s="91"/>
      <c r="AB28" s="91"/>
      <c r="AC28" s="96"/>
    </row>
    <row r="29" customFormat="false" ht="15" hidden="false" customHeight="false" outlineLevel="0" collapsed="false">
      <c r="A29" s="90"/>
      <c r="B29" s="99"/>
      <c r="C29" s="99"/>
      <c r="D29" s="99"/>
      <c r="E29" s="98"/>
      <c r="F29" s="91"/>
      <c r="G29" s="91"/>
      <c r="H29" s="91"/>
      <c r="I29" s="91"/>
      <c r="J29" s="91"/>
      <c r="K29" s="91"/>
      <c r="L29" s="91"/>
      <c r="M29" s="91"/>
      <c r="N29" s="91"/>
      <c r="O29" s="91"/>
      <c r="P29" s="91"/>
      <c r="Q29" s="91"/>
      <c r="R29" s="91"/>
      <c r="S29" s="91"/>
      <c r="T29" s="91"/>
      <c r="U29" s="91"/>
      <c r="V29" s="91"/>
      <c r="W29" s="91"/>
      <c r="X29" s="91"/>
      <c r="Y29" s="91"/>
      <c r="Z29" s="91"/>
      <c r="AA29" s="91"/>
      <c r="AB29" s="91"/>
      <c r="AC29" s="96"/>
    </row>
    <row r="30" customFormat="false" ht="15" hidden="false" customHeight="false" outlineLevel="0" collapsed="false">
      <c r="A30" s="90"/>
      <c r="B30" s="99"/>
      <c r="C30" s="99"/>
      <c r="D30" s="99"/>
      <c r="E30" s="98"/>
      <c r="F30" s="91"/>
      <c r="G30" s="91"/>
      <c r="H30" s="91"/>
      <c r="I30" s="91"/>
      <c r="J30" s="91"/>
      <c r="K30" s="91"/>
      <c r="L30" s="91"/>
      <c r="M30" s="91"/>
      <c r="N30" s="91"/>
      <c r="O30" s="91"/>
      <c r="P30" s="91"/>
      <c r="Q30" s="91"/>
      <c r="R30" s="91"/>
      <c r="S30" s="91"/>
      <c r="T30" s="91"/>
      <c r="U30" s="91"/>
      <c r="V30" s="91"/>
      <c r="W30" s="91"/>
      <c r="X30" s="91"/>
      <c r="Y30" s="91"/>
      <c r="Z30" s="91"/>
      <c r="AA30" s="91"/>
      <c r="AB30" s="91"/>
      <c r="AC30" s="96"/>
    </row>
    <row r="31" customFormat="false" ht="15" hidden="false" customHeight="false" outlineLevel="0" collapsed="false">
      <c r="A31" s="90"/>
      <c r="B31" s="99"/>
      <c r="C31" s="99"/>
      <c r="D31" s="99"/>
      <c r="E31" s="98"/>
      <c r="F31" s="91"/>
      <c r="G31" s="91"/>
      <c r="H31" s="91"/>
      <c r="I31" s="91"/>
      <c r="J31" s="91"/>
      <c r="K31" s="91"/>
      <c r="L31" s="91"/>
      <c r="M31" s="91"/>
      <c r="N31" s="91"/>
      <c r="O31" s="91"/>
      <c r="P31" s="91"/>
      <c r="Q31" s="91"/>
      <c r="R31" s="91"/>
      <c r="S31" s="91"/>
      <c r="T31" s="91"/>
      <c r="U31" s="91"/>
      <c r="V31" s="91"/>
      <c r="W31" s="91"/>
      <c r="X31" s="91"/>
      <c r="Y31" s="91"/>
      <c r="Z31" s="91"/>
      <c r="AA31" s="91"/>
      <c r="AB31" s="91"/>
      <c r="AC31" s="96"/>
    </row>
    <row r="32" customFormat="false" ht="15" hidden="false" customHeight="true" outlineLevel="0" collapsed="false">
      <c r="A32" s="90"/>
      <c r="B32" s="103"/>
      <c r="C32" s="710"/>
      <c r="D32" s="103"/>
      <c r="E32" s="710"/>
      <c r="F32" s="91"/>
      <c r="G32" s="91"/>
      <c r="H32" s="91"/>
      <c r="I32" s="91"/>
      <c r="J32" s="91"/>
      <c r="K32" s="91"/>
      <c r="L32" s="91"/>
      <c r="M32" s="91"/>
      <c r="N32" s="91"/>
      <c r="O32" s="91"/>
      <c r="P32" s="91"/>
      <c r="Q32" s="91"/>
      <c r="R32" s="91"/>
      <c r="S32" s="91"/>
      <c r="T32" s="91"/>
      <c r="U32" s="91"/>
      <c r="V32" s="91"/>
      <c r="W32" s="91"/>
      <c r="X32" s="91"/>
      <c r="Y32" s="91"/>
      <c r="Z32" s="91"/>
      <c r="AA32" s="91"/>
      <c r="AB32" s="91"/>
      <c r="AC32" s="96"/>
    </row>
    <row r="33" customFormat="false" ht="6.95" hidden="false" customHeight="true" outlineLevel="0" collapsed="false">
      <c r="A33" s="90"/>
      <c r="B33" s="91"/>
      <c r="C33" s="91"/>
      <c r="D33" s="91"/>
      <c r="E33" s="91"/>
      <c r="F33" s="91"/>
      <c r="G33" s="91"/>
      <c r="H33" s="91"/>
      <c r="I33" s="91"/>
      <c r="J33" s="91"/>
      <c r="K33" s="91"/>
      <c r="L33" s="91"/>
      <c r="M33" s="91"/>
      <c r="N33" s="91"/>
      <c r="O33" s="91"/>
      <c r="P33" s="91"/>
      <c r="Q33" s="91"/>
      <c r="R33" s="91"/>
      <c r="S33" s="91"/>
      <c r="T33" s="91"/>
      <c r="U33" s="91"/>
      <c r="V33" s="91"/>
      <c r="W33" s="91"/>
      <c r="X33" s="91"/>
      <c r="Y33" s="91"/>
      <c r="Z33" s="91"/>
      <c r="AA33" s="91"/>
      <c r="AB33" s="91"/>
      <c r="AC33" s="96"/>
    </row>
    <row r="34" customFormat="false" ht="15" hidden="false" customHeight="false" outlineLevel="0" collapsed="false">
      <c r="A34" s="104"/>
      <c r="B34" s="10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8"/>
    </row>
    <row r="35" customFormat="false" ht="15" hidden="true" customHeight="false" outlineLevel="0" collapsed="false">
      <c r="A35" s="330"/>
      <c r="B35" s="16"/>
      <c r="D35" s="16"/>
      <c r="Q35" s="22"/>
      <c r="R35" s="22"/>
      <c r="S35" s="22"/>
      <c r="T35" s="22"/>
      <c r="U35" s="22"/>
      <c r="V35" s="22"/>
      <c r="W35" s="22"/>
      <c r="X35" s="22"/>
      <c r="Y35" s="22"/>
      <c r="Z35" s="22"/>
      <c r="AA35" s="22"/>
      <c r="AB35" s="22"/>
      <c r="AC35" s="22"/>
    </row>
    <row r="36" customFormat="false" ht="15" hidden="true" customHeight="false" outlineLevel="0" collapsed="false">
      <c r="A36" s="111"/>
      <c r="B36" s="106"/>
      <c r="D36" s="106"/>
      <c r="Q36" s="22"/>
      <c r="R36" s="22"/>
      <c r="S36" s="22"/>
      <c r="T36" s="22"/>
      <c r="U36" s="22"/>
      <c r="V36" s="22"/>
      <c r="W36" s="22"/>
      <c r="X36" s="22"/>
      <c r="Y36" s="22"/>
      <c r="Z36" s="22"/>
      <c r="AA36" s="22"/>
      <c r="AB36" s="22"/>
      <c r="AC36" s="22"/>
    </row>
    <row r="37" customFormat="false" ht="15" hidden="true" customHeight="false" outlineLevel="0" collapsed="false">
      <c r="A37" s="22"/>
      <c r="Q37" s="22"/>
      <c r="R37" s="22"/>
      <c r="S37" s="22"/>
      <c r="T37" s="22"/>
      <c r="U37" s="22"/>
      <c r="V37" s="22"/>
      <c r="W37" s="22"/>
      <c r="X37" s="22"/>
      <c r="Y37" s="22"/>
      <c r="Z37" s="22"/>
      <c r="AA37" s="22"/>
      <c r="AB37" s="22"/>
      <c r="AC37" s="22"/>
    </row>
    <row r="38" customFormat="false" ht="15" hidden="true" customHeight="false" outlineLevel="0" collapsed="false">
      <c r="A38" s="22"/>
      <c r="Q38" s="22"/>
      <c r="R38" s="22"/>
      <c r="S38" s="22"/>
      <c r="T38" s="22"/>
      <c r="U38" s="22"/>
      <c r="V38" s="22"/>
      <c r="W38" s="22"/>
      <c r="X38" s="22"/>
      <c r="Y38" s="22"/>
      <c r="Z38" s="22"/>
      <c r="AA38" s="22"/>
      <c r="AB38" s="22"/>
      <c r="AC38" s="22"/>
    </row>
    <row r="39" customFormat="false" ht="15" hidden="true" customHeight="false" outlineLevel="0" collapsed="false">
      <c r="A39" s="22"/>
      <c r="Q39" s="22"/>
      <c r="R39" s="22"/>
      <c r="S39" s="22"/>
      <c r="T39" s="22"/>
      <c r="U39" s="22"/>
      <c r="V39" s="22"/>
      <c r="W39" s="22"/>
      <c r="X39" s="22"/>
      <c r="Y39" s="22"/>
      <c r="Z39" s="22"/>
      <c r="AA39" s="22"/>
      <c r="AB39" s="22"/>
      <c r="AC39" s="22"/>
    </row>
    <row r="40" customFormat="false" ht="15" hidden="true" customHeight="false" outlineLevel="0" collapsed="false">
      <c r="A40" s="22"/>
      <c r="Q40" s="22"/>
      <c r="R40" s="22"/>
      <c r="S40" s="22"/>
      <c r="T40" s="22"/>
      <c r="U40" s="22"/>
      <c r="V40" s="22"/>
      <c r="W40" s="22"/>
      <c r="X40" s="22"/>
      <c r="Y40" s="22"/>
      <c r="Z40" s="22"/>
      <c r="AA40" s="22"/>
      <c r="AB40" s="22"/>
      <c r="AC40" s="22"/>
    </row>
    <row r="41" customFormat="false" ht="15" hidden="true" customHeight="false" outlineLevel="0" collapsed="false">
      <c r="A41" s="22"/>
      <c r="U41" s="22"/>
      <c r="V41" s="22"/>
      <c r="W41" s="22"/>
      <c r="X41" s="22"/>
      <c r="Y41" s="22"/>
      <c r="Z41" s="22"/>
      <c r="AA41" s="22"/>
      <c r="AB41" s="22"/>
      <c r="AC41" s="22"/>
    </row>
    <row r="42" customFormat="false" ht="15" hidden="true" customHeight="false" outlineLevel="0" collapsed="false">
      <c r="A42" s="22"/>
      <c r="U42" s="22"/>
      <c r="V42" s="22"/>
      <c r="W42" s="22"/>
      <c r="X42" s="22"/>
      <c r="Y42" s="22"/>
      <c r="Z42" s="22"/>
      <c r="AA42" s="22"/>
      <c r="AB42" s="22"/>
      <c r="AC42" s="22"/>
    </row>
    <row r="43" customFormat="false" ht="15" hidden="true" customHeight="false" outlineLevel="0" collapsed="false">
      <c r="A43" s="22"/>
      <c r="U43" s="22"/>
      <c r="V43" s="22"/>
      <c r="W43" s="22"/>
      <c r="X43" s="22"/>
      <c r="Y43" s="22"/>
      <c r="Z43" s="22"/>
      <c r="AA43" s="22"/>
      <c r="AB43" s="22"/>
      <c r="AC43" s="22"/>
    </row>
    <row r="44" customFormat="false" ht="15" hidden="true" customHeight="false" outlineLevel="0" collapsed="false">
      <c r="A44" s="22"/>
      <c r="U44" s="22"/>
      <c r="V44" s="22"/>
      <c r="W44" s="22"/>
      <c r="X44" s="22"/>
      <c r="Y44" s="22"/>
      <c r="Z44" s="22"/>
      <c r="AA44" s="22"/>
      <c r="AB44" s="22"/>
      <c r="AC44" s="22"/>
    </row>
    <row r="45" customFormat="false" ht="15" hidden="true" customHeight="false" outlineLevel="0" collapsed="false">
      <c r="A45" s="22"/>
      <c r="U45" s="22"/>
      <c r="V45" s="22"/>
      <c r="W45" s="22"/>
      <c r="X45" s="22"/>
      <c r="Y45" s="22"/>
      <c r="Z45" s="22"/>
      <c r="AA45" s="22"/>
      <c r="AB45" s="22"/>
      <c r="AC45" s="22"/>
    </row>
    <row r="46" customFormat="false" ht="15" hidden="true" customHeight="false" outlineLevel="0" collapsed="false">
      <c r="A46" s="22"/>
      <c r="U46" s="22"/>
      <c r="V46" s="22"/>
      <c r="W46" s="22"/>
      <c r="X46" s="22"/>
      <c r="Y46" s="22"/>
      <c r="Z46" s="22"/>
      <c r="AA46" s="22"/>
      <c r="AB46" s="22"/>
      <c r="AC46" s="22"/>
    </row>
  </sheetData>
  <mergeCells count="16">
    <mergeCell ref="A3:W3"/>
    <mergeCell ref="X3:AC3"/>
    <mergeCell ref="B5:D5"/>
    <mergeCell ref="F5:T5"/>
    <mergeCell ref="B7:B9"/>
    <mergeCell ref="C7:C8"/>
    <mergeCell ref="B10:B15"/>
    <mergeCell ref="C10:C12"/>
    <mergeCell ref="C13:C15"/>
    <mergeCell ref="B16:D16"/>
    <mergeCell ref="B19:D19"/>
    <mergeCell ref="F19:T19"/>
    <mergeCell ref="B20:C20"/>
    <mergeCell ref="B21:C23"/>
    <mergeCell ref="B24:C26"/>
    <mergeCell ref="B27:D27"/>
  </mergeCells>
  <printOptions headings="false" gridLines="false" gridLinesSet="true" horizontalCentered="false" verticalCentered="false"/>
  <pageMargins left="0.75" right="0.75" top="1" bottom="1" header="0.511805555555555" footer="0.511805555555555"/>
  <pageSetup paperSize="9" scale="76"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36.xml><?xml version="1.0" encoding="utf-8"?>
<worksheet xmlns="http://schemas.openxmlformats.org/spreadsheetml/2006/main" xmlns:r="http://schemas.openxmlformats.org/officeDocument/2006/relationships">
  <sheetPr filterMode="false">
    <pageSetUpPr fitToPage="true"/>
  </sheetPr>
  <dimension ref="A1:AC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0" activeCellId="0" sqref="D20"/>
    </sheetView>
  </sheetViews>
  <sheetFormatPr defaultRowHeight="15" zeroHeight="true" outlineLevelRow="0" outlineLevelCol="0"/>
  <cols>
    <col collapsed="false" customWidth="true" hidden="false" outlineLevel="0" max="1" min="1" style="4" width="2.71"/>
    <col collapsed="false" customWidth="true" hidden="false" outlineLevel="0" max="2" min="2" style="4" width="7.15"/>
    <col collapsed="false" customWidth="true" hidden="false" outlineLevel="0" max="3" min="3" style="16" width="7.42"/>
    <col collapsed="false" customWidth="true" hidden="false" outlineLevel="0" max="4" min="4" style="4" width="9.14"/>
    <col collapsed="false" customWidth="true" hidden="false" outlineLevel="0" max="5" min="5" style="16" width="2.71"/>
    <col collapsed="false" customWidth="true" hidden="false" outlineLevel="0" max="20" min="6" style="4" width="8.86"/>
    <col collapsed="false" customWidth="true" hidden="false" outlineLevel="0" max="21" min="21" style="4" width="5.14"/>
    <col collapsed="false" customWidth="true" hidden="false" outlineLevel="0" max="22" min="22" style="4" width="6.57"/>
    <col collapsed="false" customWidth="true" hidden="true" outlineLevel="0" max="27" min="23" style="4" width="5.14"/>
    <col collapsed="false" customWidth="true" hidden="true" outlineLevel="0" max="28" min="28" style="4" width="8.57"/>
    <col collapsed="false" customWidth="true" hidden="true" outlineLevel="0" max="29" min="29" style="4" width="2"/>
    <col collapsed="false" customWidth="true" hidden="true" outlineLevel="0" max="255" min="30" style="4" width="9.14"/>
    <col collapsed="false" customWidth="false" hidden="true" outlineLevel="0" max="1025" min="256" style="4" width="11.52"/>
  </cols>
  <sheetData>
    <row r="1" customFormat="false" ht="15" hidden="false" customHeight="false" outlineLevel="0" collapsed="false">
      <c r="A1" s="700"/>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4"/>
    </row>
    <row r="2" customFormat="false" ht="37.5" hidden="false" customHeight="true" outlineLevel="0" collapsed="false">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8"/>
    </row>
    <row r="3" customFormat="false" ht="28.5" hidden="false" customHeight="false" outlineLevel="0" collapsed="false">
      <c r="A3" s="384" t="s">
        <v>491</v>
      </c>
      <c r="B3" s="384"/>
      <c r="C3" s="384"/>
      <c r="D3" s="384"/>
      <c r="E3" s="384"/>
      <c r="F3" s="384"/>
      <c r="G3" s="384"/>
      <c r="H3" s="384"/>
      <c r="I3" s="384"/>
      <c r="J3" s="384"/>
      <c r="K3" s="384"/>
      <c r="L3" s="384"/>
      <c r="M3" s="384"/>
      <c r="N3" s="384"/>
      <c r="O3" s="384"/>
      <c r="P3" s="384"/>
      <c r="Q3" s="384"/>
      <c r="R3" s="384"/>
      <c r="S3" s="384"/>
      <c r="T3" s="384"/>
      <c r="U3" s="384"/>
      <c r="V3" s="384"/>
      <c r="W3" s="384"/>
      <c r="X3" s="384"/>
      <c r="Y3" s="384"/>
      <c r="Z3" s="384"/>
      <c r="AA3" s="384"/>
      <c r="AB3" s="384"/>
      <c r="AC3" s="384"/>
    </row>
    <row r="4" customFormat="false" ht="15" hidden="false" customHeight="true" outlineLevel="0" collapsed="false">
      <c r="A4" s="90"/>
      <c r="B4" s="91"/>
      <c r="C4" s="91"/>
      <c r="D4" s="91"/>
      <c r="E4" s="91"/>
      <c r="F4" s="91"/>
      <c r="G4" s="91"/>
      <c r="H4" s="91"/>
      <c r="I4" s="91"/>
      <c r="J4" s="91"/>
      <c r="K4" s="91"/>
      <c r="L4" s="91"/>
      <c r="M4" s="91"/>
      <c r="N4" s="91"/>
      <c r="O4" s="91"/>
      <c r="P4" s="91"/>
      <c r="Q4" s="91"/>
      <c r="R4" s="91"/>
      <c r="S4" s="91"/>
      <c r="T4" s="91"/>
      <c r="U4" s="93"/>
      <c r="V4" s="93"/>
      <c r="W4" s="93"/>
      <c r="X4" s="93"/>
      <c r="Y4" s="93"/>
      <c r="Z4" s="93"/>
      <c r="AA4" s="93"/>
      <c r="AB4" s="93"/>
      <c r="AC4" s="94"/>
    </row>
    <row r="5" customFormat="false" ht="15" hidden="false" customHeight="false" outlineLevel="0" collapsed="false">
      <c r="A5" s="90"/>
      <c r="B5" s="398" t="s">
        <v>492</v>
      </c>
      <c r="C5" s="398"/>
      <c r="D5" s="398"/>
      <c r="E5" s="399"/>
      <c r="F5" s="398" t="s">
        <v>493</v>
      </c>
      <c r="G5" s="398"/>
      <c r="H5" s="398"/>
      <c r="I5" s="398"/>
      <c r="J5" s="398"/>
      <c r="K5" s="398"/>
      <c r="L5" s="398"/>
      <c r="M5" s="398"/>
      <c r="N5" s="398"/>
      <c r="O5" s="398"/>
      <c r="P5" s="398"/>
      <c r="Q5" s="398"/>
      <c r="R5" s="398"/>
      <c r="S5" s="398"/>
      <c r="T5" s="398"/>
      <c r="U5" s="91"/>
      <c r="V5" s="91"/>
      <c r="W5" s="91"/>
      <c r="X5" s="91"/>
      <c r="Y5" s="91"/>
      <c r="Z5" s="91"/>
      <c r="AA5" s="91"/>
      <c r="AB5" s="91"/>
      <c r="AC5" s="96"/>
    </row>
    <row r="6" customFormat="false" ht="15" hidden="false" customHeight="false" outlineLevel="0" collapsed="false">
      <c r="A6" s="90"/>
      <c r="B6" s="402" t="s">
        <v>290</v>
      </c>
      <c r="C6" s="402"/>
      <c r="D6" s="402"/>
      <c r="E6" s="403"/>
      <c r="F6" s="431" t="s">
        <v>299</v>
      </c>
      <c r="G6" s="432" t="s">
        <v>300</v>
      </c>
      <c r="H6" s="432" t="s">
        <v>301</v>
      </c>
      <c r="I6" s="432" t="s">
        <v>302</v>
      </c>
      <c r="J6" s="432" t="s">
        <v>303</v>
      </c>
      <c r="K6" s="432" t="s">
        <v>304</v>
      </c>
      <c r="L6" s="432" t="s">
        <v>305</v>
      </c>
      <c r="M6" s="432" t="s">
        <v>306</v>
      </c>
      <c r="N6" s="432" t="s">
        <v>307</v>
      </c>
      <c r="O6" s="432" t="s">
        <v>308</v>
      </c>
      <c r="P6" s="432" t="s">
        <v>309</v>
      </c>
      <c r="Q6" s="432" t="s">
        <v>310</v>
      </c>
      <c r="R6" s="432" t="s">
        <v>311</v>
      </c>
      <c r="S6" s="432" t="s">
        <v>312</v>
      </c>
      <c r="T6" s="417" t="s">
        <v>313</v>
      </c>
      <c r="U6" s="91"/>
      <c r="V6" s="91"/>
      <c r="W6" s="91"/>
      <c r="X6" s="91"/>
      <c r="Y6" s="91"/>
      <c r="Z6" s="91"/>
      <c r="AA6" s="91"/>
      <c r="AB6" s="91"/>
      <c r="AC6" s="96"/>
    </row>
    <row r="7" customFormat="false" ht="15" hidden="false" customHeight="false" outlineLevel="0" collapsed="false">
      <c r="A7" s="90"/>
      <c r="B7" s="754" t="s">
        <v>291</v>
      </c>
      <c r="C7" s="754"/>
      <c r="D7" s="754"/>
      <c r="E7" s="98"/>
      <c r="F7" s="755" t="n">
        <f aca="false">AVERAGE('OM Parts CPV'!F7,'OM Parts CPV'!F8,'OM Parts CPV'!F9)</f>
        <v>1460.44830026614</v>
      </c>
      <c r="G7" s="755" t="n">
        <f aca="false">AVERAGE('OM Parts CPV'!G7,'OM Parts CPV'!G8,'OM Parts CPV'!G9)</f>
        <v>1532.76144560429</v>
      </c>
      <c r="H7" s="755" t="n">
        <f aca="false">AVERAGE('OM Parts CPV'!H7,'OM Parts CPV'!H8,'OM Parts CPV'!H9)</f>
        <v>2227.59107967428</v>
      </c>
      <c r="I7" s="755" t="n">
        <f aca="false">AVERAGE('OM Parts CPV'!I7,'OM Parts CPV'!I8,'OM Parts CPV'!I9)</f>
        <v>2400.63415868632</v>
      </c>
      <c r="J7" s="755" t="n">
        <f aca="false">AVERAGE('OM Parts CPV'!J7,'OM Parts CPV'!J8,'OM Parts CPV'!J9)</f>
        <v>2354.45562887253</v>
      </c>
      <c r="K7" s="755" t="n">
        <f aca="false">AVERAGE('OM Parts CPV'!K7,'OM Parts CPV'!K8,'OM Parts CPV'!K9)</f>
        <v>1914.63561859744</v>
      </c>
      <c r="L7" s="755" t="n">
        <f aca="false">AVERAGE('OM Parts CPV'!L7,'OM Parts CPV'!L8,'OM Parts CPV'!L9)</f>
        <v>2034.30034475978</v>
      </c>
      <c r="M7" s="755" t="n">
        <f aca="false">AVERAGE('OM Parts CPV'!M7,'OM Parts CPV'!M8,'OM Parts CPV'!M9)</f>
        <v>2153.96507092212</v>
      </c>
      <c r="N7" s="755" t="n">
        <f aca="false">AVERAGE('OM Parts CPV'!N7,'OM Parts CPV'!N8,'OM Parts CPV'!N9)</f>
        <v>2273.62979708446</v>
      </c>
      <c r="O7" s="755" t="n">
        <f aca="false">AVERAGE('OM Parts CPV'!O7,'OM Parts CPV'!O8,'OM Parts CPV'!O9)</f>
        <v>2393.2945232468</v>
      </c>
      <c r="P7" s="755" t="n">
        <f aca="false">AVERAGE('OM Parts CPV'!P7,'OM Parts CPV'!P8,'OM Parts CPV'!P9)</f>
        <v>2297.56274231693</v>
      </c>
      <c r="Q7" s="755" t="n">
        <f aca="false">AVERAGE('OM Parts CPV'!Q7,'OM Parts CPV'!Q8,'OM Parts CPV'!Q9)</f>
        <v>2201.83096138706</v>
      </c>
      <c r="R7" s="755" t="n">
        <f aca="false">AVERAGE('OM Parts CPV'!R7,'OM Parts CPV'!R8,'OM Parts CPV'!R9)</f>
        <v>2106.09918045719</v>
      </c>
      <c r="S7" s="755" t="n">
        <f aca="false">AVERAGE('OM Parts CPV'!S7,'OM Parts CPV'!S8,'OM Parts CPV'!S9)</f>
        <v>2010.36739952732</v>
      </c>
      <c r="T7" s="755" t="n">
        <f aca="false">AVERAGE('OM Parts CPV'!T7,'OM Parts CPV'!T8,'OM Parts CPV'!T9)</f>
        <v>1914.63561859744</v>
      </c>
      <c r="U7" s="91"/>
      <c r="V7" s="91"/>
      <c r="W7" s="91"/>
      <c r="X7" s="91"/>
      <c r="Y7" s="91"/>
      <c r="Z7" s="91"/>
      <c r="AA7" s="91"/>
      <c r="AB7" s="91"/>
      <c r="AC7" s="96"/>
    </row>
    <row r="8" customFormat="false" ht="15" hidden="false" customHeight="false" outlineLevel="0" collapsed="false">
      <c r="A8" s="90"/>
      <c r="B8" s="707" t="s">
        <v>292</v>
      </c>
      <c r="C8" s="707"/>
      <c r="D8" s="707"/>
      <c r="E8" s="98"/>
      <c r="F8" s="755" t="n">
        <f aca="false">AVERAGE('OM Parts CPV'!F10,'OM Parts CPV'!F11,'OM Parts CPV'!F13,'OM Parts CPV'!F14)</f>
        <v>1721.17176227339</v>
      </c>
      <c r="G8" s="755" t="n">
        <f aca="false">AVERAGE('OM Parts CPV'!G10,'OM Parts CPV'!G11,'OM Parts CPV'!G13,'OM Parts CPV'!G14)</f>
        <v>1491.48476620085</v>
      </c>
      <c r="H8" s="755" t="n">
        <f aca="false">AVERAGE('OM Parts CPV'!H10,'OM Parts CPV'!H11,'OM Parts CPV'!H13,'OM Parts CPV'!H14)</f>
        <v>2390.67135653968</v>
      </c>
      <c r="I8" s="755" t="n">
        <f aca="false">AVERAGE('OM Parts CPV'!I10,'OM Parts CPV'!I11,'OM Parts CPV'!I13,'OM Parts CPV'!I14)</f>
        <v>3019.89801635953</v>
      </c>
      <c r="J8" s="755" t="n">
        <f aca="false">AVERAGE('OM Parts CPV'!J10,'OM Parts CPV'!J11,'OM Parts CPV'!J13,'OM Parts CPV'!J14)</f>
        <v>3365.38574538508</v>
      </c>
      <c r="K8" s="755" t="n">
        <f aca="false">AVERAGE('OM Parts CPV'!K10,'OM Parts CPV'!K11,'OM Parts CPV'!K13,'OM Parts CPV'!K14)</f>
        <v>3315.13242387255</v>
      </c>
      <c r="L8" s="755" t="n">
        <f aca="false">AVERAGE('OM Parts CPV'!L10,'OM Parts CPV'!L11,'OM Parts CPV'!L13,'OM Parts CPV'!L14)</f>
        <v>3522.32820036459</v>
      </c>
      <c r="M8" s="755" t="n">
        <f aca="false">AVERAGE('OM Parts CPV'!M10,'OM Parts CPV'!M11,'OM Parts CPV'!M13,'OM Parts CPV'!M14)</f>
        <v>3729.52397685662</v>
      </c>
      <c r="N8" s="755" t="n">
        <f aca="false">AVERAGE('OM Parts CPV'!N10,'OM Parts CPV'!N11,'OM Parts CPV'!N13,'OM Parts CPV'!N14)</f>
        <v>3936.71975334866</v>
      </c>
      <c r="O8" s="755" t="n">
        <f aca="false">AVERAGE('OM Parts CPV'!O10,'OM Parts CPV'!O11,'OM Parts CPV'!O13,'OM Parts CPV'!O14)</f>
        <v>4143.91552984069</v>
      </c>
      <c r="P8" s="755" t="n">
        <f aca="false">AVERAGE('OM Parts CPV'!P10,'OM Parts CPV'!P11,'OM Parts CPV'!P13,'OM Parts CPV'!P14)</f>
        <v>3978.15890864706</v>
      </c>
      <c r="Q8" s="755" t="n">
        <f aca="false">AVERAGE('OM Parts CPV'!Q10,'OM Parts CPV'!Q11,'OM Parts CPV'!Q13,'OM Parts CPV'!Q14)</f>
        <v>3812.40228745344</v>
      </c>
      <c r="R8" s="755" t="n">
        <f aca="false">AVERAGE('OM Parts CPV'!R10,'OM Parts CPV'!R11,'OM Parts CPV'!R13,'OM Parts CPV'!R14)</f>
        <v>3646.64566625981</v>
      </c>
      <c r="S8" s="755" t="n">
        <f aca="false">AVERAGE('OM Parts CPV'!S10,'OM Parts CPV'!S11,'OM Parts CPV'!S13,'OM Parts CPV'!S14)</f>
        <v>3480.88904506618</v>
      </c>
      <c r="T8" s="755" t="n">
        <f aca="false">AVERAGE('OM Parts CPV'!T10,'OM Parts CPV'!T11,'OM Parts CPV'!T13,'OM Parts CPV'!T14)</f>
        <v>3315.13242387255</v>
      </c>
      <c r="U8" s="91"/>
      <c r="V8" s="91"/>
      <c r="W8" s="91"/>
      <c r="X8" s="91"/>
      <c r="Y8" s="91"/>
      <c r="Z8" s="91"/>
      <c r="AA8" s="91"/>
      <c r="AB8" s="91"/>
      <c r="AC8" s="96"/>
    </row>
    <row r="9" customFormat="false" ht="15" hidden="false" customHeight="false" outlineLevel="0" collapsed="false">
      <c r="A9" s="90"/>
      <c r="B9" s="758"/>
      <c r="C9" s="759"/>
      <c r="D9" s="760"/>
      <c r="E9" s="98"/>
      <c r="F9" s="715" t="n">
        <f aca="false">AVERAGE(F7:F8)</f>
        <v>1590.81003126977</v>
      </c>
      <c r="G9" s="715" t="n">
        <f aca="false">AVERAGE(G7:G8)</f>
        <v>1512.12310590257</v>
      </c>
      <c r="H9" s="715" t="n">
        <f aca="false">AVERAGE(H7:H8)</f>
        <v>2309.13121810698</v>
      </c>
      <c r="I9" s="715" t="n">
        <f aca="false">AVERAGE(I7:I8)</f>
        <v>2710.26608752293</v>
      </c>
      <c r="J9" s="715" t="n">
        <f aca="false">AVERAGE(J7:J8)</f>
        <v>2859.92068712881</v>
      </c>
      <c r="K9" s="715" t="n">
        <f aca="false">AVERAGE(K7:K8)</f>
        <v>2614.884021235</v>
      </c>
      <c r="L9" s="715" t="n">
        <f aca="false">AVERAGE(L7:L8)</f>
        <v>2778.31427256219</v>
      </c>
      <c r="M9" s="715" t="n">
        <f aca="false">AVERAGE(M7:M8)</f>
        <v>2941.74452388937</v>
      </c>
      <c r="N9" s="715" t="n">
        <f aca="false">AVERAGE(N7:N8)</f>
        <v>3105.17477521656</v>
      </c>
      <c r="O9" s="715" t="n">
        <f aca="false">AVERAGE(O7:O8)</f>
        <v>3268.60502654375</v>
      </c>
      <c r="P9" s="715" t="n">
        <f aca="false">AVERAGE(P7:P8)</f>
        <v>3137.860825482</v>
      </c>
      <c r="Q9" s="715" t="n">
        <f aca="false">AVERAGE(Q7:Q8)</f>
        <v>3007.11662442025</v>
      </c>
      <c r="R9" s="715" t="n">
        <f aca="false">AVERAGE(R7:R8)</f>
        <v>2876.3724233585</v>
      </c>
      <c r="S9" s="715" t="n">
        <f aca="false">AVERAGE(S7:S8)</f>
        <v>2745.62822229675</v>
      </c>
      <c r="T9" s="411" t="n">
        <f aca="false">AVERAGE(T7:T8)</f>
        <v>2614.884021235</v>
      </c>
      <c r="U9" s="91"/>
      <c r="V9" s="91"/>
      <c r="W9" s="91"/>
      <c r="X9" s="91"/>
      <c r="Y9" s="91"/>
      <c r="Z9" s="91"/>
      <c r="AA9" s="91"/>
      <c r="AB9" s="91"/>
      <c r="AC9" s="96"/>
    </row>
    <row r="10" customFormat="false" ht="15" hidden="false" customHeight="false" outlineLevel="0" collapsed="false">
      <c r="A10" s="90"/>
      <c r="B10" s="100"/>
      <c r="C10" s="100"/>
      <c r="D10" s="100"/>
      <c r="E10" s="98"/>
      <c r="F10" s="424"/>
      <c r="G10" s="424"/>
      <c r="H10" s="424"/>
      <c r="I10" s="424"/>
      <c r="J10" s="424"/>
      <c r="K10" s="424"/>
      <c r="L10" s="424"/>
      <c r="M10" s="424"/>
      <c r="N10" s="424"/>
      <c r="O10" s="424"/>
      <c r="P10" s="424"/>
      <c r="Q10" s="424"/>
      <c r="R10" s="424"/>
      <c r="S10" s="424"/>
      <c r="T10" s="424"/>
      <c r="U10" s="91"/>
      <c r="V10" s="91"/>
      <c r="W10" s="91"/>
      <c r="X10" s="91"/>
      <c r="Y10" s="91"/>
      <c r="Z10" s="91"/>
      <c r="AA10" s="91"/>
      <c r="AB10" s="91"/>
      <c r="AC10" s="96"/>
    </row>
    <row r="11" customFormat="false" ht="15" hidden="false" customHeight="false" outlineLevel="0" collapsed="false">
      <c r="A11" s="90"/>
      <c r="B11" s="100"/>
      <c r="C11" s="100"/>
      <c r="D11" s="100"/>
      <c r="E11" s="98"/>
      <c r="F11" s="756"/>
      <c r="G11" s="756"/>
      <c r="H11" s="756"/>
      <c r="I11" s="756"/>
      <c r="J11" s="756"/>
      <c r="K11" s="756"/>
      <c r="L11" s="756"/>
      <c r="M11" s="756"/>
      <c r="N11" s="756"/>
      <c r="O11" s="756"/>
      <c r="P11" s="756"/>
      <c r="Q11" s="756"/>
      <c r="R11" s="756"/>
      <c r="S11" s="756"/>
      <c r="T11" s="756"/>
      <c r="U11" s="91"/>
      <c r="V11" s="91"/>
      <c r="W11" s="91"/>
      <c r="X11" s="91"/>
      <c r="Y11" s="91"/>
      <c r="Z11" s="91"/>
      <c r="AA11" s="91"/>
      <c r="AB11" s="91"/>
      <c r="AC11" s="96"/>
    </row>
    <row r="12" customFormat="false" ht="15" hidden="false" customHeight="false" outlineLevel="0" collapsed="false">
      <c r="A12" s="90"/>
      <c r="B12" s="398" t="s">
        <v>494</v>
      </c>
      <c r="C12" s="398"/>
      <c r="D12" s="398"/>
      <c r="E12" s="98"/>
      <c r="F12" s="398" t="s">
        <v>493</v>
      </c>
      <c r="G12" s="398"/>
      <c r="H12" s="398"/>
      <c r="I12" s="398"/>
      <c r="J12" s="398"/>
      <c r="K12" s="398"/>
      <c r="L12" s="398"/>
      <c r="M12" s="398"/>
      <c r="N12" s="398"/>
      <c r="O12" s="398"/>
      <c r="P12" s="398"/>
      <c r="Q12" s="398"/>
      <c r="R12" s="398"/>
      <c r="S12" s="398"/>
      <c r="T12" s="398"/>
      <c r="U12" s="91"/>
      <c r="V12" s="91"/>
      <c r="W12" s="91"/>
      <c r="X12" s="91"/>
      <c r="Y12" s="91"/>
      <c r="Z12" s="91"/>
      <c r="AA12" s="91"/>
      <c r="AB12" s="91"/>
      <c r="AC12" s="96"/>
    </row>
    <row r="13" customFormat="false" ht="15" hidden="false" customHeight="false" outlineLevel="0" collapsed="false">
      <c r="A13" s="90"/>
      <c r="B13" s="402" t="s">
        <v>482</v>
      </c>
      <c r="C13" s="402"/>
      <c r="D13" s="402"/>
      <c r="E13" s="98"/>
      <c r="F13" s="431" t="s">
        <v>299</v>
      </c>
      <c r="G13" s="432" t="s">
        <v>300</v>
      </c>
      <c r="H13" s="432" t="s">
        <v>301</v>
      </c>
      <c r="I13" s="432" t="s">
        <v>302</v>
      </c>
      <c r="J13" s="432" t="s">
        <v>303</v>
      </c>
      <c r="K13" s="432" t="s">
        <v>304</v>
      </c>
      <c r="L13" s="432" t="s">
        <v>305</v>
      </c>
      <c r="M13" s="432" t="s">
        <v>306</v>
      </c>
      <c r="N13" s="432" t="s">
        <v>307</v>
      </c>
      <c r="O13" s="432" t="s">
        <v>308</v>
      </c>
      <c r="P13" s="432" t="s">
        <v>309</v>
      </c>
      <c r="Q13" s="432" t="s">
        <v>310</v>
      </c>
      <c r="R13" s="432" t="s">
        <v>311</v>
      </c>
      <c r="S13" s="432" t="s">
        <v>312</v>
      </c>
      <c r="T13" s="417" t="s">
        <v>313</v>
      </c>
      <c r="U13" s="91"/>
      <c r="V13" s="91"/>
      <c r="W13" s="91"/>
      <c r="X13" s="91"/>
      <c r="Y13" s="91"/>
      <c r="Z13" s="91"/>
      <c r="AA13" s="91"/>
      <c r="AB13" s="91"/>
      <c r="AC13" s="96"/>
    </row>
    <row r="14" customFormat="false" ht="15" hidden="false" customHeight="false" outlineLevel="0" collapsed="false">
      <c r="A14" s="90"/>
      <c r="B14" s="761" t="s">
        <v>319</v>
      </c>
      <c r="C14" s="761"/>
      <c r="D14" s="761"/>
      <c r="E14" s="98"/>
      <c r="F14" s="755" t="n">
        <f aca="false">AVERAGE('OM Parts CPV'!F21:F23)</f>
        <v>500</v>
      </c>
      <c r="G14" s="755" t="n">
        <f aca="false">AVERAGE('OM Parts CPV'!G21:G23)</f>
        <v>500</v>
      </c>
      <c r="H14" s="755" t="n">
        <f aca="false">AVERAGE('OM Parts CPV'!H21:H23)</f>
        <v>500</v>
      </c>
      <c r="I14" s="755" t="n">
        <f aca="false">AVERAGE('OM Parts CPV'!I21:I23)</f>
        <v>500</v>
      </c>
      <c r="J14" s="755" t="n">
        <f aca="false">AVERAGE('OM Parts CPV'!J21:J23)</f>
        <v>500</v>
      </c>
      <c r="K14" s="755" t="n">
        <f aca="false">AVERAGE('OM Parts CPV'!K21:K23)</f>
        <v>500</v>
      </c>
      <c r="L14" s="755" t="n">
        <f aca="false">AVERAGE('OM Parts CPV'!L21:L23)</f>
        <v>500</v>
      </c>
      <c r="M14" s="755" t="n">
        <f aca="false">AVERAGE('OM Parts CPV'!M21:M23)</f>
        <v>500</v>
      </c>
      <c r="N14" s="755" t="n">
        <f aca="false">AVERAGE('OM Parts CPV'!N21:N23)</f>
        <v>500</v>
      </c>
      <c r="O14" s="755" t="n">
        <f aca="false">AVERAGE('OM Parts CPV'!O21:O23)</f>
        <v>500</v>
      </c>
      <c r="P14" s="755" t="n">
        <f aca="false">AVERAGE('OM Parts CPV'!P21:P23)</f>
        <v>500</v>
      </c>
      <c r="Q14" s="755" t="n">
        <f aca="false">AVERAGE('OM Parts CPV'!Q21:Q23)</f>
        <v>500</v>
      </c>
      <c r="R14" s="755" t="n">
        <f aca="false">AVERAGE('OM Parts CPV'!R21:R23)</f>
        <v>500</v>
      </c>
      <c r="S14" s="755" t="n">
        <f aca="false">AVERAGE('OM Parts CPV'!S21:S23)</f>
        <v>500</v>
      </c>
      <c r="T14" s="755" t="n">
        <f aca="false">AVERAGE('OM Parts CPV'!T21:T23)</f>
        <v>500</v>
      </c>
      <c r="U14" s="91"/>
      <c r="V14" s="91"/>
      <c r="W14" s="91"/>
      <c r="X14" s="91"/>
      <c r="Y14" s="91"/>
      <c r="Z14" s="91"/>
      <c r="AA14" s="91"/>
      <c r="AB14" s="91"/>
      <c r="AC14" s="96"/>
    </row>
    <row r="15" customFormat="false" ht="15" hidden="false" customHeight="false" outlineLevel="0" collapsed="false">
      <c r="A15" s="90"/>
      <c r="B15" s="761" t="s">
        <v>320</v>
      </c>
      <c r="C15" s="761"/>
      <c r="D15" s="761"/>
      <c r="E15" s="98"/>
      <c r="F15" s="755" t="n">
        <f aca="false">AVERAGE('OM Parts CPV'!F24:F26)</f>
        <v>500</v>
      </c>
      <c r="G15" s="755" t="n">
        <f aca="false">AVERAGE('OM Parts CPV'!G24:G26)</f>
        <v>500</v>
      </c>
      <c r="H15" s="755" t="n">
        <f aca="false">AVERAGE('OM Parts CPV'!H24:H26)</f>
        <v>500</v>
      </c>
      <c r="I15" s="755" t="n">
        <f aca="false">AVERAGE('OM Parts CPV'!I24:I26)</f>
        <v>500</v>
      </c>
      <c r="J15" s="755" t="n">
        <f aca="false">AVERAGE('OM Parts CPV'!J24:J26)</f>
        <v>500</v>
      </c>
      <c r="K15" s="755" t="n">
        <f aca="false">AVERAGE('OM Parts CPV'!K24:K26)</f>
        <v>500</v>
      </c>
      <c r="L15" s="755" t="n">
        <f aca="false">AVERAGE('OM Parts CPV'!L24:L26)</f>
        <v>500</v>
      </c>
      <c r="M15" s="755" t="n">
        <f aca="false">AVERAGE('OM Parts CPV'!M24:M26)</f>
        <v>500</v>
      </c>
      <c r="N15" s="755" t="n">
        <f aca="false">AVERAGE('OM Parts CPV'!N24:N26)</f>
        <v>500</v>
      </c>
      <c r="O15" s="755" t="n">
        <f aca="false">AVERAGE('OM Parts CPV'!O24:O26)</f>
        <v>500</v>
      </c>
      <c r="P15" s="755" t="n">
        <f aca="false">AVERAGE('OM Parts CPV'!P24:P26)</f>
        <v>500</v>
      </c>
      <c r="Q15" s="755" t="n">
        <f aca="false">AVERAGE('OM Parts CPV'!Q24:Q26)</f>
        <v>500</v>
      </c>
      <c r="R15" s="755" t="n">
        <f aca="false">AVERAGE('OM Parts CPV'!R24:R26)</f>
        <v>500</v>
      </c>
      <c r="S15" s="755" t="n">
        <f aca="false">AVERAGE('OM Parts CPV'!S24:S26)</f>
        <v>500</v>
      </c>
      <c r="T15" s="755" t="n">
        <f aca="false">AVERAGE('OM Parts CPV'!T24:T26)</f>
        <v>500</v>
      </c>
      <c r="U15" s="91"/>
      <c r="V15" s="91"/>
      <c r="W15" s="91"/>
      <c r="X15" s="91"/>
      <c r="Y15" s="91"/>
      <c r="Z15" s="91"/>
      <c r="AA15" s="91"/>
      <c r="AB15" s="91"/>
      <c r="AC15" s="96"/>
    </row>
    <row r="16" customFormat="false" ht="15" hidden="false" customHeight="false" outlineLevel="0" collapsed="false">
      <c r="A16" s="90"/>
      <c r="B16" s="758"/>
      <c r="C16" s="759"/>
      <c r="D16" s="760"/>
      <c r="E16" s="98"/>
      <c r="F16" s="715"/>
      <c r="G16" s="716"/>
      <c r="H16" s="716"/>
      <c r="I16" s="716"/>
      <c r="J16" s="716"/>
      <c r="K16" s="716"/>
      <c r="L16" s="716"/>
      <c r="M16" s="716"/>
      <c r="N16" s="716"/>
      <c r="O16" s="716"/>
      <c r="P16" s="716"/>
      <c r="Q16" s="716"/>
      <c r="R16" s="716"/>
      <c r="S16" s="716"/>
      <c r="T16" s="717"/>
      <c r="U16" s="91"/>
      <c r="V16" s="91"/>
      <c r="W16" s="91"/>
      <c r="X16" s="91"/>
      <c r="Y16" s="91"/>
      <c r="Z16" s="91"/>
      <c r="AA16" s="91"/>
      <c r="AB16" s="91"/>
      <c r="AC16" s="96"/>
    </row>
    <row r="17" customFormat="false" ht="15" hidden="false" customHeight="false" outlineLevel="0" collapsed="false">
      <c r="A17" s="90"/>
      <c r="B17" s="99"/>
      <c r="C17" s="99"/>
      <c r="D17" s="99"/>
      <c r="E17" s="98"/>
      <c r="F17" s="91"/>
      <c r="G17" s="91"/>
      <c r="H17" s="91"/>
      <c r="I17" s="91"/>
      <c r="J17" s="91"/>
      <c r="K17" s="91"/>
      <c r="L17" s="91"/>
      <c r="M17" s="91"/>
      <c r="N17" s="91"/>
      <c r="O17" s="91"/>
      <c r="P17" s="91"/>
      <c r="Q17" s="91"/>
      <c r="R17" s="91"/>
      <c r="S17" s="91"/>
      <c r="T17" s="91"/>
      <c r="U17" s="91"/>
      <c r="V17" s="91"/>
      <c r="W17" s="91"/>
      <c r="X17" s="91"/>
      <c r="Y17" s="91"/>
      <c r="Z17" s="91"/>
      <c r="AA17" s="91"/>
      <c r="AB17" s="91"/>
      <c r="AC17" s="96"/>
    </row>
    <row r="18" customFormat="false" ht="15" hidden="false" customHeight="false" outlineLevel="0" collapsed="false">
      <c r="A18" s="90"/>
      <c r="B18" s="99"/>
      <c r="C18" s="99"/>
      <c r="D18" s="99"/>
      <c r="E18" s="98"/>
      <c r="F18" s="91"/>
      <c r="G18" s="91"/>
      <c r="H18" s="91"/>
      <c r="I18" s="91"/>
      <c r="J18" s="91"/>
      <c r="K18" s="91"/>
      <c r="L18" s="91"/>
      <c r="M18" s="91"/>
      <c r="N18" s="91"/>
      <c r="O18" s="91"/>
      <c r="P18" s="91"/>
      <c r="Q18" s="91"/>
      <c r="R18" s="91"/>
      <c r="S18" s="91"/>
      <c r="T18" s="91"/>
      <c r="U18" s="91"/>
      <c r="V18" s="91"/>
      <c r="W18" s="91"/>
      <c r="X18" s="91"/>
      <c r="Y18" s="91"/>
      <c r="Z18" s="91"/>
      <c r="AA18" s="91"/>
      <c r="AB18" s="91"/>
      <c r="AC18" s="96"/>
    </row>
    <row r="19" customFormat="false" ht="15" hidden="false" customHeight="false" outlineLevel="0" collapsed="false">
      <c r="A19" s="90"/>
      <c r="B19" s="99"/>
      <c r="C19" s="99"/>
      <c r="D19" s="99"/>
      <c r="E19" s="98"/>
      <c r="F19" s="91"/>
      <c r="G19" s="91"/>
      <c r="H19" s="91"/>
      <c r="I19" s="91"/>
      <c r="J19" s="91"/>
      <c r="K19" s="91"/>
      <c r="L19" s="91"/>
      <c r="M19" s="91"/>
      <c r="N19" s="91"/>
      <c r="O19" s="91"/>
      <c r="P19" s="91"/>
      <c r="Q19" s="91"/>
      <c r="R19" s="91"/>
      <c r="S19" s="91"/>
      <c r="T19" s="91"/>
      <c r="U19" s="91"/>
      <c r="V19" s="91"/>
      <c r="W19" s="91"/>
      <c r="X19" s="91"/>
      <c r="Y19" s="91"/>
      <c r="Z19" s="91"/>
      <c r="AA19" s="91"/>
      <c r="AB19" s="91"/>
      <c r="AC19" s="96"/>
    </row>
    <row r="20" customFormat="false" ht="15" hidden="false" customHeight="false" outlineLevel="0" collapsed="false">
      <c r="A20" s="90"/>
      <c r="B20" s="99"/>
      <c r="C20" s="99"/>
      <c r="D20" s="99"/>
      <c r="E20" s="98"/>
      <c r="F20" s="91"/>
      <c r="G20" s="91"/>
      <c r="H20" s="91"/>
      <c r="I20" s="91"/>
      <c r="J20" s="91"/>
      <c r="K20" s="91"/>
      <c r="L20" s="91"/>
      <c r="M20" s="91"/>
      <c r="N20" s="91"/>
      <c r="O20" s="91"/>
      <c r="P20" s="91"/>
      <c r="Q20" s="91"/>
      <c r="R20" s="91"/>
      <c r="S20" s="91"/>
      <c r="T20" s="91"/>
      <c r="U20" s="91"/>
      <c r="V20" s="91"/>
      <c r="W20" s="91"/>
      <c r="X20" s="91"/>
      <c r="Y20" s="91"/>
      <c r="Z20" s="91"/>
      <c r="AA20" s="91"/>
      <c r="AB20" s="91"/>
      <c r="AC20" s="96"/>
    </row>
    <row r="21" customFormat="false" ht="15" hidden="false" customHeight="true" outlineLevel="0" collapsed="false">
      <c r="A21" s="90"/>
      <c r="B21" s="103"/>
      <c r="C21" s="710"/>
      <c r="D21" s="103"/>
      <c r="E21" s="710"/>
      <c r="F21" s="91"/>
      <c r="G21" s="91"/>
      <c r="H21" s="91"/>
      <c r="I21" s="91"/>
      <c r="J21" s="91"/>
      <c r="K21" s="91"/>
      <c r="L21" s="91"/>
      <c r="M21" s="91"/>
      <c r="N21" s="91"/>
      <c r="O21" s="91"/>
      <c r="P21" s="91"/>
      <c r="Q21" s="91"/>
      <c r="R21" s="91"/>
      <c r="S21" s="91"/>
      <c r="T21" s="91"/>
      <c r="U21" s="91"/>
      <c r="V21" s="91"/>
      <c r="W21" s="91"/>
      <c r="X21" s="91"/>
      <c r="Y21" s="91"/>
      <c r="Z21" s="91"/>
      <c r="AA21" s="91"/>
      <c r="AB21" s="91"/>
      <c r="AC21" s="96"/>
    </row>
    <row r="22" customFormat="false" ht="15" hidden="false" customHeight="false" outlineLevel="0" collapsed="false">
      <c r="A22" s="90"/>
      <c r="B22" s="91"/>
      <c r="C22" s="91"/>
      <c r="D22" s="91"/>
      <c r="E22" s="91"/>
      <c r="F22" s="91"/>
      <c r="G22" s="91"/>
      <c r="H22" s="91"/>
      <c r="I22" s="91"/>
      <c r="J22" s="91"/>
      <c r="K22" s="91"/>
      <c r="L22" s="91"/>
      <c r="M22" s="91"/>
      <c r="N22" s="91"/>
      <c r="O22" s="91"/>
      <c r="P22" s="91"/>
      <c r="Q22" s="91"/>
      <c r="R22" s="91"/>
      <c r="S22" s="91"/>
      <c r="T22" s="91"/>
      <c r="U22" s="91"/>
      <c r="V22" s="91"/>
      <c r="W22" s="91"/>
      <c r="X22" s="91"/>
      <c r="Y22" s="91"/>
      <c r="Z22" s="91"/>
      <c r="AA22" s="91"/>
      <c r="AB22" s="91"/>
      <c r="AC22" s="96"/>
    </row>
    <row r="23" customFormat="false" ht="15" hidden="false" customHeight="false" outlineLevel="0" collapsed="false">
      <c r="A23" s="104"/>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8"/>
    </row>
    <row r="24" customFormat="false" ht="15" hidden="true" customHeight="false" outlineLevel="0" collapsed="false">
      <c r="A24" s="330"/>
      <c r="B24" s="16"/>
      <c r="D24" s="16"/>
      <c r="Q24" s="22"/>
      <c r="R24" s="22"/>
      <c r="S24" s="22"/>
      <c r="T24" s="22"/>
      <c r="U24" s="22"/>
      <c r="V24" s="22"/>
      <c r="W24" s="22"/>
      <c r="X24" s="22"/>
      <c r="Y24" s="22"/>
      <c r="Z24" s="22"/>
      <c r="AA24" s="22"/>
      <c r="AB24" s="22"/>
      <c r="AC24" s="22"/>
    </row>
    <row r="25" customFormat="false" ht="15" hidden="true" customHeight="false" outlineLevel="0" collapsed="false">
      <c r="A25" s="111"/>
      <c r="B25" s="106"/>
      <c r="D25" s="106"/>
      <c r="Q25" s="22"/>
      <c r="R25" s="22"/>
      <c r="S25" s="22"/>
      <c r="T25" s="22"/>
      <c r="U25" s="22"/>
      <c r="V25" s="22"/>
      <c r="W25" s="22"/>
      <c r="X25" s="22"/>
      <c r="Y25" s="22"/>
      <c r="Z25" s="22"/>
      <c r="AA25" s="22"/>
      <c r="AB25" s="22"/>
      <c r="AC25" s="22"/>
    </row>
    <row r="26" customFormat="false" ht="15" hidden="true" customHeight="false" outlineLevel="0" collapsed="false">
      <c r="A26" s="22"/>
      <c r="Q26" s="22"/>
      <c r="R26" s="22"/>
      <c r="S26" s="22"/>
      <c r="T26" s="22"/>
      <c r="U26" s="22"/>
      <c r="V26" s="22"/>
      <c r="W26" s="22"/>
      <c r="X26" s="22"/>
      <c r="Y26" s="22"/>
      <c r="Z26" s="22"/>
      <c r="AA26" s="22"/>
      <c r="AB26" s="22"/>
      <c r="AC26" s="22"/>
    </row>
    <row r="27" customFormat="false" ht="15" hidden="true" customHeight="false" outlineLevel="0" collapsed="false">
      <c r="A27" s="22"/>
      <c r="Q27" s="22"/>
      <c r="R27" s="22"/>
      <c r="S27" s="22"/>
      <c r="T27" s="22"/>
      <c r="U27" s="22"/>
      <c r="V27" s="22"/>
      <c r="W27" s="22"/>
      <c r="X27" s="22"/>
      <c r="Y27" s="22"/>
      <c r="Z27" s="22"/>
      <c r="AA27" s="22"/>
      <c r="AB27" s="22"/>
      <c r="AC27" s="22"/>
    </row>
    <row r="28" customFormat="false" ht="15" hidden="true" customHeight="false" outlineLevel="0" collapsed="false">
      <c r="A28" s="22"/>
      <c r="Q28" s="22"/>
      <c r="R28" s="22"/>
      <c r="S28" s="22"/>
      <c r="T28" s="22"/>
      <c r="U28" s="22"/>
      <c r="V28" s="22"/>
      <c r="W28" s="22"/>
      <c r="X28" s="22"/>
      <c r="Y28" s="22"/>
      <c r="Z28" s="22"/>
      <c r="AA28" s="22"/>
      <c r="AB28" s="22"/>
      <c r="AC28" s="22"/>
    </row>
    <row r="29" customFormat="false" ht="15" hidden="true" customHeight="false" outlineLevel="0" collapsed="false">
      <c r="A29" s="22"/>
      <c r="Q29" s="22"/>
      <c r="R29" s="22"/>
      <c r="S29" s="22"/>
      <c r="T29" s="22"/>
      <c r="U29" s="22"/>
      <c r="V29" s="22"/>
      <c r="W29" s="22"/>
      <c r="X29" s="22"/>
      <c r="Y29" s="22"/>
      <c r="Z29" s="22"/>
      <c r="AA29" s="22"/>
      <c r="AB29" s="22"/>
      <c r="AC29" s="22"/>
    </row>
    <row r="30" customFormat="false" ht="15" hidden="true" customHeight="false" outlineLevel="0" collapsed="false">
      <c r="A30" s="22"/>
      <c r="U30" s="22"/>
      <c r="V30" s="22"/>
      <c r="W30" s="22"/>
      <c r="X30" s="22"/>
      <c r="Y30" s="22"/>
      <c r="Z30" s="22"/>
      <c r="AA30" s="22"/>
      <c r="AB30" s="22"/>
      <c r="AC30" s="22"/>
    </row>
    <row r="31" customFormat="false" ht="15" hidden="true" customHeight="false" outlineLevel="0" collapsed="false">
      <c r="A31" s="22"/>
      <c r="U31" s="22"/>
      <c r="V31" s="22"/>
      <c r="W31" s="22"/>
      <c r="X31" s="22"/>
      <c r="Y31" s="22"/>
      <c r="Z31" s="22"/>
      <c r="AA31" s="22"/>
      <c r="AB31" s="22"/>
      <c r="AC31" s="22"/>
    </row>
    <row r="32" customFormat="false" ht="15" hidden="true" customHeight="false" outlineLevel="0" collapsed="false">
      <c r="A32" s="22"/>
      <c r="U32" s="22"/>
      <c r="V32" s="22"/>
      <c r="W32" s="22"/>
      <c r="X32" s="22"/>
      <c r="Y32" s="22"/>
      <c r="Z32" s="22"/>
      <c r="AA32" s="22"/>
      <c r="AB32" s="22"/>
      <c r="AC32" s="22"/>
    </row>
    <row r="33" customFormat="false" ht="15" hidden="true" customHeight="false" outlineLevel="0" collapsed="false">
      <c r="A33" s="22"/>
      <c r="U33" s="22"/>
      <c r="V33" s="22"/>
      <c r="W33" s="22"/>
      <c r="X33" s="22"/>
      <c r="Y33" s="22"/>
      <c r="Z33" s="22"/>
      <c r="AA33" s="22"/>
      <c r="AB33" s="22"/>
      <c r="AC33" s="22"/>
    </row>
    <row r="34" customFormat="false" ht="15" hidden="true" customHeight="false" outlineLevel="0" collapsed="false">
      <c r="A34" s="22"/>
      <c r="U34" s="22"/>
      <c r="V34" s="22"/>
      <c r="W34" s="22"/>
      <c r="X34" s="22"/>
      <c r="Y34" s="22"/>
      <c r="Z34" s="22"/>
      <c r="AA34" s="22"/>
      <c r="AB34" s="22"/>
      <c r="AC34" s="22"/>
    </row>
    <row r="35" customFormat="false" ht="15" hidden="true" customHeight="false" outlineLevel="0" collapsed="false">
      <c r="A35" s="22"/>
      <c r="U35" s="22"/>
      <c r="V35" s="22"/>
      <c r="W35" s="22"/>
      <c r="X35" s="22"/>
      <c r="Y35" s="22"/>
      <c r="Z35" s="22"/>
      <c r="AA35" s="22"/>
      <c r="AB35" s="22"/>
      <c r="AC35" s="22"/>
    </row>
  </sheetData>
  <mergeCells count="12">
    <mergeCell ref="A3:W3"/>
    <mergeCell ref="X3:AC3"/>
    <mergeCell ref="B5:D5"/>
    <mergeCell ref="F5:T5"/>
    <mergeCell ref="B6:D6"/>
    <mergeCell ref="B7:D7"/>
    <mergeCell ref="B8:D8"/>
    <mergeCell ref="B12:D12"/>
    <mergeCell ref="F12:T12"/>
    <mergeCell ref="B13:D13"/>
    <mergeCell ref="B14:D14"/>
    <mergeCell ref="B15:D15"/>
  </mergeCells>
  <printOptions headings="false" gridLines="fals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drawing r:id="rId1"/>
</worksheet>
</file>

<file path=xl/worksheets/sheet37.xml><?xml version="1.0" encoding="utf-8"?>
<worksheet xmlns="http://schemas.openxmlformats.org/spreadsheetml/2006/main" xmlns:r="http://schemas.openxmlformats.org/officeDocument/2006/relationships">
  <sheetPr filterMode="false">
    <pageSetUpPr fitToPage="true"/>
  </sheetPr>
  <dimension ref="A1:CN3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0" topLeftCell="E1" activePane="topRight" state="frozen"/>
      <selection pane="topLeft" activeCell="A1" activeCellId="0" sqref="A1"/>
      <selection pane="topRight" activeCell="C14" activeCellId="0" sqref="C14"/>
    </sheetView>
  </sheetViews>
  <sheetFormatPr defaultRowHeight="13.5" zeroHeight="false" outlineLevelRow="0" outlineLevelCol="0"/>
  <cols>
    <col collapsed="false" customWidth="true" hidden="false" outlineLevel="0" max="1" min="1" style="762" width="9.29"/>
    <col collapsed="false" customWidth="true" hidden="false" outlineLevel="0" max="3" min="2" style="763" width="9.29"/>
    <col collapsed="false" customWidth="true" hidden="false" outlineLevel="0" max="1025" min="4" style="762" width="9.29"/>
  </cols>
  <sheetData>
    <row r="1" s="762" customFormat="true" ht="13.5" hidden="false" customHeight="false" outlineLevel="0" collapsed="false">
      <c r="B1" s="762" t="s">
        <v>495</v>
      </c>
      <c r="E1" s="764" t="n">
        <f aca="false">VLOOKUP('Reference sheet'!C11,'Reference sheet'!N3:R44,5,0)</f>
        <v>-0.15</v>
      </c>
      <c r="G1" s="762" t="s">
        <v>4</v>
      </c>
      <c r="I1" s="764" t="n">
        <f aca="false">VLOOKUP('Reference sheet'!C11,'Reference sheet'!N3:R44,2,0)</f>
        <v>0.1</v>
      </c>
      <c r="L1" s="762" t="s">
        <v>496</v>
      </c>
      <c r="O1" s="764" t="n">
        <v>0.05</v>
      </c>
    </row>
    <row r="2" s="762" customFormat="true" ht="13.5" hidden="false" customHeight="false" outlineLevel="0" collapsed="false">
      <c r="B2" s="762" t="s">
        <v>497</v>
      </c>
      <c r="E2" s="765" t="n">
        <f aca="false">'7.2.2 Turnover Parts'!C9</f>
        <v>10</v>
      </c>
    </row>
    <row r="3" customFormat="false" ht="14.25" hidden="false" customHeight="false" outlineLevel="0" collapsed="false">
      <c r="A3" s="766" t="s">
        <v>498</v>
      </c>
      <c r="B3" s="766"/>
      <c r="C3" s="766"/>
      <c r="D3" s="766"/>
      <c r="E3" s="766"/>
      <c r="F3" s="766"/>
      <c r="G3" s="766"/>
      <c r="H3" s="766"/>
      <c r="I3" s="766"/>
      <c r="J3" s="766"/>
      <c r="K3" s="766"/>
      <c r="L3" s="766"/>
      <c r="M3" s="766"/>
      <c r="N3" s="766"/>
      <c r="O3" s="766"/>
      <c r="P3" s="766"/>
      <c r="Q3" s="766"/>
      <c r="R3" s="766"/>
      <c r="S3" s="766"/>
      <c r="T3" s="766"/>
      <c r="U3" s="766"/>
      <c r="V3" s="766"/>
      <c r="W3" s="766"/>
      <c r="X3" s="766"/>
      <c r="Y3" s="766"/>
      <c r="Z3" s="766"/>
      <c r="AA3" s="766"/>
      <c r="AB3" s="766"/>
      <c r="AC3" s="766"/>
      <c r="AD3" s="766"/>
    </row>
    <row r="4" customFormat="false" ht="13.5" hidden="false" customHeight="false" outlineLevel="0" collapsed="false">
      <c r="B4" s="767" t="s">
        <v>499</v>
      </c>
      <c r="C4" s="768" t="str">
        <f aca="false">'Reference sheet'!C21</f>
        <v>EUR</v>
      </c>
      <c r="D4" s="769"/>
      <c r="E4" s="770"/>
      <c r="F4" s="770"/>
      <c r="G4" s="770"/>
      <c r="H4" s="770"/>
      <c r="I4" s="770"/>
      <c r="J4" s="770"/>
      <c r="K4" s="770"/>
      <c r="L4" s="770"/>
      <c r="M4" s="770"/>
      <c r="N4" s="770"/>
      <c r="Q4" s="771"/>
      <c r="R4" s="772"/>
      <c r="S4" s="772"/>
      <c r="T4" s="772"/>
      <c r="U4" s="772"/>
      <c r="V4" s="772"/>
      <c r="W4" s="772"/>
      <c r="X4" s="772"/>
      <c r="Y4" s="772"/>
      <c r="Z4" s="772"/>
      <c r="AA4" s="772"/>
      <c r="AB4" s="772"/>
      <c r="AC4" s="772"/>
      <c r="AD4" s="772"/>
      <c r="AE4" s="772"/>
      <c r="AF4" s="772"/>
      <c r="AG4" s="772"/>
      <c r="AH4" s="773"/>
    </row>
    <row r="5" customFormat="false" ht="13.5" hidden="false" customHeight="false" outlineLevel="0" collapsed="false">
      <c r="B5" s="770" t="s">
        <v>500</v>
      </c>
      <c r="C5" s="770"/>
      <c r="D5" s="769"/>
      <c r="E5" s="770"/>
      <c r="F5" s="770"/>
      <c r="G5" s="770"/>
      <c r="H5" s="770"/>
      <c r="I5" s="770"/>
      <c r="J5" s="770"/>
      <c r="K5" s="770"/>
      <c r="L5" s="770"/>
      <c r="M5" s="770"/>
      <c r="N5" s="770"/>
      <c r="Q5" s="774" t="s">
        <v>174</v>
      </c>
      <c r="R5" s="775" t="s">
        <v>501</v>
      </c>
      <c r="S5" s="775"/>
      <c r="T5" s="775"/>
      <c r="U5" s="775"/>
      <c r="V5" s="775"/>
      <c r="W5" s="775"/>
      <c r="X5" s="775"/>
      <c r="Y5" s="775"/>
      <c r="Z5" s="775"/>
      <c r="AA5" s="775"/>
      <c r="AB5" s="775"/>
      <c r="AC5" s="775"/>
      <c r="AD5" s="775"/>
      <c r="AE5" s="775"/>
      <c r="AF5" s="775"/>
      <c r="AG5" s="763"/>
      <c r="AH5" s="776"/>
      <c r="AJ5" s="777"/>
      <c r="AK5" s="778" t="s">
        <v>501</v>
      </c>
      <c r="AL5" s="778"/>
      <c r="AM5" s="778"/>
      <c r="AN5" s="778"/>
      <c r="AO5" s="778"/>
      <c r="AP5" s="778"/>
      <c r="AQ5" s="778"/>
      <c r="AR5" s="778"/>
      <c r="AS5" s="778"/>
      <c r="AT5" s="778"/>
      <c r="AV5" s="774" t="n">
        <f aca="false">AW6</f>
        <v>2018</v>
      </c>
      <c r="AW5" s="775" t="s">
        <v>501</v>
      </c>
      <c r="AX5" s="775"/>
      <c r="AY5" s="775"/>
      <c r="AZ5" s="775"/>
      <c r="BA5" s="775"/>
      <c r="BB5" s="775"/>
      <c r="BC5" s="775"/>
      <c r="BD5" s="775"/>
      <c r="BE5" s="775"/>
      <c r="BF5" s="775"/>
      <c r="BG5" s="763"/>
      <c r="BH5" s="776"/>
      <c r="BJ5" s="779" t="n">
        <f aca="false">AV5</f>
        <v>2018</v>
      </c>
      <c r="BK5" s="780" t="s">
        <v>502</v>
      </c>
      <c r="BL5" s="780"/>
      <c r="BM5" s="780"/>
      <c r="BN5" s="780"/>
      <c r="BO5" s="780"/>
      <c r="BP5" s="780"/>
      <c r="BQ5" s="780"/>
      <c r="BR5" s="780"/>
      <c r="BS5" s="780"/>
      <c r="BT5" s="780"/>
      <c r="BU5" s="781"/>
      <c r="BV5" s="782"/>
      <c r="BX5" s="779" t="s">
        <v>174</v>
      </c>
      <c r="BY5" s="783" t="s">
        <v>503</v>
      </c>
      <c r="BZ5" s="783"/>
      <c r="CA5" s="783"/>
      <c r="CB5" s="783"/>
      <c r="CC5" s="783"/>
      <c r="CD5" s="783"/>
      <c r="CE5" s="783"/>
      <c r="CF5" s="783"/>
      <c r="CG5" s="783"/>
      <c r="CH5" s="783"/>
      <c r="CI5" s="783"/>
      <c r="CJ5" s="783"/>
      <c r="CK5" s="783"/>
      <c r="CL5" s="783"/>
      <c r="CM5" s="783"/>
      <c r="CN5" s="763"/>
    </row>
    <row r="6" customFormat="false" ht="13.5" hidden="false" customHeight="false" outlineLevel="0" collapsed="false">
      <c r="B6" s="770"/>
      <c r="C6" s="784"/>
      <c r="D6" s="785" t="n">
        <f aca="false">'Reference sheet'!C18</f>
        <v>2018</v>
      </c>
      <c r="E6" s="786" t="n">
        <f aca="false">D6-1</f>
        <v>2017</v>
      </c>
      <c r="F6" s="786" t="n">
        <f aca="false">E6-1</f>
        <v>2016</v>
      </c>
      <c r="G6" s="786" t="n">
        <f aca="false">F6-1</f>
        <v>2015</v>
      </c>
      <c r="H6" s="786" t="n">
        <f aca="false">G6-1</f>
        <v>2014</v>
      </c>
      <c r="I6" s="786" t="n">
        <f aca="false">H6-1</f>
        <v>2013</v>
      </c>
      <c r="J6" s="786" t="n">
        <f aca="false">I6-1</f>
        <v>2012</v>
      </c>
      <c r="K6" s="786" t="n">
        <f aca="false">J6-1</f>
        <v>2011</v>
      </c>
      <c r="L6" s="786" t="n">
        <f aca="false">K6-1</f>
        <v>2010</v>
      </c>
      <c r="M6" s="786" t="n">
        <f aca="false">L6-1</f>
        <v>2009</v>
      </c>
      <c r="N6" s="786" t="s">
        <v>504</v>
      </c>
      <c r="Q6" s="787" t="s">
        <v>298</v>
      </c>
      <c r="R6" s="775" t="n">
        <v>1</v>
      </c>
      <c r="S6" s="775" t="n">
        <v>2</v>
      </c>
      <c r="T6" s="775" t="n">
        <v>3</v>
      </c>
      <c r="U6" s="775" t="n">
        <v>4</v>
      </c>
      <c r="V6" s="775" t="n">
        <v>5</v>
      </c>
      <c r="W6" s="775" t="n">
        <v>6</v>
      </c>
      <c r="X6" s="775" t="n">
        <v>7</v>
      </c>
      <c r="Y6" s="775" t="n">
        <v>8</v>
      </c>
      <c r="Z6" s="775" t="n">
        <v>9</v>
      </c>
      <c r="AA6" s="775" t="n">
        <v>10</v>
      </c>
      <c r="AB6" s="775" t="n">
        <v>11</v>
      </c>
      <c r="AC6" s="775" t="n">
        <v>12</v>
      </c>
      <c r="AD6" s="775" t="n">
        <v>13</v>
      </c>
      <c r="AE6" s="775" t="n">
        <v>14</v>
      </c>
      <c r="AF6" s="775" t="n">
        <v>15</v>
      </c>
      <c r="AG6" s="775"/>
      <c r="AH6" s="776"/>
      <c r="AJ6" s="788" t="s">
        <v>298</v>
      </c>
      <c r="AK6" s="775" t="n">
        <v>1</v>
      </c>
      <c r="AL6" s="775" t="n">
        <v>2</v>
      </c>
      <c r="AM6" s="775" t="n">
        <v>3</v>
      </c>
      <c r="AN6" s="775" t="n">
        <v>4</v>
      </c>
      <c r="AO6" s="775" t="n">
        <v>5</v>
      </c>
      <c r="AP6" s="775" t="n">
        <v>6</v>
      </c>
      <c r="AQ6" s="775" t="n">
        <v>7</v>
      </c>
      <c r="AR6" s="775" t="n">
        <v>8</v>
      </c>
      <c r="AS6" s="775" t="n">
        <v>9</v>
      </c>
      <c r="AT6" s="789" t="n">
        <v>10</v>
      </c>
      <c r="AV6" s="787" t="s">
        <v>298</v>
      </c>
      <c r="AW6" s="775" t="n">
        <f aca="false">D6</f>
        <v>2018</v>
      </c>
      <c r="AX6" s="775" t="n">
        <f aca="false">AW6-1</f>
        <v>2017</v>
      </c>
      <c r="AY6" s="775" t="n">
        <f aca="false">AX6-1</f>
        <v>2016</v>
      </c>
      <c r="AZ6" s="775" t="n">
        <f aca="false">AY6-1</f>
        <v>2015</v>
      </c>
      <c r="BA6" s="775" t="n">
        <f aca="false">AZ6-1</f>
        <v>2014</v>
      </c>
      <c r="BB6" s="775" t="n">
        <f aca="false">BA6-1</f>
        <v>2013</v>
      </c>
      <c r="BC6" s="775" t="n">
        <f aca="false">BB6-1</f>
        <v>2012</v>
      </c>
      <c r="BD6" s="775" t="n">
        <f aca="false">BC6-1</f>
        <v>2011</v>
      </c>
      <c r="BE6" s="775" t="n">
        <f aca="false">BD6-1</f>
        <v>2010</v>
      </c>
      <c r="BF6" s="775" t="n">
        <f aca="false">BE6-1</f>
        <v>2009</v>
      </c>
      <c r="BG6" s="775"/>
      <c r="BH6" s="776"/>
      <c r="BJ6" s="780" t="s">
        <v>298</v>
      </c>
      <c r="BK6" s="780" t="n">
        <f aca="false">AW6</f>
        <v>2018</v>
      </c>
      <c r="BL6" s="780" t="n">
        <f aca="false">AX6</f>
        <v>2017</v>
      </c>
      <c r="BM6" s="780" t="n">
        <f aca="false">AY6</f>
        <v>2016</v>
      </c>
      <c r="BN6" s="780" t="n">
        <f aca="false">AZ6</f>
        <v>2015</v>
      </c>
      <c r="BO6" s="780" t="n">
        <f aca="false">BA6</f>
        <v>2014</v>
      </c>
      <c r="BP6" s="780" t="n">
        <f aca="false">BB6</f>
        <v>2013</v>
      </c>
      <c r="BQ6" s="780" t="n">
        <f aca="false">BC6</f>
        <v>2012</v>
      </c>
      <c r="BR6" s="780" t="n">
        <f aca="false">BD6</f>
        <v>2011</v>
      </c>
      <c r="BS6" s="780" t="n">
        <f aca="false">BE6</f>
        <v>2010</v>
      </c>
      <c r="BT6" s="780" t="n">
        <f aca="false">BF6</f>
        <v>2009</v>
      </c>
      <c r="BU6" s="780"/>
      <c r="BV6" s="782"/>
      <c r="BX6" s="780" t="s">
        <v>298</v>
      </c>
      <c r="BY6" s="780" t="n">
        <f aca="false">D6</f>
        <v>2018</v>
      </c>
      <c r="BZ6" s="780" t="n">
        <f aca="false">BY6-1</f>
        <v>2017</v>
      </c>
      <c r="CA6" s="780" t="n">
        <f aca="false">BZ6-1</f>
        <v>2016</v>
      </c>
      <c r="CB6" s="780" t="n">
        <f aca="false">CA6-1</f>
        <v>2015</v>
      </c>
      <c r="CC6" s="780" t="n">
        <f aca="false">CB6-1</f>
        <v>2014</v>
      </c>
      <c r="CD6" s="780" t="n">
        <f aca="false">CC6-1</f>
        <v>2013</v>
      </c>
      <c r="CE6" s="780" t="n">
        <f aca="false">CD6-1</f>
        <v>2012</v>
      </c>
      <c r="CF6" s="780" t="n">
        <f aca="false">CE6-1</f>
        <v>2011</v>
      </c>
      <c r="CG6" s="780" t="n">
        <f aca="false">CF6-1</f>
        <v>2010</v>
      </c>
      <c r="CH6" s="780" t="n">
        <f aca="false">CG6-1</f>
        <v>2009</v>
      </c>
      <c r="CI6" s="780"/>
      <c r="CJ6" s="782"/>
    </row>
    <row r="7" customFormat="false" ht="13.5" hidden="false" customHeight="false" outlineLevel="0" collapsed="false">
      <c r="B7" s="770"/>
      <c r="C7" s="768" t="n">
        <v>45</v>
      </c>
      <c r="D7" s="790" t="n">
        <f aca="false">'7.1 Dealer area'!C39</f>
        <v>0</v>
      </c>
      <c r="E7" s="791" t="n">
        <f aca="false">'5.3 Running Parc - Dealer Area'!B8</f>
        <v>0</v>
      </c>
      <c r="F7" s="791" t="n">
        <f aca="false">'5.3 Running Parc - Dealer Area'!C8</f>
        <v>0</v>
      </c>
      <c r="G7" s="791" t="n">
        <f aca="false">'5.3 Running Parc - Dealer Area'!D8</f>
        <v>0</v>
      </c>
      <c r="H7" s="791" t="n">
        <f aca="false">'5.3 Running Parc - Dealer Area'!E8</f>
        <v>0</v>
      </c>
      <c r="I7" s="791" t="n">
        <f aca="false">'5.3 Running Parc - Dealer Area'!F8</f>
        <v>0</v>
      </c>
      <c r="J7" s="791" t="n">
        <f aca="false">'5.3 Running Parc - Dealer Area'!G8</f>
        <v>0</v>
      </c>
      <c r="K7" s="791" t="n">
        <f aca="false">'5.3 Running Parc - Dealer Area'!H8</f>
        <v>0</v>
      </c>
      <c r="L7" s="791" t="n">
        <f aca="false">'5.3 Running Parc - Dealer Area'!I8</f>
        <v>0</v>
      </c>
      <c r="M7" s="791" t="n">
        <f aca="false">'5.3 Running Parc - Dealer Area'!J8</f>
        <v>0</v>
      </c>
      <c r="N7" s="792" t="n">
        <f aca="false">SUM(D7:M7)</f>
        <v>0</v>
      </c>
      <c r="Q7" s="774" t="n">
        <v>45</v>
      </c>
      <c r="R7" s="793" t="n">
        <f aca="false">(('DAF Parts CPV (short)'!E7)*((1-'5.1 DAF Vehicle Parc Input'!$H$56/(1-'Calculation (short)'!$O$1)))*(1+$E$1)*(1+$I$1))</f>
        <v>1365.51916074885</v>
      </c>
      <c r="S7" s="793" t="n">
        <f aca="false">(('DAF Parts CPV (short)'!F7)*((1-'5.1 DAF Vehicle Parc Input'!$H$56/(1-'Calculation (short)'!$O$1)))*(1+$E$1)*(1+$I$1))</f>
        <v>1433.13195164001</v>
      </c>
      <c r="T7" s="793" t="n">
        <f aca="false">(('DAF Parts CPV (short)'!G7)*((1-'5.1 DAF Vehicle Parc Input'!$H$56/(1-'Calculation (short)'!$O$1)))*(1+$E$1)*(1+$I$1))</f>
        <v>2082.79765949545</v>
      </c>
      <c r="U7" s="793" t="n">
        <f aca="false">(('DAF Parts CPV (short)'!H7)*((1-'5.1 DAF Vehicle Parc Input'!$H$56/(1-'Calculation (short)'!$O$1)))*(1+$E$1)*(1+$I$1))</f>
        <v>2244.59293837171</v>
      </c>
      <c r="V7" s="793" t="n">
        <f aca="false">(('DAF Parts CPV (short)'!I7)*((1-'5.1 DAF Vehicle Parc Input'!$H$56/(1-'Calculation (short)'!$O$1)))*(1+$E$1)*(1+$I$1))</f>
        <v>2201.41601299582</v>
      </c>
      <c r="W7" s="793" t="n">
        <f aca="false">(('DAF Parts CPV (short)'!J7)*((1-'5.1 DAF Vehicle Parc Input'!$H$56/(1-'Calculation (short)'!$O$1)))*(1+$E$1)*(1+$I$1))</f>
        <v>1790.18430338861</v>
      </c>
      <c r="X7" s="793" t="n">
        <f aca="false">(('DAF Parts CPV (short)'!K7)*((1-'5.1 DAF Vehicle Parc Input'!$H$56/(1-'Calculation (short)'!$O$1)))*(1+$E$1)*(1+$I$1))</f>
        <v>1902.0708223504</v>
      </c>
      <c r="Y7" s="793" t="n">
        <f aca="false">(('DAF Parts CPV (short)'!L7)*((1-'5.1 DAF Vehicle Parc Input'!$H$56/(1-'Calculation (short)'!$O$1)))*(1+$E$1)*(1+$I$1))</f>
        <v>2013.95734131219</v>
      </c>
      <c r="Z7" s="793" t="n">
        <f aca="false">(('DAF Parts CPV (short)'!M7)*((1-'5.1 DAF Vehicle Parc Input'!$H$56/(1-'Calculation (short)'!$O$1)))*(1+$E$1)*(1+$I$1))</f>
        <v>2125.84386027397</v>
      </c>
      <c r="AA7" s="793" t="n">
        <f aca="false">(('DAF Parts CPV (short)'!N7)*((1-'5.1 DAF Vehicle Parc Input'!$H$56/(1-'Calculation (short)'!$O$1)))*(1+$E$1)*(1+$I$1))</f>
        <v>2237.73037923576</v>
      </c>
      <c r="AB7" s="793" t="n">
        <f aca="false">(('DAF Parts CPV (short)'!O7)*((1-'5.1 DAF Vehicle Parc Input'!$H$56/(1-'Calculation (short)'!$O$1)))*(1+$E$1)*(1+$I$1))</f>
        <v>2148.22116406633</v>
      </c>
      <c r="AC7" s="793" t="n">
        <f aca="false">(('DAF Parts CPV (short)'!P7)*((1-'5.1 DAF Vehicle Parc Input'!$H$56/(1-'Calculation (short)'!$O$1)))*(1+$E$1)*(1+$I$1))</f>
        <v>2058.7119488969</v>
      </c>
      <c r="AD7" s="793" t="n">
        <f aca="false">(('DAF Parts CPV (short)'!Q7)*((1-'5.1 DAF Vehicle Parc Input'!$H$56/(1-'Calculation (short)'!$O$1)))*(1+$E$1)*(1+$I$1))</f>
        <v>1969.20273372747</v>
      </c>
      <c r="AE7" s="793" t="n">
        <f aca="false">(('DAF Parts CPV (short)'!R7)*((1-'5.1 DAF Vehicle Parc Input'!$H$56/(1-'Calculation (short)'!$O$1)))*(1+$E$1)*(1+$I$1))</f>
        <v>1879.69351855804</v>
      </c>
      <c r="AF7" s="793" t="n">
        <f aca="false">(('DAF Parts CPV (short)'!S7)*((1-'5.1 DAF Vehicle Parc Input'!$H$56/(1-'Calculation (short)'!$O$1)))*(1+$E$1)*(1+$I$1))</f>
        <v>1790.18430338861</v>
      </c>
      <c r="AG7" s="794" t="n">
        <f aca="false">AVERAGE(R7:AF7)</f>
        <v>1949.55053989667</v>
      </c>
      <c r="AH7" s="795" t="n">
        <f aca="false">AG7</f>
        <v>1949.55053989667</v>
      </c>
      <c r="AJ7" s="796" t="n">
        <v>45</v>
      </c>
      <c r="AK7" s="797" t="n">
        <f aca="false">IF(AK$6&lt;=$E$2,1,0)</f>
        <v>1</v>
      </c>
      <c r="AL7" s="797" t="n">
        <f aca="false">IF(AL$6&lt;=$E$2,1,0)</f>
        <v>1</v>
      </c>
      <c r="AM7" s="797" t="n">
        <f aca="false">IF(AM$6&lt;=$E$2,1,0)</f>
        <v>1</v>
      </c>
      <c r="AN7" s="797" t="n">
        <f aca="false">IF(AN$6&lt;=$E$2,1,0)</f>
        <v>1</v>
      </c>
      <c r="AO7" s="797" t="n">
        <f aca="false">IF(AO$6&lt;=$E$2,1,0)</f>
        <v>1</v>
      </c>
      <c r="AP7" s="797" t="n">
        <f aca="false">IF(AP$6&lt;=$E$2,1,0)</f>
        <v>1</v>
      </c>
      <c r="AQ7" s="797" t="n">
        <f aca="false">IF(AQ$6&lt;=$E$2,1,0)</f>
        <v>1</v>
      </c>
      <c r="AR7" s="797" t="n">
        <f aca="false">IF(AR$6&lt;=$E$2,1,0)</f>
        <v>1</v>
      </c>
      <c r="AS7" s="797" t="n">
        <f aca="false">IF(AS$6&lt;=$E$2,1,0)</f>
        <v>1</v>
      </c>
      <c r="AT7" s="798" t="n">
        <f aca="false">IF(AT$6&lt;=$E$2,1,0)</f>
        <v>1</v>
      </c>
      <c r="AV7" s="774" t="n">
        <v>45</v>
      </c>
      <c r="AW7" s="793" t="n">
        <f aca="false">D7*R7*AK7</f>
        <v>0</v>
      </c>
      <c r="AX7" s="793" t="n">
        <f aca="false">E7*S7*AL7</f>
        <v>0</v>
      </c>
      <c r="AY7" s="793" t="n">
        <f aca="false">F7*T7*AM7</f>
        <v>0</v>
      </c>
      <c r="AZ7" s="793" t="n">
        <f aca="false">G7*U7*AN7</f>
        <v>0</v>
      </c>
      <c r="BA7" s="793" t="n">
        <f aca="false">H7*V7*AO7</f>
        <v>0</v>
      </c>
      <c r="BB7" s="793" t="n">
        <f aca="false">I7*W7*AP7</f>
        <v>0</v>
      </c>
      <c r="BC7" s="793" t="n">
        <f aca="false">J7*X7*AQ7</f>
        <v>0</v>
      </c>
      <c r="BD7" s="793" t="n">
        <f aca="false">K7*Y7*AR7</f>
        <v>0</v>
      </c>
      <c r="BE7" s="793" t="n">
        <f aca="false">L7*Z7*AS7</f>
        <v>0</v>
      </c>
      <c r="BF7" s="793" t="n">
        <f aca="false">M7*AA7*AT7</f>
        <v>0</v>
      </c>
      <c r="BG7" s="799" t="n">
        <f aca="false">SUM(AW7:BF7)</f>
        <v>0</v>
      </c>
      <c r="BH7" s="800" t="n">
        <f aca="false">BG7</f>
        <v>0</v>
      </c>
      <c r="BJ7" s="779" t="n">
        <v>45</v>
      </c>
      <c r="BK7" s="801" t="n">
        <f aca="false">R17*D7*AK7</f>
        <v>0</v>
      </c>
      <c r="BL7" s="801" t="n">
        <f aca="false">S17*E7*AL7</f>
        <v>0</v>
      </c>
      <c r="BM7" s="801" t="n">
        <f aca="false">T17*F7*AM7</f>
        <v>0</v>
      </c>
      <c r="BN7" s="801" t="n">
        <f aca="false">U17*G7*AN7</f>
        <v>0</v>
      </c>
      <c r="BO7" s="801" t="n">
        <f aca="false">V17*H7*AO7</f>
        <v>0</v>
      </c>
      <c r="BP7" s="801" t="n">
        <f aca="false">W17*I7*AP7</f>
        <v>0</v>
      </c>
      <c r="BQ7" s="801" t="n">
        <f aca="false">X17*J7*AQ7</f>
        <v>0</v>
      </c>
      <c r="BR7" s="801" t="n">
        <f aca="false">Y17*K7*AR7</f>
        <v>0</v>
      </c>
      <c r="BS7" s="801" t="n">
        <f aca="false">Z17*L7*AS7</f>
        <v>0</v>
      </c>
      <c r="BT7" s="801" t="n">
        <f aca="false">AA17*M7*AT7</f>
        <v>0</v>
      </c>
      <c r="BU7" s="802" t="n">
        <f aca="false">SUM(BK7:BT7)</f>
        <v>0</v>
      </c>
      <c r="BV7" s="803" t="n">
        <f aca="false">BU7</f>
        <v>0</v>
      </c>
      <c r="BX7" s="779" t="n">
        <v>45</v>
      </c>
      <c r="BY7" s="804" t="n">
        <f aca="false">D7*R38*AK7</f>
        <v>0</v>
      </c>
      <c r="BZ7" s="804" t="n">
        <f aca="false">E7*S38*AL7</f>
        <v>0</v>
      </c>
      <c r="CA7" s="804" t="n">
        <f aca="false">F7*T38*AM7</f>
        <v>0</v>
      </c>
      <c r="CB7" s="804" t="n">
        <f aca="false">G7*U38*AN7</f>
        <v>0</v>
      </c>
      <c r="CC7" s="804" t="n">
        <f aca="false">H7*V38*AO7</f>
        <v>0</v>
      </c>
      <c r="CD7" s="804" t="n">
        <f aca="false">I7*W38*AP7</f>
        <v>0</v>
      </c>
      <c r="CE7" s="804" t="n">
        <f aca="false">J7*X38*AQ7</f>
        <v>0</v>
      </c>
      <c r="CF7" s="804" t="n">
        <f aca="false">K7*Y38*AR7</f>
        <v>0</v>
      </c>
      <c r="CG7" s="804" t="n">
        <f aca="false">L7*Z38*AS7</f>
        <v>0</v>
      </c>
      <c r="CH7" s="804" t="n">
        <f aca="false">M7*AA38*AT7</f>
        <v>0</v>
      </c>
      <c r="CI7" s="805" t="n">
        <f aca="false">SUM(BY7:CH7)</f>
        <v>0</v>
      </c>
      <c r="CJ7" s="806" t="n">
        <f aca="false">CI7</f>
        <v>0</v>
      </c>
    </row>
    <row r="8" customFormat="false" ht="13.5" hidden="false" customHeight="false" outlineLevel="0" collapsed="false">
      <c r="B8" s="770"/>
      <c r="C8" s="768" t="n">
        <v>55</v>
      </c>
      <c r="D8" s="790" t="n">
        <f aca="false">'7.1 Dealer area'!C40</f>
        <v>0</v>
      </c>
      <c r="E8" s="791" t="n">
        <f aca="false">'5.3 Running Parc - Dealer Area'!B9</f>
        <v>0</v>
      </c>
      <c r="F8" s="791" t="n">
        <f aca="false">'5.3 Running Parc - Dealer Area'!C9</f>
        <v>0</v>
      </c>
      <c r="G8" s="791" t="n">
        <f aca="false">'5.3 Running Parc - Dealer Area'!D9</f>
        <v>0</v>
      </c>
      <c r="H8" s="791" t="n">
        <f aca="false">'5.3 Running Parc - Dealer Area'!E9</f>
        <v>0</v>
      </c>
      <c r="I8" s="791" t="n">
        <f aca="false">'5.3 Running Parc - Dealer Area'!F9</f>
        <v>0</v>
      </c>
      <c r="J8" s="791" t="n">
        <f aca="false">'5.3 Running Parc - Dealer Area'!G9</f>
        <v>0</v>
      </c>
      <c r="K8" s="791" t="n">
        <f aca="false">'5.3 Running Parc - Dealer Area'!H9</f>
        <v>0</v>
      </c>
      <c r="L8" s="791" t="n">
        <f aca="false">'5.3 Running Parc - Dealer Area'!I9</f>
        <v>0</v>
      </c>
      <c r="M8" s="791" t="n">
        <f aca="false">'5.3 Running Parc - Dealer Area'!J9</f>
        <v>0</v>
      </c>
      <c r="N8" s="792" t="n">
        <f aca="false">SUM(D8:M8)</f>
        <v>0</v>
      </c>
      <c r="Q8" s="774" t="n">
        <v>55</v>
      </c>
      <c r="R8" s="793" t="n">
        <f aca="false">(('DAF Parts CPV (short)'!E8)*((1-'5.1 DAF Vehicle Parc Input'!$H$56/(1-'Calculation (short)'!$O$1)))*(1+$E$1)*(1+$I$1))</f>
        <v>1567.48313686636</v>
      </c>
      <c r="S8" s="793" t="n">
        <f aca="false">(('DAF Parts CPV (short)'!F8)*((1-'5.1 DAF Vehicle Parc Input'!$H$56/(1-'Calculation (short)'!$O$1)))*(1+$E$1)*(1+$I$1))</f>
        <v>1280.33318336671</v>
      </c>
      <c r="T8" s="793" t="n">
        <f aca="false">(('DAF Parts CPV (short)'!G8)*((1-'5.1 DAF Vehicle Parc Input'!$H$56/(1-'Calculation (short)'!$O$1)))*(1+$E$1)*(1+$I$1))</f>
        <v>1985.4397311568</v>
      </c>
      <c r="U8" s="793" t="n">
        <f aca="false">(('DAF Parts CPV (short)'!H8)*((1-'5.1 DAF Vehicle Parc Input'!$H$56/(1-'Calculation (short)'!$O$1)))*(1+$E$1)*(1+$I$1))</f>
        <v>2421.19998262844</v>
      </c>
      <c r="V8" s="793" t="n">
        <f aca="false">(('DAF Parts CPV (short)'!I8)*((1-'5.1 DAF Vehicle Parc Input'!$H$56/(1-'Calculation (short)'!$O$1)))*(1+$E$1)*(1+$I$1))</f>
        <v>2816.88953637164</v>
      </c>
      <c r="W8" s="793" t="n">
        <f aca="false">(('DAF Parts CPV (short)'!J8)*((1-'5.1 DAF Vehicle Parc Input'!$H$56/(1-'Calculation (short)'!$O$1)))*(1+$E$1)*(1+$I$1))</f>
        <v>3149.45307557795</v>
      </c>
      <c r="X8" s="793" t="n">
        <f aca="false">(('DAF Parts CPV (short)'!K8)*((1-'5.1 DAF Vehicle Parc Input'!$H$56/(1-'Calculation (short)'!$O$1)))*(1+$E$1)*(1+$I$1))</f>
        <v>3346.29389280157</v>
      </c>
      <c r="Y8" s="793" t="n">
        <f aca="false">(('DAF Parts CPV (short)'!L8)*((1-'5.1 DAF Vehicle Parc Input'!$H$56/(1-'Calculation (short)'!$O$1)))*(1+$E$1)*(1+$I$1))</f>
        <v>3543.13471002519</v>
      </c>
      <c r="Z8" s="793" t="n">
        <f aca="false">(('DAF Parts CPV (short)'!M8)*((1-'5.1 DAF Vehicle Parc Input'!$H$56/(1-'Calculation (short)'!$O$1)))*(1+$E$1)*(1+$I$1))</f>
        <v>3739.97552724882</v>
      </c>
      <c r="AA8" s="793" t="n">
        <f aca="false">(('DAF Parts CPV (short)'!N8)*((1-'5.1 DAF Vehicle Parc Input'!$H$56/(1-'Calculation (short)'!$O$1)))*(1+$E$1)*(1+$I$1))</f>
        <v>3936.81634447244</v>
      </c>
      <c r="AB8" s="793" t="n">
        <f aca="false">(('DAF Parts CPV (short)'!O8)*((1-'5.1 DAF Vehicle Parc Input'!$H$56/(1-'Calculation (short)'!$O$1)))*(1+$E$1)*(1+$I$1))</f>
        <v>3779.34369069354</v>
      </c>
      <c r="AC8" s="793" t="n">
        <f aca="false">(('DAF Parts CPV (short)'!P8)*((1-'5.1 DAF Vehicle Parc Input'!$H$56/(1-'Calculation (short)'!$O$1)))*(1+$E$1)*(1+$I$1))</f>
        <v>3621.87103691464</v>
      </c>
      <c r="AD8" s="793" t="n">
        <f aca="false">(('DAF Parts CPV (short)'!Q8)*((1-'5.1 DAF Vehicle Parc Input'!$H$56/(1-'Calculation (short)'!$O$1)))*(1+$E$1)*(1+$I$1))</f>
        <v>3464.39838313575</v>
      </c>
      <c r="AE8" s="793" t="n">
        <f aca="false">(('DAF Parts CPV (short)'!R8)*((1-'5.1 DAF Vehicle Parc Input'!$H$56/(1-'Calculation (short)'!$O$1)))*(1+$E$1)*(1+$I$1))</f>
        <v>3306.92572935685</v>
      </c>
      <c r="AF8" s="793" t="n">
        <f aca="false">(('DAF Parts CPV (short)'!S8)*((1-'5.1 DAF Vehicle Parc Input'!$H$56/(1-'Calculation (short)'!$O$1)))*(1+$E$1)*(1+$I$1))</f>
        <v>3149.45307557795</v>
      </c>
      <c r="AG8" s="794" t="n">
        <f aca="false">AVERAGE(R8:AF8)</f>
        <v>3007.26740241298</v>
      </c>
      <c r="AH8" s="795" t="n">
        <f aca="false">AG8</f>
        <v>3007.26740241298</v>
      </c>
      <c r="AJ8" s="796" t="n">
        <v>55</v>
      </c>
      <c r="AK8" s="797" t="n">
        <f aca="false">IF(AK$6&lt;=$E$2,1,0)</f>
        <v>1</v>
      </c>
      <c r="AL8" s="797" t="n">
        <f aca="false">IF(AL$6&lt;=$E$2,1,0)</f>
        <v>1</v>
      </c>
      <c r="AM8" s="797" t="n">
        <f aca="false">IF(AM$6&lt;=$E$2,1,0)</f>
        <v>1</v>
      </c>
      <c r="AN8" s="797" t="n">
        <f aca="false">IF(AN$6&lt;=$E$2,1,0)</f>
        <v>1</v>
      </c>
      <c r="AO8" s="797" t="n">
        <f aca="false">IF(AO$6&lt;=$E$2,1,0)</f>
        <v>1</v>
      </c>
      <c r="AP8" s="797" t="n">
        <f aca="false">IF(AP$6&lt;=$E$2,1,0)</f>
        <v>1</v>
      </c>
      <c r="AQ8" s="797" t="n">
        <f aca="false">IF(AQ$6&lt;=$E$2,1,0)</f>
        <v>1</v>
      </c>
      <c r="AR8" s="797" t="n">
        <f aca="false">IF(AR$6&lt;=$E$2,1,0)</f>
        <v>1</v>
      </c>
      <c r="AS8" s="797" t="n">
        <f aca="false">IF(AS$6&lt;=$E$2,1,0)</f>
        <v>1</v>
      </c>
      <c r="AT8" s="798" t="n">
        <f aca="false">IF(AT$6&lt;=$E$2,1,0)</f>
        <v>1</v>
      </c>
      <c r="AV8" s="774" t="n">
        <v>55</v>
      </c>
      <c r="AW8" s="793" t="n">
        <f aca="false">D8*R8*AK8</f>
        <v>0</v>
      </c>
      <c r="AX8" s="793" t="n">
        <f aca="false">E8*S8*AL8</f>
        <v>0</v>
      </c>
      <c r="AY8" s="793" t="n">
        <f aca="false">F8*T8*AM8</f>
        <v>0</v>
      </c>
      <c r="AZ8" s="793" t="n">
        <f aca="false">G8*U8*AN8</f>
        <v>0</v>
      </c>
      <c r="BA8" s="793" t="n">
        <f aca="false">H8*V8*AO8</f>
        <v>0</v>
      </c>
      <c r="BB8" s="793" t="n">
        <f aca="false">I8*W8*AP8</f>
        <v>0</v>
      </c>
      <c r="BC8" s="793" t="n">
        <f aca="false">J8*X8*AQ8</f>
        <v>0</v>
      </c>
      <c r="BD8" s="793" t="n">
        <f aca="false">K8*Y8*AR8</f>
        <v>0</v>
      </c>
      <c r="BE8" s="793" t="n">
        <f aca="false">L8*Z8*AS8</f>
        <v>0</v>
      </c>
      <c r="BF8" s="793" t="n">
        <f aca="false">M8*AA8*AT8</f>
        <v>0</v>
      </c>
      <c r="BG8" s="799" t="n">
        <f aca="false">SUM(AW8:BF8)</f>
        <v>0</v>
      </c>
      <c r="BH8" s="800" t="n">
        <f aca="false">BG8</f>
        <v>0</v>
      </c>
      <c r="BJ8" s="779" t="n">
        <v>55</v>
      </c>
      <c r="BK8" s="801" t="n">
        <f aca="false">R18*D8*AK8</f>
        <v>0</v>
      </c>
      <c r="BL8" s="801" t="n">
        <f aca="false">S18*E8*AL8</f>
        <v>0</v>
      </c>
      <c r="BM8" s="801" t="n">
        <f aca="false">T18*F8*AM8</f>
        <v>0</v>
      </c>
      <c r="BN8" s="801" t="n">
        <f aca="false">U18*G8*AN8</f>
        <v>0</v>
      </c>
      <c r="BO8" s="801" t="n">
        <f aca="false">V18*H8*AO8</f>
        <v>0</v>
      </c>
      <c r="BP8" s="801" t="n">
        <f aca="false">W18*I8*AP8</f>
        <v>0</v>
      </c>
      <c r="BQ8" s="801" t="n">
        <f aca="false">X18*J8*AQ8</f>
        <v>0</v>
      </c>
      <c r="BR8" s="801" t="n">
        <f aca="false">Y18*K8*AR8</f>
        <v>0</v>
      </c>
      <c r="BS8" s="801" t="n">
        <f aca="false">Z18*L8*AS8</f>
        <v>0</v>
      </c>
      <c r="BT8" s="801" t="n">
        <f aca="false">AA18*M8*AT8</f>
        <v>0</v>
      </c>
      <c r="BU8" s="802" t="n">
        <f aca="false">SUM(BK8:BT8)</f>
        <v>0</v>
      </c>
      <c r="BV8" s="803" t="n">
        <f aca="false">BU8</f>
        <v>0</v>
      </c>
      <c r="BX8" s="779" t="n">
        <v>55</v>
      </c>
      <c r="BY8" s="804" t="n">
        <f aca="false">D8*R39*AK8</f>
        <v>0</v>
      </c>
      <c r="BZ8" s="804" t="n">
        <f aca="false">E8*S39*AL8</f>
        <v>0</v>
      </c>
      <c r="CA8" s="804" t="n">
        <f aca="false">F8*T39*AM8</f>
        <v>0</v>
      </c>
      <c r="CB8" s="804" t="n">
        <f aca="false">G8*U39*AN8</f>
        <v>0</v>
      </c>
      <c r="CC8" s="804" t="n">
        <f aca="false">H8*V39*AO8</f>
        <v>0</v>
      </c>
      <c r="CD8" s="804" t="n">
        <f aca="false">I8*W39*AP8</f>
        <v>0</v>
      </c>
      <c r="CE8" s="804" t="n">
        <f aca="false">J8*X39*AQ8</f>
        <v>0</v>
      </c>
      <c r="CF8" s="804" t="n">
        <f aca="false">K8*Y39*AR8</f>
        <v>0</v>
      </c>
      <c r="CG8" s="804" t="n">
        <f aca="false">L8*Z39*AS8</f>
        <v>0</v>
      </c>
      <c r="CH8" s="804" t="n">
        <f aca="false">M8*AA39*AT8</f>
        <v>0</v>
      </c>
      <c r="CI8" s="805" t="n">
        <f aca="false">SUM(BY8:CH8)</f>
        <v>0</v>
      </c>
      <c r="CJ8" s="806" t="n">
        <f aca="false">CI8</f>
        <v>0</v>
      </c>
    </row>
    <row r="9" customFormat="false" ht="13.5" hidden="false" customHeight="false" outlineLevel="0" collapsed="false">
      <c r="B9" s="770"/>
      <c r="C9" s="768" t="n">
        <v>65</v>
      </c>
      <c r="D9" s="790" t="n">
        <f aca="false">'7.1 Dealer area'!C43</f>
        <v>0</v>
      </c>
      <c r="E9" s="791" t="n">
        <f aca="false">'5.3 Running Parc - Dealer Area'!B10</f>
        <v>0</v>
      </c>
      <c r="F9" s="791" t="n">
        <f aca="false">'5.3 Running Parc - Dealer Area'!C10</f>
        <v>0</v>
      </c>
      <c r="G9" s="791" t="n">
        <f aca="false">'5.3 Running Parc - Dealer Area'!D10</f>
        <v>0</v>
      </c>
      <c r="H9" s="791" t="n">
        <f aca="false">'5.3 Running Parc - Dealer Area'!E10</f>
        <v>0</v>
      </c>
      <c r="I9" s="791" t="n">
        <f aca="false">'5.3 Running Parc - Dealer Area'!F10</f>
        <v>0</v>
      </c>
      <c r="J9" s="791" t="n">
        <f aca="false">'5.3 Running Parc - Dealer Area'!G10</f>
        <v>0</v>
      </c>
      <c r="K9" s="791" t="n">
        <f aca="false">'5.3 Running Parc - Dealer Area'!H10</f>
        <v>0</v>
      </c>
      <c r="L9" s="791" t="n">
        <f aca="false">'5.3 Running Parc - Dealer Area'!I10</f>
        <v>0</v>
      </c>
      <c r="M9" s="791" t="n">
        <f aca="false">'5.3 Running Parc - Dealer Area'!J10</f>
        <v>0</v>
      </c>
      <c r="N9" s="792" t="n">
        <f aca="false">SUM(D9:M9)</f>
        <v>0</v>
      </c>
      <c r="Q9" s="774" t="n">
        <v>65</v>
      </c>
      <c r="R9" s="793" t="n">
        <f aca="false">(('DAF Parts CPV (short)'!E9)*((1-'5.1 DAF Vehicle Parc Input'!$H$56/(1-'Calculation (short)'!$O$1)))*(1+$E$1)*(1+$I$1))</f>
        <v>1289.98320321831</v>
      </c>
      <c r="S9" s="793" t="n">
        <f aca="false">(('DAF Parts CPV (short)'!F9)*((1-'5.1 DAF Vehicle Parc Input'!$H$56/(1-'Calculation (short)'!$O$1)))*(1+$E$1)*(1+$I$1))</f>
        <v>994.65923523799</v>
      </c>
      <c r="T9" s="793" t="n">
        <f aca="false">(('DAF Parts CPV (short)'!G9)*((1-'5.1 DAF Vehicle Parc Input'!$H$56/(1-'Calculation (short)'!$O$1)))*(1+$E$1)*(1+$I$1))</f>
        <v>1735.02628657364</v>
      </c>
      <c r="U9" s="793" t="n">
        <f aca="false">(('DAF Parts CPV (short)'!H9)*((1-'5.1 DAF Vehicle Parc Input'!$H$56/(1-'Calculation (short)'!$O$1)))*(1+$E$1)*(1+$I$1))</f>
        <v>2025.33219449115</v>
      </c>
      <c r="V9" s="793" t="n">
        <f aca="false">(('DAF Parts CPV (short)'!I9)*((1-'5.1 DAF Vehicle Parc Input'!$H$56/(1-'Calculation (short)'!$O$1)))*(1+$E$1)*(1+$I$1))</f>
        <v>2162.7974854153</v>
      </c>
      <c r="W9" s="793" t="n">
        <f aca="false">(('DAF Parts CPV (short)'!J9)*((1-'5.1 DAF Vehicle Parc Input'!$H$56/(1-'Calculation (short)'!$O$1)))*(1+$E$1)*(1+$I$1))</f>
        <v>1906.85015416449</v>
      </c>
      <c r="X9" s="793" t="n">
        <f aca="false">(('DAF Parts CPV (short)'!K9)*((1-'5.1 DAF Vehicle Parc Input'!$H$56/(1-'Calculation (short)'!$O$1)))*(1+$E$1)*(1+$I$1))</f>
        <v>2026.02828879977</v>
      </c>
      <c r="Y9" s="793" t="n">
        <f aca="false">(('DAF Parts CPV (short)'!L9)*((1-'5.1 DAF Vehicle Parc Input'!$H$56/(1-'Calculation (short)'!$O$1)))*(1+$E$1)*(1+$I$1))</f>
        <v>2145.20642343505</v>
      </c>
      <c r="Z9" s="793" t="n">
        <f aca="false">(('DAF Parts CPV (short)'!M9)*((1-'5.1 DAF Vehicle Parc Input'!$H$56/(1-'Calculation (short)'!$O$1)))*(1+$E$1)*(1+$I$1))</f>
        <v>2264.38455807033</v>
      </c>
      <c r="AA9" s="793" t="n">
        <f aca="false">(('DAF Parts CPV (short)'!N9)*((1-'5.1 DAF Vehicle Parc Input'!$H$56/(1-'Calculation (short)'!$O$1)))*(1+$E$1)*(1+$I$1))</f>
        <v>2383.56269270561</v>
      </c>
      <c r="AB9" s="793" t="n">
        <f aca="false">(('DAF Parts CPV (short)'!O9)*((1-'5.1 DAF Vehicle Parc Input'!$H$56/(1-'Calculation (short)'!$O$1)))*(1+$E$1)*(1+$I$1))</f>
        <v>2288.22018499739</v>
      </c>
      <c r="AC9" s="793" t="n">
        <f aca="false">(('DAF Parts CPV (short)'!P9)*((1-'5.1 DAF Vehicle Parc Input'!$H$56/(1-'Calculation (short)'!$O$1)))*(1+$E$1)*(1+$I$1))</f>
        <v>2192.87767728916</v>
      </c>
      <c r="AD9" s="793" t="n">
        <f aca="false">(('DAF Parts CPV (short)'!Q9)*((1-'5.1 DAF Vehicle Parc Input'!$H$56/(1-'Calculation (short)'!$O$1)))*(1+$E$1)*(1+$I$1))</f>
        <v>2097.53516958094</v>
      </c>
      <c r="AE9" s="793" t="n">
        <f aca="false">(('DAF Parts CPV (short)'!R9)*((1-'5.1 DAF Vehicle Parc Input'!$H$56/(1-'Calculation (short)'!$O$1)))*(1+$E$1)*(1+$I$1))</f>
        <v>2002.19266187271</v>
      </c>
      <c r="AF9" s="793" t="n">
        <f aca="false">(('DAF Parts CPV (short)'!S9)*((1-'5.1 DAF Vehicle Parc Input'!$H$56/(1-'Calculation (short)'!$O$1)))*(1+$E$1)*(1+$I$1))</f>
        <v>1906.85015416449</v>
      </c>
      <c r="AG9" s="794" t="n">
        <f aca="false">AVERAGE(R9:AF9)</f>
        <v>1961.43375800109</v>
      </c>
      <c r="AH9" s="795" t="n">
        <f aca="false">AG9</f>
        <v>1961.43375800109</v>
      </c>
      <c r="AJ9" s="796" t="n">
        <v>65</v>
      </c>
      <c r="AK9" s="797" t="n">
        <f aca="false">IF(AK$6&lt;=$E$2,1,0)</f>
        <v>1</v>
      </c>
      <c r="AL9" s="797" t="n">
        <f aca="false">IF(AL$6&lt;=$E$2,1,0)</f>
        <v>1</v>
      </c>
      <c r="AM9" s="797" t="n">
        <f aca="false">IF(AM$6&lt;=$E$2,1,0)</f>
        <v>1</v>
      </c>
      <c r="AN9" s="797" t="n">
        <f aca="false">IF(AN$6&lt;=$E$2,1,0)</f>
        <v>1</v>
      </c>
      <c r="AO9" s="797" t="n">
        <f aca="false">IF(AO$6&lt;=$E$2,1,0)</f>
        <v>1</v>
      </c>
      <c r="AP9" s="797" t="n">
        <f aca="false">IF(AP$6&lt;=$E$2,1,0)</f>
        <v>1</v>
      </c>
      <c r="AQ9" s="797" t="n">
        <f aca="false">IF(AQ$6&lt;=$E$2,1,0)</f>
        <v>1</v>
      </c>
      <c r="AR9" s="797" t="n">
        <f aca="false">IF(AR$6&lt;=$E$2,1,0)</f>
        <v>1</v>
      </c>
      <c r="AS9" s="797" t="n">
        <f aca="false">IF(AS$6&lt;=$E$2,1,0)</f>
        <v>1</v>
      </c>
      <c r="AT9" s="798" t="n">
        <f aca="false">IF(AT$6&lt;=$E$2,1,0)</f>
        <v>1</v>
      </c>
      <c r="AV9" s="774" t="n">
        <v>65</v>
      </c>
      <c r="AW9" s="793" t="n">
        <f aca="false">D9*R9*AK9</f>
        <v>0</v>
      </c>
      <c r="AX9" s="793" t="n">
        <f aca="false">E9*S9*AL9</f>
        <v>0</v>
      </c>
      <c r="AY9" s="793" t="n">
        <f aca="false">F9*T9*AM9</f>
        <v>0</v>
      </c>
      <c r="AZ9" s="793" t="n">
        <f aca="false">G9*U9*AN9</f>
        <v>0</v>
      </c>
      <c r="BA9" s="793" t="n">
        <f aca="false">H9*V9*AO9</f>
        <v>0</v>
      </c>
      <c r="BB9" s="793" t="n">
        <f aca="false">I9*W9*AP9</f>
        <v>0</v>
      </c>
      <c r="BC9" s="793" t="n">
        <f aca="false">J9*X9*AQ9</f>
        <v>0</v>
      </c>
      <c r="BD9" s="793" t="n">
        <f aca="false">K9*Y9*AR9</f>
        <v>0</v>
      </c>
      <c r="BE9" s="793" t="n">
        <f aca="false">L9*Z9*AS9</f>
        <v>0</v>
      </c>
      <c r="BF9" s="793" t="n">
        <f aca="false">M9*AA9*AT9</f>
        <v>0</v>
      </c>
      <c r="BG9" s="799" t="n">
        <f aca="false">SUM(AW9:BF9)</f>
        <v>0</v>
      </c>
      <c r="BH9" s="800" t="n">
        <f aca="false">BG9</f>
        <v>0</v>
      </c>
      <c r="BJ9" s="779" t="n">
        <v>65</v>
      </c>
      <c r="BK9" s="801" t="n">
        <f aca="false">R19*D9*AK9</f>
        <v>0</v>
      </c>
      <c r="BL9" s="801" t="n">
        <f aca="false">S19*E9*AL9</f>
        <v>0</v>
      </c>
      <c r="BM9" s="801" t="n">
        <f aca="false">T19*F9*AM9</f>
        <v>0</v>
      </c>
      <c r="BN9" s="801" t="n">
        <f aca="false">U19*G9*AN9</f>
        <v>0</v>
      </c>
      <c r="BO9" s="801" t="n">
        <f aca="false">V19*H9*AO9</f>
        <v>0</v>
      </c>
      <c r="BP9" s="801" t="n">
        <f aca="false">W19*I9*AP9</f>
        <v>0</v>
      </c>
      <c r="BQ9" s="801" t="n">
        <f aca="false">X19*J9*AQ9</f>
        <v>0</v>
      </c>
      <c r="BR9" s="801" t="n">
        <f aca="false">Y19*K9*AR9</f>
        <v>0</v>
      </c>
      <c r="BS9" s="801" t="n">
        <f aca="false">Z19*L9*AS9</f>
        <v>0</v>
      </c>
      <c r="BT9" s="801" t="n">
        <f aca="false">AA19*M9*AT9</f>
        <v>0</v>
      </c>
      <c r="BU9" s="802" t="n">
        <f aca="false">SUM(BK9:BT9)</f>
        <v>0</v>
      </c>
      <c r="BV9" s="803" t="n">
        <f aca="false">BU9</f>
        <v>0</v>
      </c>
      <c r="BX9" s="779" t="n">
        <v>65</v>
      </c>
      <c r="BY9" s="804" t="n">
        <f aca="false">D9*R40*AK9</f>
        <v>0</v>
      </c>
      <c r="BZ9" s="804" t="n">
        <f aca="false">E9*S40*AL9</f>
        <v>0</v>
      </c>
      <c r="CA9" s="804" t="n">
        <f aca="false">F9*T40*AM9</f>
        <v>0</v>
      </c>
      <c r="CB9" s="804" t="n">
        <f aca="false">G9*U40*AN9</f>
        <v>0</v>
      </c>
      <c r="CC9" s="804" t="n">
        <f aca="false">H9*V40*AO9</f>
        <v>0</v>
      </c>
      <c r="CD9" s="804" t="n">
        <f aca="false">I9*W40*AP9</f>
        <v>0</v>
      </c>
      <c r="CE9" s="804" t="n">
        <f aca="false">J9*X40*AQ9</f>
        <v>0</v>
      </c>
      <c r="CF9" s="804" t="n">
        <f aca="false">K9*Y40*AR9</f>
        <v>0</v>
      </c>
      <c r="CG9" s="804" t="n">
        <f aca="false">L9*Z40*AS9</f>
        <v>0</v>
      </c>
      <c r="CH9" s="804" t="n">
        <f aca="false">M9*AA40*AT9</f>
        <v>0</v>
      </c>
      <c r="CI9" s="805" t="n">
        <f aca="false">SUM(BY9:CH9)</f>
        <v>0</v>
      </c>
      <c r="CJ9" s="806" t="n">
        <f aca="false">CI9</f>
        <v>0</v>
      </c>
    </row>
    <row r="10" customFormat="false" ht="13.5" hidden="false" customHeight="false" outlineLevel="0" collapsed="false">
      <c r="B10" s="770"/>
      <c r="C10" s="768" t="n">
        <v>75</v>
      </c>
      <c r="D10" s="790" t="n">
        <f aca="false">'7.1 Dealer area'!C44</f>
        <v>0</v>
      </c>
      <c r="E10" s="791" t="n">
        <f aca="false">'5.3 Running Parc - Dealer Area'!B11</f>
        <v>0</v>
      </c>
      <c r="F10" s="791" t="n">
        <f aca="false">'5.3 Running Parc - Dealer Area'!C11</f>
        <v>0</v>
      </c>
      <c r="G10" s="791" t="n">
        <f aca="false">'5.3 Running Parc - Dealer Area'!D11</f>
        <v>0</v>
      </c>
      <c r="H10" s="791" t="n">
        <f aca="false">'5.3 Running Parc - Dealer Area'!E11</f>
        <v>0</v>
      </c>
      <c r="I10" s="791" t="n">
        <f aca="false">'5.3 Running Parc - Dealer Area'!F11</f>
        <v>0</v>
      </c>
      <c r="J10" s="791" t="n">
        <f aca="false">'5.3 Running Parc - Dealer Area'!G11</f>
        <v>0</v>
      </c>
      <c r="K10" s="791" t="n">
        <f aca="false">'5.3 Running Parc - Dealer Area'!H11</f>
        <v>0</v>
      </c>
      <c r="L10" s="791" t="n">
        <f aca="false">'5.3 Running Parc - Dealer Area'!I11</f>
        <v>0</v>
      </c>
      <c r="M10" s="791" t="n">
        <f aca="false">'5.3 Running Parc - Dealer Area'!J11</f>
        <v>0</v>
      </c>
      <c r="N10" s="792" t="n">
        <f aca="false">SUM(D10:M10)</f>
        <v>0</v>
      </c>
      <c r="Q10" s="774" t="n">
        <v>75</v>
      </c>
      <c r="R10" s="793" t="n">
        <f aca="false">(('DAF Parts CPV (short)'!E10)*((1-'5.1 DAF Vehicle Parc Input'!$H$56/(1-'Calculation (short)'!$O$1)))*(1+$E$1)*(1+$I$1))</f>
        <v>1495.20686566639</v>
      </c>
      <c r="S10" s="793" t="n">
        <f aca="false">(('DAF Parts CPV (short)'!F10)*((1-'5.1 DAF Vehicle Parc Input'!$H$56/(1-'Calculation (short)'!$O$1)))*(1+$E$1)*(1+$I$1))</f>
        <v>1072.47212099256</v>
      </c>
      <c r="T10" s="793" t="n">
        <f aca="false">(('DAF Parts CPV (short)'!G10)*((1-'5.1 DAF Vehicle Parc Input'!$H$56/(1-'Calculation (short)'!$O$1)))*(1+$E$1)*(1+$I$1))</f>
        <v>2077.74838997964</v>
      </c>
      <c r="U10" s="793" t="n">
        <f aca="false">(('DAF Parts CPV (short)'!H10)*((1-'5.1 DAF Vehicle Parc Input'!$H$56/(1-'Calculation (short)'!$O$1)))*(1+$E$1)*(1+$I$1))</f>
        <v>2469.81792342657</v>
      </c>
      <c r="V10" s="793" t="n">
        <f aca="false">(('DAF Parts CPV (short)'!I10)*((1-'5.1 DAF Vehicle Parc Input'!$H$56/(1-'Calculation (short)'!$O$1)))*(1+$E$1)*(1+$I$1))</f>
        <v>2963.62307815397</v>
      </c>
      <c r="W10" s="793" t="n">
        <f aca="false">(('DAF Parts CPV (short)'!J10)*((1-'5.1 DAF Vehicle Parc Input'!$H$56/(1-'Calculation (short)'!$O$1)))*(1+$E$1)*(1+$I$1))</f>
        <v>2588.13216806461</v>
      </c>
      <c r="X10" s="793" t="n">
        <f aca="false">(('DAF Parts CPV (short)'!K10)*((1-'5.1 DAF Vehicle Parc Input'!$H$56/(1-'Calculation (short)'!$O$1)))*(1+$E$1)*(1+$I$1))</f>
        <v>2749.89042856865</v>
      </c>
      <c r="Y10" s="793" t="n">
        <f aca="false">(('DAF Parts CPV (short)'!L10)*((1-'5.1 DAF Vehicle Parc Input'!$H$56/(1-'Calculation (short)'!$O$1)))*(1+$E$1)*(1+$I$1))</f>
        <v>2911.64868907269</v>
      </c>
      <c r="Z10" s="793" t="n">
        <f aca="false">(('DAF Parts CPV (short)'!M10)*((1-'5.1 DAF Vehicle Parc Input'!$H$56/(1-'Calculation (short)'!$O$1)))*(1+$E$1)*(1+$I$1))</f>
        <v>3073.40694957673</v>
      </c>
      <c r="AA10" s="793" t="n">
        <f aca="false">(('DAF Parts CPV (short)'!N10)*((1-'5.1 DAF Vehicle Parc Input'!$H$56/(1-'Calculation (short)'!$O$1)))*(1+$E$1)*(1+$I$1))</f>
        <v>3235.16521008076</v>
      </c>
      <c r="AB10" s="793" t="n">
        <f aca="false">(('DAF Parts CPV (short)'!O10)*((1-'5.1 DAF Vehicle Parc Input'!$H$56/(1-'Calculation (short)'!$O$1)))*(1+$E$1)*(1+$I$1))</f>
        <v>3105.75860167753</v>
      </c>
      <c r="AC10" s="793" t="n">
        <f aca="false">(('DAF Parts CPV (short)'!P10)*((1-'5.1 DAF Vehicle Parc Input'!$H$56/(1-'Calculation (short)'!$O$1)))*(1+$E$1)*(1+$I$1))</f>
        <v>2976.3519932743</v>
      </c>
      <c r="AD10" s="793" t="n">
        <f aca="false">(('DAF Parts CPV (short)'!Q10)*((1-'5.1 DAF Vehicle Parc Input'!$H$56/(1-'Calculation (short)'!$O$1)))*(1+$E$1)*(1+$I$1))</f>
        <v>2846.94538487107</v>
      </c>
      <c r="AE10" s="793" t="n">
        <f aca="false">(('DAF Parts CPV (short)'!R10)*((1-'5.1 DAF Vehicle Parc Input'!$H$56/(1-'Calculation (short)'!$O$1)))*(1+$E$1)*(1+$I$1))</f>
        <v>2717.53877646784</v>
      </c>
      <c r="AF10" s="793" t="n">
        <f aca="false">(('DAF Parts CPV (short)'!S10)*((1-'5.1 DAF Vehicle Parc Input'!$H$56/(1-'Calculation (short)'!$O$1)))*(1+$E$1)*(1+$I$1))</f>
        <v>2588.13216806461</v>
      </c>
      <c r="AG10" s="794" t="n">
        <f aca="false">AVERAGE(R10:AF10)</f>
        <v>2591.4559165292</v>
      </c>
      <c r="AH10" s="795" t="n">
        <f aca="false">AG10</f>
        <v>2591.4559165292</v>
      </c>
      <c r="AJ10" s="796" t="n">
        <v>75</v>
      </c>
      <c r="AK10" s="797" t="n">
        <f aca="false">IF(AK$6&lt;=$E$2,1,0)</f>
        <v>1</v>
      </c>
      <c r="AL10" s="797" t="n">
        <f aca="false">IF(AL$6&lt;=$E$2,1,0)</f>
        <v>1</v>
      </c>
      <c r="AM10" s="797" t="n">
        <f aca="false">IF(AM$6&lt;=$E$2,1,0)</f>
        <v>1</v>
      </c>
      <c r="AN10" s="797" t="n">
        <f aca="false">IF(AN$6&lt;=$E$2,1,0)</f>
        <v>1</v>
      </c>
      <c r="AO10" s="797" t="n">
        <f aca="false">IF(AO$6&lt;=$E$2,1,0)</f>
        <v>1</v>
      </c>
      <c r="AP10" s="797" t="n">
        <f aca="false">IF(AP$6&lt;=$E$2,1,0)</f>
        <v>1</v>
      </c>
      <c r="AQ10" s="797" t="n">
        <f aca="false">IF(AQ$6&lt;=$E$2,1,0)</f>
        <v>1</v>
      </c>
      <c r="AR10" s="797" t="n">
        <f aca="false">IF(AR$6&lt;=$E$2,1,0)</f>
        <v>1</v>
      </c>
      <c r="AS10" s="797" t="n">
        <f aca="false">IF(AS$6&lt;=$E$2,1,0)</f>
        <v>1</v>
      </c>
      <c r="AT10" s="798" t="n">
        <f aca="false">IF(AT$6&lt;=$E$2,1,0)</f>
        <v>1</v>
      </c>
      <c r="AV10" s="774" t="n">
        <v>75</v>
      </c>
      <c r="AW10" s="793" t="n">
        <f aca="false">D10*R10*AK10</f>
        <v>0</v>
      </c>
      <c r="AX10" s="793" t="n">
        <f aca="false">E10*S10*AL10</f>
        <v>0</v>
      </c>
      <c r="AY10" s="793" t="n">
        <f aca="false">F10*T10*AM10</f>
        <v>0</v>
      </c>
      <c r="AZ10" s="793" t="n">
        <f aca="false">G10*U10*AN10</f>
        <v>0</v>
      </c>
      <c r="BA10" s="793" t="n">
        <f aca="false">H10*V10*AO10</f>
        <v>0</v>
      </c>
      <c r="BB10" s="793" t="n">
        <f aca="false">I10*W10*AP10</f>
        <v>0</v>
      </c>
      <c r="BC10" s="793" t="n">
        <f aca="false">J10*X10*AQ10</f>
        <v>0</v>
      </c>
      <c r="BD10" s="793" t="n">
        <f aca="false">K10*Y10*AR10</f>
        <v>0</v>
      </c>
      <c r="BE10" s="793" t="n">
        <f aca="false">L10*Z10*AS10</f>
        <v>0</v>
      </c>
      <c r="BF10" s="793" t="n">
        <f aca="false">M10*AA10*AT10</f>
        <v>0</v>
      </c>
      <c r="BG10" s="799" t="n">
        <f aca="false">SUM(AW10:BF10)</f>
        <v>0</v>
      </c>
      <c r="BH10" s="800" t="n">
        <f aca="false">BG10</f>
        <v>0</v>
      </c>
      <c r="BJ10" s="779" t="n">
        <v>75</v>
      </c>
      <c r="BK10" s="801" t="n">
        <f aca="false">R20*D10*AK10</f>
        <v>0</v>
      </c>
      <c r="BL10" s="801" t="n">
        <f aca="false">S20*E10*AL10</f>
        <v>0</v>
      </c>
      <c r="BM10" s="801" t="n">
        <f aca="false">T20*F10*AM10</f>
        <v>0</v>
      </c>
      <c r="BN10" s="801" t="n">
        <f aca="false">U20*G10*AN10</f>
        <v>0</v>
      </c>
      <c r="BO10" s="801" t="n">
        <f aca="false">V20*H10*AO10</f>
        <v>0</v>
      </c>
      <c r="BP10" s="801" t="n">
        <f aca="false">W20*I10*AP10</f>
        <v>0</v>
      </c>
      <c r="BQ10" s="801" t="n">
        <f aca="false">X20*J10*AQ10</f>
        <v>0</v>
      </c>
      <c r="BR10" s="801" t="n">
        <f aca="false">Y20*K10*AR10</f>
        <v>0</v>
      </c>
      <c r="BS10" s="801" t="n">
        <f aca="false">Z20*L10*AS10</f>
        <v>0</v>
      </c>
      <c r="BT10" s="801" t="n">
        <f aca="false">AA20*M10*AT10</f>
        <v>0</v>
      </c>
      <c r="BU10" s="802" t="n">
        <f aca="false">SUM(BK10:BT10)</f>
        <v>0</v>
      </c>
      <c r="BV10" s="803" t="n">
        <f aca="false">BU10</f>
        <v>0</v>
      </c>
      <c r="BX10" s="779" t="n">
        <v>75</v>
      </c>
      <c r="BY10" s="804" t="n">
        <f aca="false">D10*R41*AK10</f>
        <v>0</v>
      </c>
      <c r="BZ10" s="804" t="n">
        <f aca="false">E10*S41*AL10</f>
        <v>0</v>
      </c>
      <c r="CA10" s="804" t="n">
        <f aca="false">F10*T41*AM10</f>
        <v>0</v>
      </c>
      <c r="CB10" s="804" t="n">
        <f aca="false">G10*U41*AN10</f>
        <v>0</v>
      </c>
      <c r="CC10" s="804" t="n">
        <f aca="false">H10*V41*AO10</f>
        <v>0</v>
      </c>
      <c r="CD10" s="804" t="n">
        <f aca="false">I10*W41*AP10</f>
        <v>0</v>
      </c>
      <c r="CE10" s="804" t="n">
        <f aca="false">J10*X41*AQ10</f>
        <v>0</v>
      </c>
      <c r="CF10" s="804" t="n">
        <f aca="false">K10*Y41*AR10</f>
        <v>0</v>
      </c>
      <c r="CG10" s="804" t="n">
        <f aca="false">L10*Z41*AS10</f>
        <v>0</v>
      </c>
      <c r="CH10" s="804" t="n">
        <f aca="false">M10*AA41*AT10</f>
        <v>0</v>
      </c>
      <c r="CI10" s="805" t="n">
        <f aca="false">SUM(BY10:CH10)</f>
        <v>0</v>
      </c>
      <c r="CJ10" s="806" t="n">
        <f aca="false">CI10</f>
        <v>0</v>
      </c>
    </row>
    <row r="11" customFormat="false" ht="13.5" hidden="false" customHeight="false" outlineLevel="0" collapsed="false">
      <c r="B11" s="770"/>
      <c r="C11" s="768" t="n">
        <v>85</v>
      </c>
      <c r="D11" s="790" t="n">
        <f aca="false">'7.1 Dealer area'!C45</f>
        <v>10</v>
      </c>
      <c r="E11" s="791" t="n">
        <f aca="false">'5.3 Running Parc - Dealer Area'!B12</f>
        <v>0</v>
      </c>
      <c r="F11" s="791" t="n">
        <f aca="false">'5.3 Running Parc - Dealer Area'!C12</f>
        <v>0</v>
      </c>
      <c r="G11" s="791" t="n">
        <f aca="false">'5.3 Running Parc - Dealer Area'!D12</f>
        <v>0</v>
      </c>
      <c r="H11" s="791" t="n">
        <f aca="false">'5.3 Running Parc - Dealer Area'!E12</f>
        <v>0</v>
      </c>
      <c r="I11" s="791" t="n">
        <f aca="false">'5.3 Running Parc - Dealer Area'!F12</f>
        <v>0</v>
      </c>
      <c r="J11" s="791" t="n">
        <f aca="false">'5.3 Running Parc - Dealer Area'!G12</f>
        <v>0</v>
      </c>
      <c r="K11" s="791" t="n">
        <f aca="false">'5.3 Running Parc - Dealer Area'!H12</f>
        <v>0</v>
      </c>
      <c r="L11" s="791" t="n">
        <f aca="false">'5.3 Running Parc - Dealer Area'!I12</f>
        <v>0</v>
      </c>
      <c r="M11" s="791" t="n">
        <f aca="false">'5.3 Running Parc - Dealer Area'!J12</f>
        <v>0</v>
      </c>
      <c r="N11" s="792" t="n">
        <f aca="false">SUM(D11:M11)</f>
        <v>10</v>
      </c>
      <c r="Q11" s="774" t="n">
        <v>85</v>
      </c>
      <c r="R11" s="793" t="n">
        <f aca="false">(('DAF Parts CPV (short)'!E11)*((1-'5.1 DAF Vehicle Parc Input'!$H$56/(1-'Calculation (short)'!$O$1)))*(1+$E$1)*(1+$I$1))</f>
        <v>1672.61132097423</v>
      </c>
      <c r="S11" s="793" t="n">
        <f aca="false">(('DAF Parts CPV (short)'!F11)*((1-'5.1 DAF Vehicle Parc Input'!$H$56/(1-'Calculation (short)'!$O$1)))*(1+$E$1)*(1+$I$1))</f>
        <v>1479.59353094184</v>
      </c>
      <c r="T11" s="793" t="n">
        <f aca="false">(('DAF Parts CPV (short)'!G11)*((1-'5.1 DAF Vehicle Parc Input'!$H$56/(1-'Calculation (short)'!$O$1)))*(1+$E$1)*(1+$I$1))</f>
        <v>2520.15852258095</v>
      </c>
      <c r="U11" s="793" t="n">
        <f aca="false">(('DAF Parts CPV (short)'!H11)*((1-'5.1 DAF Vehicle Parc Input'!$H$56/(1-'Calculation (short)'!$O$1)))*(1+$E$1)*(1+$I$1))</f>
        <v>3059.35082180756</v>
      </c>
      <c r="V11" s="793" t="n">
        <f aca="false">(('DAF Parts CPV (short)'!I11)*((1-'5.1 DAF Vehicle Parc Input'!$H$56/(1-'Calculation (short)'!$O$1)))*(1+$E$1)*(1+$I$1))</f>
        <v>3492.09654370044</v>
      </c>
      <c r="W11" s="793" t="n">
        <f aca="false">(('DAF Parts CPV (short)'!J11)*((1-'5.1 DAF Vehicle Parc Input'!$H$56/(1-'Calculation (short)'!$O$1)))*(1+$E$1)*(1+$I$1))</f>
        <v>3558.04843261784</v>
      </c>
      <c r="X11" s="793" t="n">
        <f aca="false">(('DAF Parts CPV (short)'!K11)*((1-'5.1 DAF Vehicle Parc Input'!$H$56/(1-'Calculation (short)'!$O$1)))*(1+$E$1)*(1+$I$1))</f>
        <v>3780.42645965646</v>
      </c>
      <c r="Y11" s="793" t="n">
        <f aca="false">(('DAF Parts CPV (short)'!L11)*((1-'5.1 DAF Vehicle Parc Input'!$H$56/(1-'Calculation (short)'!$O$1)))*(1+$E$1)*(1+$I$1))</f>
        <v>4002.80448669507</v>
      </c>
      <c r="Z11" s="793" t="n">
        <f aca="false">(('DAF Parts CPV (short)'!M11)*((1-'5.1 DAF Vehicle Parc Input'!$H$56/(1-'Calculation (short)'!$O$1)))*(1+$E$1)*(1+$I$1))</f>
        <v>4225.18251373369</v>
      </c>
      <c r="AA11" s="793" t="n">
        <f aca="false">(('DAF Parts CPV (short)'!N11)*((1-'5.1 DAF Vehicle Parc Input'!$H$56/(1-'Calculation (short)'!$O$1)))*(1+$E$1)*(1+$I$1))</f>
        <v>4447.5605407723</v>
      </c>
      <c r="AB11" s="793" t="n">
        <f aca="false">(('DAF Parts CPV (short)'!O11)*((1-'5.1 DAF Vehicle Parc Input'!$H$56/(1-'Calculation (short)'!$O$1)))*(1+$E$1)*(1+$I$1))</f>
        <v>4269.65811914141</v>
      </c>
      <c r="AC11" s="793" t="n">
        <f aca="false">(('DAF Parts CPV (short)'!P11)*((1-'5.1 DAF Vehicle Parc Input'!$H$56/(1-'Calculation (short)'!$O$1)))*(1+$E$1)*(1+$I$1))</f>
        <v>4091.75569751052</v>
      </c>
      <c r="AD11" s="793" t="n">
        <f aca="false">(('DAF Parts CPV (short)'!Q11)*((1-'5.1 DAF Vehicle Parc Input'!$H$56/(1-'Calculation (short)'!$O$1)))*(1+$E$1)*(1+$I$1))</f>
        <v>3913.85327587963</v>
      </c>
      <c r="AE11" s="793" t="n">
        <f aca="false">(('DAF Parts CPV (short)'!R11)*((1-'5.1 DAF Vehicle Parc Input'!$H$56/(1-'Calculation (short)'!$O$1)))*(1+$E$1)*(1+$I$1))</f>
        <v>3735.95085424873</v>
      </c>
      <c r="AF11" s="793" t="n">
        <f aca="false">(('DAF Parts CPV (short)'!S11)*((1-'5.1 DAF Vehicle Parc Input'!$H$56/(1-'Calculation (short)'!$O$1)))*(1+$E$1)*(1+$I$1))</f>
        <v>3558.04843261784</v>
      </c>
      <c r="AG11" s="794" t="n">
        <f aca="false">AVERAGE(R11:AF11)</f>
        <v>3453.80663685857</v>
      </c>
      <c r="AH11" s="795" t="n">
        <f aca="false">AG11</f>
        <v>3453.80663685857</v>
      </c>
      <c r="AJ11" s="796" t="n">
        <v>85</v>
      </c>
      <c r="AK11" s="797" t="n">
        <f aca="false">IF(AK$6&lt;=$E$2,1,0)</f>
        <v>1</v>
      </c>
      <c r="AL11" s="797" t="n">
        <f aca="false">IF(AL$6&lt;=$E$2,1,0)</f>
        <v>1</v>
      </c>
      <c r="AM11" s="797" t="n">
        <f aca="false">IF(AM$6&lt;=$E$2,1,0)</f>
        <v>1</v>
      </c>
      <c r="AN11" s="797" t="n">
        <f aca="false">IF(AN$6&lt;=$E$2,1,0)</f>
        <v>1</v>
      </c>
      <c r="AO11" s="797" t="n">
        <f aca="false">IF(AO$6&lt;=$E$2,1,0)</f>
        <v>1</v>
      </c>
      <c r="AP11" s="797" t="n">
        <f aca="false">IF(AP$6&lt;=$E$2,1,0)</f>
        <v>1</v>
      </c>
      <c r="AQ11" s="797" t="n">
        <f aca="false">IF(AQ$6&lt;=$E$2,1,0)</f>
        <v>1</v>
      </c>
      <c r="AR11" s="797" t="n">
        <f aca="false">IF(AR$6&lt;=$E$2,1,0)</f>
        <v>1</v>
      </c>
      <c r="AS11" s="797" t="n">
        <f aca="false">IF(AS$6&lt;=$E$2,1,0)</f>
        <v>1</v>
      </c>
      <c r="AT11" s="798" t="n">
        <f aca="false">IF(AT$6&lt;=$E$2,1,0)</f>
        <v>1</v>
      </c>
      <c r="AV11" s="774" t="n">
        <v>85</v>
      </c>
      <c r="AW11" s="793" t="n">
        <f aca="false">D11*R11*AK11</f>
        <v>16726.1132097423</v>
      </c>
      <c r="AX11" s="793" t="n">
        <f aca="false">E11*S11*AL11</f>
        <v>0</v>
      </c>
      <c r="AY11" s="793" t="n">
        <f aca="false">F11*T11*AM11</f>
        <v>0</v>
      </c>
      <c r="AZ11" s="793" t="n">
        <f aca="false">G11*U11*AN11</f>
        <v>0</v>
      </c>
      <c r="BA11" s="793" t="n">
        <f aca="false">H11*V11*AO11</f>
        <v>0</v>
      </c>
      <c r="BB11" s="793" t="n">
        <f aca="false">I11*W11*AP11</f>
        <v>0</v>
      </c>
      <c r="BC11" s="793" t="n">
        <f aca="false">J11*X11*AQ11</f>
        <v>0</v>
      </c>
      <c r="BD11" s="793" t="n">
        <f aca="false">K11*Y11*AR11</f>
        <v>0</v>
      </c>
      <c r="BE11" s="793" t="n">
        <f aca="false">L11*Z11*AS11</f>
        <v>0</v>
      </c>
      <c r="BF11" s="793" t="n">
        <f aca="false">M11*AA11*AT11</f>
        <v>0</v>
      </c>
      <c r="BG11" s="799" t="n">
        <f aca="false">SUM(AW11:BF11)</f>
        <v>16726.1132097423</v>
      </c>
      <c r="BH11" s="800" t="n">
        <f aca="false">BG11</f>
        <v>16726.1132097423</v>
      </c>
      <c r="BJ11" s="779" t="n">
        <v>85</v>
      </c>
      <c r="BK11" s="801" t="n">
        <f aca="false">R21*D11*AK11</f>
        <v>233.913563091058</v>
      </c>
      <c r="BL11" s="801" t="n">
        <f aca="false">S21*E11*AL11</f>
        <v>0</v>
      </c>
      <c r="BM11" s="801" t="n">
        <f aca="false">T21*F11*AM11</f>
        <v>0</v>
      </c>
      <c r="BN11" s="801" t="n">
        <f aca="false">U21*G11*AN11</f>
        <v>0</v>
      </c>
      <c r="BO11" s="801" t="n">
        <f aca="false">V21*H11*AO11</f>
        <v>0</v>
      </c>
      <c r="BP11" s="801" t="n">
        <f aca="false">W21*I11*AP11</f>
        <v>0</v>
      </c>
      <c r="BQ11" s="801" t="n">
        <f aca="false">X21*J11*AQ11</f>
        <v>0</v>
      </c>
      <c r="BR11" s="801" t="n">
        <f aca="false">Y21*K11*AR11</f>
        <v>0</v>
      </c>
      <c r="BS11" s="801" t="n">
        <f aca="false">Z21*L11*AS11</f>
        <v>0</v>
      </c>
      <c r="BT11" s="801" t="n">
        <f aca="false">AA21*M11*AT11</f>
        <v>0</v>
      </c>
      <c r="BU11" s="802" t="n">
        <f aca="false">SUM(BK11:BT11)</f>
        <v>233.913563091058</v>
      </c>
      <c r="BV11" s="803" t="n">
        <f aca="false">BU11</f>
        <v>233.913563091058</v>
      </c>
      <c r="BX11" s="779" t="n">
        <v>85</v>
      </c>
      <c r="BY11" s="804" t="n">
        <f aca="false">D11*R42*AK11</f>
        <v>4640.91157894737</v>
      </c>
      <c r="BZ11" s="804" t="n">
        <f aca="false">E11*S42*AL11</f>
        <v>0</v>
      </c>
      <c r="CA11" s="804" t="n">
        <f aca="false">F11*T42*AM11</f>
        <v>0</v>
      </c>
      <c r="CB11" s="804" t="n">
        <f aca="false">G11*U42*AN11</f>
        <v>0</v>
      </c>
      <c r="CC11" s="804" t="n">
        <f aca="false">H11*V42*AO11</f>
        <v>0</v>
      </c>
      <c r="CD11" s="804" t="n">
        <f aca="false">I11*W42*AP11</f>
        <v>0</v>
      </c>
      <c r="CE11" s="804" t="n">
        <f aca="false">J11*X42*AQ11</f>
        <v>0</v>
      </c>
      <c r="CF11" s="804" t="n">
        <f aca="false">K11*Y42*AR11</f>
        <v>0</v>
      </c>
      <c r="CG11" s="804" t="n">
        <f aca="false">L11*Z42*AS11</f>
        <v>0</v>
      </c>
      <c r="CH11" s="804" t="n">
        <f aca="false">M11*AA42*AT11</f>
        <v>0</v>
      </c>
      <c r="CI11" s="805" t="n">
        <f aca="false">SUM(BY11:CH11)</f>
        <v>4640.91157894737</v>
      </c>
      <c r="CJ11" s="806" t="n">
        <f aca="false">CI11</f>
        <v>4640.91157894737</v>
      </c>
    </row>
    <row r="12" customFormat="false" ht="13.5" hidden="false" customHeight="false" outlineLevel="0" collapsed="false">
      <c r="B12" s="770"/>
      <c r="C12" s="768" t="n">
        <v>95</v>
      </c>
      <c r="D12" s="790" t="n">
        <f aca="false">0</f>
        <v>0</v>
      </c>
      <c r="E12" s="791" t="n">
        <f aca="false">'5.3 Running Parc - Dealer Area'!B13</f>
        <v>0</v>
      </c>
      <c r="F12" s="791" t="n">
        <f aca="false">'5.3 Running Parc - Dealer Area'!C13</f>
        <v>0</v>
      </c>
      <c r="G12" s="791" t="n">
        <f aca="false">'5.3 Running Parc - Dealer Area'!D13</f>
        <v>0</v>
      </c>
      <c r="H12" s="791" t="n">
        <f aca="false">'5.3 Running Parc - Dealer Area'!E13</f>
        <v>0</v>
      </c>
      <c r="I12" s="791" t="n">
        <f aca="false">'5.3 Running Parc - Dealer Area'!F13</f>
        <v>0</v>
      </c>
      <c r="J12" s="791" t="n">
        <f aca="false">'5.3 Running Parc - Dealer Area'!G13</f>
        <v>0</v>
      </c>
      <c r="K12" s="791" t="n">
        <f aca="false">'5.3 Running Parc - Dealer Area'!H13</f>
        <v>0</v>
      </c>
      <c r="L12" s="791" t="n">
        <f aca="false">'5.3 Running Parc - Dealer Area'!I13</f>
        <v>0</v>
      </c>
      <c r="M12" s="791" t="n">
        <f aca="false">'5.3 Running Parc - Dealer Area'!J13</f>
        <v>0</v>
      </c>
      <c r="N12" s="792" t="n">
        <f aca="false">SUM(D12:M12)</f>
        <v>0</v>
      </c>
      <c r="Q12" s="774" t="n">
        <v>95</v>
      </c>
      <c r="R12" s="793" t="n">
        <f aca="false">(('DAF Parts CPV (short)'!E12)*((1-'5.1 DAF Vehicle Parc Input'!$H$56/(1-'Calculation (short)'!$O$1)))*(1+$E$1)*(1+$I$1))</f>
        <v>1654.97176460349</v>
      </c>
      <c r="S12" s="793" t="n">
        <f aca="false">(('DAF Parts CPV (short)'!F12)*((1-'5.1 DAF Vehicle Parc Input'!$H$56/(1-'Calculation (short)'!$O$1)))*(1+$E$1)*(1+$I$1))</f>
        <v>1490.86521027396</v>
      </c>
      <c r="T12" s="793" t="n">
        <f aca="false">(('DAF Parts CPV (short)'!G12)*((1-'5.1 DAF Vehicle Parc Input'!$H$56/(1-'Calculation (short)'!$O$1)))*(1+$E$1)*(1+$I$1))</f>
        <v>2544.71191174538</v>
      </c>
      <c r="U12" s="793" t="n">
        <f aca="false">(('DAF Parts CPV (short)'!H12)*((1-'5.1 DAF Vehicle Parc Input'!$H$56/(1-'Calculation (short)'!$O$1)))*(1+$E$1)*(1+$I$1))</f>
        <v>3024.70900318655</v>
      </c>
      <c r="V12" s="793" t="n">
        <f aca="false">(('DAF Parts CPV (short)'!I12)*((1-'5.1 DAF Vehicle Parc Input'!$H$56/(1-'Calculation (short)'!$O$1)))*(1+$E$1)*(1+$I$1))</f>
        <v>2942.28709430774</v>
      </c>
      <c r="W12" s="793" t="n">
        <f aca="false">(('DAF Parts CPV (short)'!J12)*((1-'5.1 DAF Vehicle Parc Input'!$H$56/(1-'Calculation (short)'!$O$1)))*(1+$E$1)*(1+$I$1))</f>
        <v>2776.42527326079</v>
      </c>
      <c r="X12" s="793" t="n">
        <f aca="false">(('DAF Parts CPV (short)'!K12)*((1-'5.1 DAF Vehicle Parc Input'!$H$56/(1-'Calculation (short)'!$O$1)))*(1+$E$1)*(1+$I$1))</f>
        <v>2949.95185283959</v>
      </c>
      <c r="Y12" s="793" t="n">
        <f aca="false">(('DAF Parts CPV (short)'!L12)*((1-'5.1 DAF Vehicle Parc Input'!$H$56/(1-'Calculation (short)'!$O$1)))*(1+$E$1)*(1+$I$1))</f>
        <v>3123.47843241839</v>
      </c>
      <c r="Z12" s="793" t="n">
        <f aca="false">(('DAF Parts CPV (short)'!M12)*((1-'5.1 DAF Vehicle Parc Input'!$H$56/(1-'Calculation (short)'!$O$1)))*(1+$E$1)*(1+$I$1))</f>
        <v>3297.00501199719</v>
      </c>
      <c r="AA12" s="793" t="n">
        <f aca="false">(('DAF Parts CPV (short)'!N12)*((1-'5.1 DAF Vehicle Parc Input'!$H$56/(1-'Calculation (short)'!$O$1)))*(1+$E$1)*(1+$I$1))</f>
        <v>3470.53159157599</v>
      </c>
      <c r="AB12" s="793" t="n">
        <f aca="false">(('DAF Parts CPV (short)'!O12)*((1-'5.1 DAF Vehicle Parc Input'!$H$56/(1-'Calculation (short)'!$O$1)))*(1+$E$1)*(1+$I$1))</f>
        <v>3331.71032791295</v>
      </c>
      <c r="AC12" s="793" t="n">
        <f aca="false">(('DAF Parts CPV (short)'!P12)*((1-'5.1 DAF Vehicle Parc Input'!$H$56/(1-'Calculation (short)'!$O$1)))*(1+$E$1)*(1+$I$1))</f>
        <v>3192.88906424991</v>
      </c>
      <c r="AD12" s="793" t="n">
        <f aca="false">(('DAF Parts CPV (short)'!Q12)*((1-'5.1 DAF Vehicle Parc Input'!$H$56/(1-'Calculation (short)'!$O$1)))*(1+$E$1)*(1+$I$1))</f>
        <v>3054.06780058687</v>
      </c>
      <c r="AE12" s="793" t="n">
        <f aca="false">(('DAF Parts CPV (short)'!R12)*((1-'5.1 DAF Vehicle Parc Input'!$H$56/(1-'Calculation (short)'!$O$1)))*(1+$E$1)*(1+$I$1))</f>
        <v>2915.24653692384</v>
      </c>
      <c r="AF12" s="793" t="n">
        <f aca="false">(('DAF Parts CPV (short)'!S12)*((1-'5.1 DAF Vehicle Parc Input'!$H$56/(1-'Calculation (short)'!$O$1)))*(1+$E$1)*(1+$I$1))</f>
        <v>2776.42527326079</v>
      </c>
      <c r="AG12" s="794" t="n">
        <f aca="false">AVERAGE(R12:AF12)</f>
        <v>2836.35174327623</v>
      </c>
      <c r="AH12" s="795" t="n">
        <f aca="false">AG12</f>
        <v>2836.35174327623</v>
      </c>
      <c r="AJ12" s="796" t="n">
        <v>95</v>
      </c>
      <c r="AK12" s="797" t="n">
        <f aca="false">IF(AK$6&lt;=$E$2,1,0)</f>
        <v>1</v>
      </c>
      <c r="AL12" s="797" t="n">
        <f aca="false">IF(AL$6&lt;=$E$2,1,0)</f>
        <v>1</v>
      </c>
      <c r="AM12" s="797" t="n">
        <f aca="false">IF(AM$6&lt;=$E$2,1,0)</f>
        <v>1</v>
      </c>
      <c r="AN12" s="797" t="n">
        <f aca="false">IF(AN$6&lt;=$E$2,1,0)</f>
        <v>1</v>
      </c>
      <c r="AO12" s="797" t="n">
        <f aca="false">IF(AO$6&lt;=$E$2,1,0)</f>
        <v>1</v>
      </c>
      <c r="AP12" s="797" t="n">
        <f aca="false">IF(AP$6&lt;=$E$2,1,0)</f>
        <v>1</v>
      </c>
      <c r="AQ12" s="797" t="n">
        <f aca="false">IF(AQ$6&lt;=$E$2,1,0)</f>
        <v>1</v>
      </c>
      <c r="AR12" s="797" t="n">
        <f aca="false">IF(AR$6&lt;=$E$2,1,0)</f>
        <v>1</v>
      </c>
      <c r="AS12" s="797" t="n">
        <f aca="false">IF(AS$6&lt;=$E$2,1,0)</f>
        <v>1</v>
      </c>
      <c r="AT12" s="798" t="n">
        <f aca="false">IF(AT$6&lt;=$E$2,1,0)</f>
        <v>1</v>
      </c>
      <c r="AV12" s="774" t="n">
        <v>95</v>
      </c>
      <c r="AW12" s="793" t="n">
        <f aca="false">D12*R12*AK12</f>
        <v>0</v>
      </c>
      <c r="AX12" s="793" t="n">
        <f aca="false">E12*S12*AL12</f>
        <v>0</v>
      </c>
      <c r="AY12" s="793" t="n">
        <f aca="false">F12*T12*AM12</f>
        <v>0</v>
      </c>
      <c r="AZ12" s="793" t="n">
        <f aca="false">G12*U12*AN12</f>
        <v>0</v>
      </c>
      <c r="BA12" s="793" t="n">
        <f aca="false">H12*V12*AO12</f>
        <v>0</v>
      </c>
      <c r="BB12" s="793" t="n">
        <f aca="false">I12*W12*AP12</f>
        <v>0</v>
      </c>
      <c r="BC12" s="793" t="n">
        <f aca="false">J12*X12*AQ12</f>
        <v>0</v>
      </c>
      <c r="BD12" s="793" t="n">
        <f aca="false">K12*Y12*AR12</f>
        <v>0</v>
      </c>
      <c r="BE12" s="793" t="n">
        <f aca="false">L12*Z12*AS12</f>
        <v>0</v>
      </c>
      <c r="BF12" s="793" t="n">
        <f aca="false">M12*AA12*AT12</f>
        <v>0</v>
      </c>
      <c r="BG12" s="799" t="n">
        <f aca="false">SUM(AW12:BF12)</f>
        <v>0</v>
      </c>
      <c r="BH12" s="800" t="n">
        <f aca="false">BG12</f>
        <v>0</v>
      </c>
      <c r="BJ12" s="779" t="n">
        <v>95</v>
      </c>
      <c r="BK12" s="801" t="n">
        <f aca="false">R22*D12*AK12</f>
        <v>0</v>
      </c>
      <c r="BL12" s="801" t="n">
        <f aca="false">S22*E12*AL12</f>
        <v>0</v>
      </c>
      <c r="BM12" s="801" t="n">
        <f aca="false">T22*F12*AM12</f>
        <v>0</v>
      </c>
      <c r="BN12" s="801" t="n">
        <f aca="false">U22*G12*AN12</f>
        <v>0</v>
      </c>
      <c r="BO12" s="801" t="n">
        <f aca="false">V22*H12*AO12</f>
        <v>0</v>
      </c>
      <c r="BP12" s="801" t="n">
        <f aca="false">W22*I12*AP12</f>
        <v>0</v>
      </c>
      <c r="BQ12" s="801" t="n">
        <f aca="false">X22*J12*AQ12</f>
        <v>0</v>
      </c>
      <c r="BR12" s="801" t="n">
        <f aca="false">Y22*K12*AR12</f>
        <v>0</v>
      </c>
      <c r="BS12" s="801" t="n">
        <f aca="false">Z22*L12*AS12</f>
        <v>0</v>
      </c>
      <c r="BT12" s="801" t="n">
        <f aca="false">AA22*M12*AT12</f>
        <v>0</v>
      </c>
      <c r="BU12" s="802" t="n">
        <f aca="false">SUM(BK12:BT12)</f>
        <v>0</v>
      </c>
      <c r="BV12" s="803" t="n">
        <f aca="false">BU12</f>
        <v>0</v>
      </c>
      <c r="BX12" s="779" t="n">
        <v>95</v>
      </c>
      <c r="BY12" s="804" t="n">
        <f aca="false">D12*R43*AK12</f>
        <v>0</v>
      </c>
      <c r="BZ12" s="804" t="n">
        <f aca="false">E12*S43*AL12</f>
        <v>0</v>
      </c>
      <c r="CA12" s="804" t="n">
        <f aca="false">F12*T43*AM12</f>
        <v>0</v>
      </c>
      <c r="CB12" s="804" t="n">
        <f aca="false">G12*U43*AN12</f>
        <v>0</v>
      </c>
      <c r="CC12" s="804" t="n">
        <f aca="false">H12*V43*AO12</f>
        <v>0</v>
      </c>
      <c r="CD12" s="804" t="n">
        <f aca="false">I12*W43*AP12</f>
        <v>0</v>
      </c>
      <c r="CE12" s="804" t="n">
        <f aca="false">J12*X43*AQ12</f>
        <v>0</v>
      </c>
      <c r="CF12" s="804" t="n">
        <f aca="false">K12*Y43*AR12</f>
        <v>0</v>
      </c>
      <c r="CG12" s="804" t="n">
        <f aca="false">L12*Z43*AS12</f>
        <v>0</v>
      </c>
      <c r="CH12" s="804" t="n">
        <f aca="false">M12*AA43*AT12</f>
        <v>0</v>
      </c>
      <c r="CI12" s="805" t="n">
        <f aca="false">SUM(BY12:CH12)</f>
        <v>0</v>
      </c>
      <c r="CJ12" s="806" t="n">
        <f aca="false">CI12</f>
        <v>0</v>
      </c>
    </row>
    <row r="13" customFormat="false" ht="13.5" hidden="false" customHeight="false" outlineLevel="0" collapsed="false">
      <c r="B13" s="770"/>
      <c r="C13" s="768" t="n">
        <v>105</v>
      </c>
      <c r="D13" s="790" t="n">
        <f aca="false">'7.1 Dealer area'!C46</f>
        <v>0</v>
      </c>
      <c r="E13" s="791" t="n">
        <f aca="false">'5.3 Running Parc - Dealer Area'!B14</f>
        <v>0</v>
      </c>
      <c r="F13" s="791" t="n">
        <f aca="false">'5.3 Running Parc - Dealer Area'!C14</f>
        <v>0</v>
      </c>
      <c r="G13" s="791" t="n">
        <f aca="false">'5.3 Running Parc - Dealer Area'!D14</f>
        <v>0</v>
      </c>
      <c r="H13" s="791" t="n">
        <f aca="false">'5.3 Running Parc - Dealer Area'!E14</f>
        <v>0</v>
      </c>
      <c r="I13" s="791" t="n">
        <f aca="false">'5.3 Running Parc - Dealer Area'!F14</f>
        <v>0</v>
      </c>
      <c r="J13" s="791" t="n">
        <f aca="false">'5.3 Running Parc - Dealer Area'!G14</f>
        <v>0</v>
      </c>
      <c r="K13" s="791" t="n">
        <f aca="false">'5.3 Running Parc - Dealer Area'!H14</f>
        <v>0</v>
      </c>
      <c r="L13" s="791" t="n">
        <f aca="false">'5.3 Running Parc - Dealer Area'!I14</f>
        <v>0</v>
      </c>
      <c r="M13" s="791" t="n">
        <f aca="false">'5.3 Running Parc - Dealer Area'!J14</f>
        <v>0</v>
      </c>
      <c r="N13" s="792" t="n">
        <f aca="false">SUM(D13:M13)</f>
        <v>0</v>
      </c>
      <c r="Q13" s="774" t="n">
        <v>105</v>
      </c>
      <c r="R13" s="793" t="n">
        <f aca="false">(('DAF Parts CPV (short)'!E13)*((1-'5.1 DAF Vehicle Parc Input'!$H$56/(1-'Calculation (short)'!$O$1)))*(1+$E$1)*(1+$I$1))</f>
        <v>1684.42738956078</v>
      </c>
      <c r="S13" s="793" t="n">
        <f aca="false">(('DAF Parts CPV (short)'!F13)*((1-'5.1 DAF Vehicle Parc Input'!$H$56/(1-'Calculation (short)'!$O$1)))*(1+$E$1)*(1+$I$1))</f>
        <v>1725.09447200515</v>
      </c>
      <c r="T13" s="793" t="n">
        <f aca="false">(('DAF Parts CPV (short)'!G13)*((1-'5.1 DAF Vehicle Parc Input'!$H$56/(1-'Calculation (short)'!$O$1)))*(1+$E$1)*(1+$I$1))</f>
        <v>1782.12826154353</v>
      </c>
      <c r="U13" s="793" t="n">
        <f aca="false">(('DAF Parts CPV (short)'!H13)*((1-'5.1 DAF Vehicle Parc Input'!$H$56/(1-'Calculation (short)'!$O$1)))*(1+$E$1)*(1+$I$1))</f>
        <v>3024.70900318655</v>
      </c>
      <c r="V13" s="793" t="n">
        <f aca="false">(('DAF Parts CPV (short)'!I13)*((1-'5.1 DAF Vehicle Parc Input'!$H$56/(1-'Calculation (short)'!$O$1)))*(1+$E$1)*(1+$I$1))</f>
        <v>2942.28709430774</v>
      </c>
      <c r="W13" s="793" t="n">
        <f aca="false">(('DAF Parts CPV (short)'!J13)*((1-'5.1 DAF Vehicle Parc Input'!$H$56/(1-'Calculation (short)'!$O$1)))*(1+$E$1)*(1+$I$1))</f>
        <v>2776.42527326079</v>
      </c>
      <c r="X13" s="793" t="n">
        <f aca="false">(('DAF Parts CPV (short)'!K13)*((1-'5.1 DAF Vehicle Parc Input'!$H$56/(1-'Calculation (short)'!$O$1)))*(1+$E$1)*(1+$I$1))</f>
        <v>2949.95185283959</v>
      </c>
      <c r="Y13" s="793" t="n">
        <f aca="false">(('DAF Parts CPV (short)'!L13)*((1-'5.1 DAF Vehicle Parc Input'!$H$56/(1-'Calculation (short)'!$O$1)))*(1+$E$1)*(1+$I$1))</f>
        <v>3123.47843241839</v>
      </c>
      <c r="Z13" s="793" t="n">
        <f aca="false">(('DAF Parts CPV (short)'!M13)*((1-'5.1 DAF Vehicle Parc Input'!$H$56/(1-'Calculation (short)'!$O$1)))*(1+$E$1)*(1+$I$1))</f>
        <v>3297.00501199719</v>
      </c>
      <c r="AA13" s="793" t="n">
        <f aca="false">(('DAF Parts CPV (short)'!N13)*((1-'5.1 DAF Vehicle Parc Input'!$H$56/(1-'Calculation (short)'!$O$1)))*(1+$E$1)*(1+$I$1))</f>
        <v>3470.53159157599</v>
      </c>
      <c r="AB13" s="793" t="n">
        <f aca="false">(('DAF Parts CPV (short)'!O13)*((1-'5.1 DAF Vehicle Parc Input'!$H$56/(1-'Calculation (short)'!$O$1)))*(1+$E$1)*(1+$I$1))</f>
        <v>3331.71032791295</v>
      </c>
      <c r="AC13" s="793" t="n">
        <f aca="false">(('DAF Parts CPV (short)'!P13)*((1-'5.1 DAF Vehicle Parc Input'!$H$56/(1-'Calculation (short)'!$O$1)))*(1+$E$1)*(1+$I$1))</f>
        <v>3192.88906424991</v>
      </c>
      <c r="AD13" s="793" t="n">
        <f aca="false">(('DAF Parts CPV (short)'!Q13)*((1-'5.1 DAF Vehicle Parc Input'!$H$56/(1-'Calculation (short)'!$O$1)))*(1+$E$1)*(1+$I$1))</f>
        <v>3054.06780058687</v>
      </c>
      <c r="AE13" s="793" t="n">
        <f aca="false">(('DAF Parts CPV (short)'!R13)*((1-'5.1 DAF Vehicle Parc Input'!$H$56/(1-'Calculation (short)'!$O$1)))*(1+$E$1)*(1+$I$1))</f>
        <v>2915.24653692384</v>
      </c>
      <c r="AF13" s="793" t="n">
        <f aca="false">(('DAF Parts CPV (short)'!S13)*((1-'5.1 DAF Vehicle Parc Input'!$H$56/(1-'Calculation (short)'!$O$1)))*(1+$E$1)*(1+$I$1))</f>
        <v>2776.42527326079</v>
      </c>
      <c r="AG13" s="794" t="n">
        <f aca="false">AVERAGE(R13:AF13)</f>
        <v>2803.09182570867</v>
      </c>
      <c r="AH13" s="795" t="n">
        <f aca="false">AG13</f>
        <v>2803.09182570867</v>
      </c>
      <c r="AJ13" s="796" t="n">
        <v>105</v>
      </c>
      <c r="AK13" s="797" t="n">
        <f aca="false">IF(AK$6&lt;=$E$2,1,0)</f>
        <v>1</v>
      </c>
      <c r="AL13" s="797" t="n">
        <f aca="false">IF(AL$6&lt;=$E$2,1,0)</f>
        <v>1</v>
      </c>
      <c r="AM13" s="797" t="n">
        <f aca="false">IF(AM$6&lt;=$E$2,1,0)</f>
        <v>1</v>
      </c>
      <c r="AN13" s="797" t="n">
        <f aca="false">IF(AN$6&lt;=$E$2,1,0)</f>
        <v>1</v>
      </c>
      <c r="AO13" s="797" t="n">
        <f aca="false">IF(AO$6&lt;=$E$2,1,0)</f>
        <v>1</v>
      </c>
      <c r="AP13" s="797" t="n">
        <f aca="false">IF(AP$6&lt;=$E$2,1,0)</f>
        <v>1</v>
      </c>
      <c r="AQ13" s="797" t="n">
        <f aca="false">IF(AQ$6&lt;=$E$2,1,0)</f>
        <v>1</v>
      </c>
      <c r="AR13" s="797" t="n">
        <f aca="false">IF(AR$6&lt;=$E$2,1,0)</f>
        <v>1</v>
      </c>
      <c r="AS13" s="797" t="n">
        <f aca="false">IF(AS$6&lt;=$E$2,1,0)</f>
        <v>1</v>
      </c>
      <c r="AT13" s="798" t="n">
        <f aca="false">IF(AT$6&lt;=$E$2,1,0)</f>
        <v>1</v>
      </c>
      <c r="AV13" s="774" t="n">
        <v>105</v>
      </c>
      <c r="AW13" s="793" t="n">
        <f aca="false">D13*R13*AK13</f>
        <v>0</v>
      </c>
      <c r="AX13" s="793" t="n">
        <f aca="false">E13*S13*AL13</f>
        <v>0</v>
      </c>
      <c r="AY13" s="793" t="n">
        <f aca="false">F13*T13*AM13</f>
        <v>0</v>
      </c>
      <c r="AZ13" s="793" t="n">
        <f aca="false">G13*U13*AN13</f>
        <v>0</v>
      </c>
      <c r="BA13" s="793" t="n">
        <f aca="false">H13*V13*AO13</f>
        <v>0</v>
      </c>
      <c r="BB13" s="793" t="n">
        <f aca="false">I13*W13*AP13</f>
        <v>0</v>
      </c>
      <c r="BC13" s="793" t="n">
        <f aca="false">J13*X13*AQ13</f>
        <v>0</v>
      </c>
      <c r="BD13" s="793" t="n">
        <f aca="false">K13*Y13*AR13</f>
        <v>0</v>
      </c>
      <c r="BE13" s="793" t="n">
        <f aca="false">L13*Z13*AS13</f>
        <v>0</v>
      </c>
      <c r="BF13" s="793" t="n">
        <f aca="false">M13*AA13*AT13</f>
        <v>0</v>
      </c>
      <c r="BG13" s="799" t="n">
        <f aca="false">SUM(AW13:BF13)</f>
        <v>0</v>
      </c>
      <c r="BH13" s="800" t="n">
        <f aca="false">BG13</f>
        <v>0</v>
      </c>
      <c r="BJ13" s="779" t="n">
        <v>105</v>
      </c>
      <c r="BK13" s="801" t="n">
        <f aca="false">R23*D13*AK13</f>
        <v>0</v>
      </c>
      <c r="BL13" s="801" t="n">
        <f aca="false">S23*E13*AL13</f>
        <v>0</v>
      </c>
      <c r="BM13" s="801" t="n">
        <f aca="false">T23*F13*AM13</f>
        <v>0</v>
      </c>
      <c r="BN13" s="801" t="n">
        <f aca="false">U23*G13*AN13</f>
        <v>0</v>
      </c>
      <c r="BO13" s="801" t="n">
        <f aca="false">V23*H13*AO13</f>
        <v>0</v>
      </c>
      <c r="BP13" s="801" t="n">
        <f aca="false">W23*I13*AP13</f>
        <v>0</v>
      </c>
      <c r="BQ13" s="801" t="n">
        <f aca="false">X23*J13*AQ13</f>
        <v>0</v>
      </c>
      <c r="BR13" s="801" t="n">
        <f aca="false">Y23*K13*AR13</f>
        <v>0</v>
      </c>
      <c r="BS13" s="801" t="n">
        <f aca="false">Z23*L13*AS13</f>
        <v>0</v>
      </c>
      <c r="BT13" s="801" t="n">
        <f aca="false">AA23*M13*AT13</f>
        <v>0</v>
      </c>
      <c r="BU13" s="802" t="n">
        <f aca="false">SUM(BK13:BT13)</f>
        <v>0</v>
      </c>
      <c r="BV13" s="803" t="n">
        <f aca="false">BU13</f>
        <v>0</v>
      </c>
      <c r="BX13" s="779" t="n">
        <v>105</v>
      </c>
      <c r="BY13" s="804" t="n">
        <f aca="false">D13*R44*AK13</f>
        <v>0</v>
      </c>
      <c r="BZ13" s="804" t="n">
        <f aca="false">E13*S44*AL13</f>
        <v>0</v>
      </c>
      <c r="CA13" s="804" t="n">
        <f aca="false">F13*T44*AM13</f>
        <v>0</v>
      </c>
      <c r="CB13" s="804" t="n">
        <f aca="false">G13*U44*AN13</f>
        <v>0</v>
      </c>
      <c r="CC13" s="804" t="n">
        <f aca="false">H13*V44*AO13</f>
        <v>0</v>
      </c>
      <c r="CD13" s="804" t="n">
        <f aca="false">I13*W44*AP13</f>
        <v>0</v>
      </c>
      <c r="CE13" s="804" t="n">
        <f aca="false">J13*X44*AQ13</f>
        <v>0</v>
      </c>
      <c r="CF13" s="804" t="n">
        <f aca="false">K13*Y44*AR13</f>
        <v>0</v>
      </c>
      <c r="CG13" s="804" t="n">
        <f aca="false">L13*Z44*AS13</f>
        <v>0</v>
      </c>
      <c r="CH13" s="804" t="n">
        <f aca="false">M13*AA44*AT13</f>
        <v>0</v>
      </c>
      <c r="CI13" s="805" t="n">
        <f aca="false">SUM(BY13:CH13)</f>
        <v>0</v>
      </c>
      <c r="CJ13" s="806" t="n">
        <f aca="false">CI13</f>
        <v>0</v>
      </c>
    </row>
    <row r="14" customFormat="false" ht="13.5" hidden="false" customHeight="false" outlineLevel="0" collapsed="false">
      <c r="B14" s="770"/>
      <c r="C14" s="807"/>
      <c r="D14" s="808" t="n">
        <f aca="false">SUM(D7:D13)</f>
        <v>10</v>
      </c>
      <c r="E14" s="808" t="n">
        <f aca="false">SUM(E7:E13)</f>
        <v>0</v>
      </c>
      <c r="F14" s="808" t="n">
        <f aca="false">SUM(F7:F13)</f>
        <v>0</v>
      </c>
      <c r="G14" s="808" t="n">
        <f aca="false">SUM(G7:G13)</f>
        <v>0</v>
      </c>
      <c r="H14" s="808" t="n">
        <f aca="false">SUM(H7:H13)</f>
        <v>0</v>
      </c>
      <c r="I14" s="808" t="n">
        <f aca="false">SUM(I7:I13)</f>
        <v>0</v>
      </c>
      <c r="J14" s="808" t="n">
        <f aca="false">SUM(J7:J13)</f>
        <v>0</v>
      </c>
      <c r="K14" s="808" t="n">
        <f aca="false">SUM(K7:K13)</f>
        <v>0</v>
      </c>
      <c r="L14" s="808" t="n">
        <f aca="false">SUM(L7:L13)</f>
        <v>0</v>
      </c>
      <c r="M14" s="808" t="n">
        <f aca="false">SUM(M7:M13)</f>
        <v>0</v>
      </c>
      <c r="N14" s="808" t="n">
        <f aca="false">SUM(N7:N13)</f>
        <v>10</v>
      </c>
      <c r="Q14" s="809"/>
      <c r="R14" s="794"/>
      <c r="S14" s="794"/>
      <c r="T14" s="794"/>
      <c r="U14" s="794"/>
      <c r="V14" s="794"/>
      <c r="W14" s="794"/>
      <c r="X14" s="794"/>
      <c r="Y14" s="794"/>
      <c r="Z14" s="794"/>
      <c r="AA14" s="794"/>
      <c r="AB14" s="794"/>
      <c r="AC14" s="794"/>
      <c r="AD14" s="794"/>
      <c r="AE14" s="794"/>
      <c r="AF14" s="794"/>
      <c r="AG14" s="794"/>
      <c r="AH14" s="795" t="n">
        <f aca="false">SUM(AH7:AH13)</f>
        <v>18602.9578226834</v>
      </c>
      <c r="AJ14" s="810"/>
      <c r="AK14" s="811"/>
      <c r="AL14" s="811"/>
      <c r="AM14" s="811"/>
      <c r="AN14" s="811"/>
      <c r="AO14" s="811"/>
      <c r="AP14" s="811"/>
      <c r="AQ14" s="811"/>
      <c r="AR14" s="811"/>
      <c r="AS14" s="811"/>
      <c r="AT14" s="812"/>
      <c r="AV14" s="809"/>
      <c r="AW14" s="794"/>
      <c r="AX14" s="794"/>
      <c r="AY14" s="794"/>
      <c r="AZ14" s="794"/>
      <c r="BA14" s="794"/>
      <c r="BB14" s="794"/>
      <c r="BC14" s="794"/>
      <c r="BD14" s="794"/>
      <c r="BE14" s="794"/>
      <c r="BF14" s="794"/>
      <c r="BG14" s="799"/>
      <c r="BH14" s="800" t="n">
        <f aca="false">SUM(BH7:BH13)</f>
        <v>16726.1132097423</v>
      </c>
      <c r="BJ14" s="774"/>
      <c r="BK14" s="793"/>
      <c r="BL14" s="793"/>
      <c r="BM14" s="793"/>
      <c r="BN14" s="793"/>
      <c r="BO14" s="793"/>
      <c r="BP14" s="793"/>
      <c r="BQ14" s="793"/>
      <c r="BR14" s="793"/>
      <c r="BS14" s="793"/>
      <c r="BT14" s="793"/>
      <c r="BU14" s="805"/>
      <c r="BV14" s="806" t="n">
        <f aca="false">SUM(BV7:BV13)</f>
        <v>233.913563091058</v>
      </c>
      <c r="BX14" s="813"/>
      <c r="BY14" s="814"/>
      <c r="BZ14" s="814"/>
      <c r="CA14" s="814"/>
      <c r="CB14" s="814"/>
      <c r="CC14" s="814"/>
      <c r="CD14" s="814"/>
      <c r="CE14" s="814"/>
      <c r="CF14" s="814"/>
      <c r="CG14" s="814"/>
      <c r="CH14" s="814"/>
      <c r="CI14" s="805"/>
      <c r="CJ14" s="806" t="n">
        <f aca="false">SUM(CJ7:CJ13)</f>
        <v>4640.91157894737</v>
      </c>
    </row>
    <row r="15" customFormat="false" ht="13.5" hidden="false" customHeight="false" outlineLevel="0" collapsed="false">
      <c r="B15" s="767" t="s">
        <v>505</v>
      </c>
      <c r="C15" s="815" t="n">
        <f aca="false">'Reference sheet'!C18+1</f>
        <v>2019</v>
      </c>
      <c r="D15" s="769"/>
      <c r="E15" s="770"/>
      <c r="F15" s="770"/>
      <c r="G15" s="770"/>
      <c r="H15" s="770"/>
      <c r="I15" s="770"/>
      <c r="J15" s="770"/>
      <c r="K15" s="770"/>
      <c r="L15" s="770"/>
      <c r="M15" s="770"/>
      <c r="N15" s="770"/>
      <c r="Q15" s="774" t="s">
        <v>174</v>
      </c>
      <c r="R15" s="775" t="s">
        <v>502</v>
      </c>
      <c r="S15" s="775"/>
      <c r="T15" s="775"/>
      <c r="U15" s="775"/>
      <c r="V15" s="775"/>
      <c r="W15" s="775"/>
      <c r="X15" s="775"/>
      <c r="Y15" s="775"/>
      <c r="Z15" s="775"/>
      <c r="AA15" s="775"/>
      <c r="AB15" s="775"/>
      <c r="AC15" s="775"/>
      <c r="AD15" s="775"/>
      <c r="AE15" s="775"/>
      <c r="AF15" s="775"/>
      <c r="AG15" s="763"/>
      <c r="AH15" s="776"/>
      <c r="AV15" s="774" t="n">
        <f aca="false">AV5+1</f>
        <v>2019</v>
      </c>
      <c r="AW15" s="775" t="s">
        <v>501</v>
      </c>
      <c r="AX15" s="763"/>
      <c r="AY15" s="763"/>
      <c r="AZ15" s="763"/>
      <c r="BA15" s="763"/>
      <c r="BB15" s="763"/>
      <c r="BC15" s="763"/>
      <c r="BD15" s="763"/>
      <c r="BE15" s="763"/>
      <c r="BF15" s="763"/>
      <c r="BG15" s="816"/>
      <c r="BH15" s="800"/>
      <c r="BJ15" s="779" t="n">
        <f aca="false">AV15</f>
        <v>2019</v>
      </c>
      <c r="BK15" s="780" t="s">
        <v>502</v>
      </c>
      <c r="BL15" s="780"/>
      <c r="BM15" s="780"/>
      <c r="BN15" s="780"/>
      <c r="BO15" s="780"/>
      <c r="BP15" s="780"/>
      <c r="BQ15" s="780"/>
      <c r="BR15" s="780"/>
      <c r="BS15" s="780"/>
      <c r="BT15" s="780"/>
      <c r="BX15" s="779" t="s">
        <v>174</v>
      </c>
      <c r="BY15" s="783" t="s">
        <v>503</v>
      </c>
      <c r="BZ15" s="783"/>
      <c r="CA15" s="783"/>
      <c r="CB15" s="783"/>
      <c r="CC15" s="783"/>
      <c r="CD15" s="783"/>
      <c r="CE15" s="783"/>
      <c r="CF15" s="783"/>
      <c r="CG15" s="783"/>
      <c r="CH15" s="783"/>
      <c r="CI15" s="783"/>
      <c r="CJ15" s="783"/>
      <c r="CK15" s="783"/>
      <c r="CL15" s="783"/>
      <c r="CM15" s="783"/>
      <c r="CN15" s="763"/>
    </row>
    <row r="16" customFormat="false" ht="13.5" hidden="false" customHeight="false" outlineLevel="0" collapsed="false">
      <c r="B16" s="770" t="s">
        <v>500</v>
      </c>
      <c r="C16" s="784"/>
      <c r="D16" s="785" t="n">
        <f aca="false">D6+1</f>
        <v>2019</v>
      </c>
      <c r="E16" s="786" t="n">
        <f aca="false">D16-1</f>
        <v>2018</v>
      </c>
      <c r="F16" s="786" t="n">
        <f aca="false">E16-1</f>
        <v>2017</v>
      </c>
      <c r="G16" s="786" t="n">
        <f aca="false">F16-1</f>
        <v>2016</v>
      </c>
      <c r="H16" s="786" t="n">
        <f aca="false">G16-1</f>
        <v>2015</v>
      </c>
      <c r="I16" s="786" t="n">
        <f aca="false">H16-1</f>
        <v>2014</v>
      </c>
      <c r="J16" s="786" t="n">
        <f aca="false">I16-1</f>
        <v>2013</v>
      </c>
      <c r="K16" s="786" t="n">
        <f aca="false">J16-1</f>
        <v>2012</v>
      </c>
      <c r="L16" s="786" t="n">
        <f aca="false">K16-1</f>
        <v>2011</v>
      </c>
      <c r="M16" s="786" t="n">
        <f aca="false">L16-1</f>
        <v>2010</v>
      </c>
      <c r="N16" s="786" t="s">
        <v>504</v>
      </c>
      <c r="Q16" s="787" t="s">
        <v>298</v>
      </c>
      <c r="R16" s="775" t="s">
        <v>299</v>
      </c>
      <c r="S16" s="775" t="s">
        <v>300</v>
      </c>
      <c r="T16" s="775" t="s">
        <v>301</v>
      </c>
      <c r="U16" s="775" t="s">
        <v>302</v>
      </c>
      <c r="V16" s="775" t="s">
        <v>303</v>
      </c>
      <c r="W16" s="775" t="s">
        <v>304</v>
      </c>
      <c r="X16" s="775" t="s">
        <v>305</v>
      </c>
      <c r="Y16" s="775" t="s">
        <v>306</v>
      </c>
      <c r="Z16" s="775" t="s">
        <v>307</v>
      </c>
      <c r="AA16" s="775" t="s">
        <v>308</v>
      </c>
      <c r="AB16" s="775" t="s">
        <v>309</v>
      </c>
      <c r="AC16" s="775" t="s">
        <v>310</v>
      </c>
      <c r="AD16" s="775" t="s">
        <v>311</v>
      </c>
      <c r="AE16" s="775" t="s">
        <v>312</v>
      </c>
      <c r="AF16" s="775" t="s">
        <v>313</v>
      </c>
      <c r="AG16" s="775"/>
      <c r="AH16" s="776"/>
      <c r="AV16" s="787" t="s">
        <v>298</v>
      </c>
      <c r="AW16" s="775" t="n">
        <f aca="false">AW6+1</f>
        <v>2019</v>
      </c>
      <c r="AX16" s="775" t="n">
        <f aca="false">AW16-1</f>
        <v>2018</v>
      </c>
      <c r="AY16" s="775" t="n">
        <f aca="false">AX16-1</f>
        <v>2017</v>
      </c>
      <c r="AZ16" s="775" t="n">
        <f aca="false">AY16-1</f>
        <v>2016</v>
      </c>
      <c r="BA16" s="775" t="n">
        <f aca="false">AZ16-1</f>
        <v>2015</v>
      </c>
      <c r="BB16" s="775" t="n">
        <f aca="false">BA16-1</f>
        <v>2014</v>
      </c>
      <c r="BC16" s="775" t="n">
        <f aca="false">BB16-1</f>
        <v>2013</v>
      </c>
      <c r="BD16" s="775" t="n">
        <f aca="false">BC16-1</f>
        <v>2012</v>
      </c>
      <c r="BE16" s="775" t="n">
        <f aca="false">BD16-1</f>
        <v>2011</v>
      </c>
      <c r="BF16" s="775" t="n">
        <f aca="false">BE16-1</f>
        <v>2010</v>
      </c>
      <c r="BG16" s="817"/>
      <c r="BH16" s="800"/>
      <c r="BJ16" s="780" t="s">
        <v>298</v>
      </c>
      <c r="BK16" s="780" t="n">
        <f aca="false">AW16</f>
        <v>2019</v>
      </c>
      <c r="BL16" s="780" t="n">
        <f aca="false">AX16</f>
        <v>2018</v>
      </c>
      <c r="BM16" s="780" t="n">
        <f aca="false">AY16</f>
        <v>2017</v>
      </c>
      <c r="BN16" s="780" t="n">
        <f aca="false">AZ16</f>
        <v>2016</v>
      </c>
      <c r="BO16" s="780" t="n">
        <f aca="false">BA16</f>
        <v>2015</v>
      </c>
      <c r="BP16" s="780" t="n">
        <f aca="false">BB16</f>
        <v>2014</v>
      </c>
      <c r="BQ16" s="780" t="n">
        <f aca="false">BC16</f>
        <v>2013</v>
      </c>
      <c r="BR16" s="780" t="n">
        <f aca="false">BD16</f>
        <v>2012</v>
      </c>
      <c r="BS16" s="780" t="n">
        <f aca="false">BE16</f>
        <v>2011</v>
      </c>
      <c r="BT16" s="780" t="n">
        <f aca="false">BF16</f>
        <v>2010</v>
      </c>
      <c r="BX16" s="780" t="s">
        <v>298</v>
      </c>
      <c r="BY16" s="780" t="n">
        <f aca="false">C15</f>
        <v>2019</v>
      </c>
      <c r="BZ16" s="780" t="n">
        <f aca="false">BY16-1</f>
        <v>2018</v>
      </c>
      <c r="CA16" s="780" t="n">
        <f aca="false">BZ16-1</f>
        <v>2017</v>
      </c>
      <c r="CB16" s="780" t="n">
        <f aca="false">CA16-1</f>
        <v>2016</v>
      </c>
      <c r="CC16" s="780" t="n">
        <f aca="false">CB16-1</f>
        <v>2015</v>
      </c>
      <c r="CD16" s="780" t="n">
        <f aca="false">CC16-1</f>
        <v>2014</v>
      </c>
      <c r="CE16" s="780" t="n">
        <f aca="false">CD16-1</f>
        <v>2013</v>
      </c>
      <c r="CF16" s="780" t="n">
        <f aca="false">CE16-1</f>
        <v>2012</v>
      </c>
      <c r="CG16" s="780" t="n">
        <f aca="false">CF16-1</f>
        <v>2011</v>
      </c>
      <c r="CH16" s="780" t="n">
        <f aca="false">CG16-1</f>
        <v>2010</v>
      </c>
      <c r="CI16" s="780"/>
      <c r="CJ16" s="782"/>
    </row>
    <row r="17" customFormat="false" ht="13.5" hidden="false" customHeight="false" outlineLevel="0" collapsed="false">
      <c r="B17" s="770"/>
      <c r="C17" s="786" t="n">
        <v>45</v>
      </c>
      <c r="D17" s="790" t="n">
        <f aca="false">'7.1 Dealer area'!E39</f>
        <v>0</v>
      </c>
      <c r="E17" s="818" t="n">
        <f aca="false">D7</f>
        <v>0</v>
      </c>
      <c r="F17" s="818" t="n">
        <f aca="false">E7</f>
        <v>0</v>
      </c>
      <c r="G17" s="818" t="n">
        <f aca="false">F7</f>
        <v>0</v>
      </c>
      <c r="H17" s="818" t="n">
        <f aca="false">G7</f>
        <v>0</v>
      </c>
      <c r="I17" s="818" t="n">
        <f aca="false">H7</f>
        <v>0</v>
      </c>
      <c r="J17" s="818" t="n">
        <f aca="false">I7</f>
        <v>0</v>
      </c>
      <c r="K17" s="818" t="n">
        <f aca="false">J7</f>
        <v>0</v>
      </c>
      <c r="L17" s="818" t="n">
        <f aca="false">K7</f>
        <v>0</v>
      </c>
      <c r="M17" s="818" t="n">
        <f aca="false">L7</f>
        <v>0</v>
      </c>
      <c r="N17" s="808" t="n">
        <f aca="false">SUM(D17:M17)</f>
        <v>0</v>
      </c>
      <c r="Q17" s="774" t="n">
        <v>45</v>
      </c>
      <c r="R17" s="819" t="n">
        <f aca="false">('DAF Labour CPV (short)'!E7)*((1-'5.1 DAF Vehicle Parc Input'!$H$56)/(1-'Calculation (short)'!$O$1))*(1+$I$1)</f>
        <v>17.6443607860927</v>
      </c>
      <c r="S17" s="819" t="n">
        <f aca="false">('DAF Labour CPV (short)'!F7)*((1-'5.1 DAF Vehicle Parc Input'!$H$56)/(1-'Calculation (short)'!$O$1))*(1+$I$1)</f>
        <v>17.331537294196</v>
      </c>
      <c r="T17" s="819" t="n">
        <f aca="false">('DAF Labour CPV (short)'!G7)*((1-'5.1 DAF Vehicle Parc Input'!$H$56)/(1-'Calculation (short)'!$O$1))*(1+$I$1)</f>
        <v>24.1397449180316</v>
      </c>
      <c r="U17" s="819" t="n">
        <f aca="false">('DAF Labour CPV (short)'!H7)*((1-'5.1 DAF Vehicle Parc Input'!$H$56)/(1-'Calculation (short)'!$O$1))*(1+$I$1)</f>
        <v>24.9657024026552</v>
      </c>
      <c r="V17" s="819" t="n">
        <f aca="false">('DAF Labour CPV (short)'!I7)*((1-'5.1 DAF Vehicle Parc Input'!$H$56)/(1-'Calculation (short)'!$O$1))*(1+$I$1)</f>
        <v>25.5934386920412</v>
      </c>
      <c r="W17" s="819" t="n">
        <f aca="false">('DAF Labour CPV (short)'!J7)*((1-'5.1 DAF Vehicle Parc Input'!$H$56)/(1-'Calculation (short)'!$O$1))*(1+$I$1)</f>
        <v>22.514128155656</v>
      </c>
      <c r="X17" s="819" t="n">
        <f aca="false">('DAF Labour CPV (short)'!K7)*((1-'5.1 DAF Vehicle Parc Input'!$H$56)/(1-'Calculation (short)'!$O$1))*(1+$I$1)</f>
        <v>23.9212611653845</v>
      </c>
      <c r="Y17" s="819" t="n">
        <f aca="false">('DAF Labour CPV (short)'!L7)*((1-'5.1 DAF Vehicle Parc Input'!$H$56)/(1-'Calculation (short)'!$O$1))*(1+$I$1)</f>
        <v>25.328394175113</v>
      </c>
      <c r="Z17" s="819" t="n">
        <f aca="false">('DAF Labour CPV (short)'!M7)*((1-'5.1 DAF Vehicle Parc Input'!$H$56)/(1-'Calculation (short)'!$O$1))*(1+$I$1)</f>
        <v>26.7355271848415</v>
      </c>
      <c r="AA17" s="819" t="n">
        <f aca="false">('DAF Labour CPV (short)'!N7)*((1-'5.1 DAF Vehicle Parc Input'!$H$56)/(1-'Calculation (short)'!$O$1))*(1+$I$1)</f>
        <v>28.14266019457</v>
      </c>
      <c r="AB17" s="819" t="n">
        <f aca="false">('DAF Labour CPV (short)'!O7)*((1-'5.1 DAF Vehicle Parc Input'!$H$56)/(1-'Calculation (short)'!$O$1))*(1+$I$1)</f>
        <v>27.0169537867872</v>
      </c>
      <c r="AC17" s="819" t="n">
        <f aca="false">('DAF Labour CPV (short)'!P7)*((1-'5.1 DAF Vehicle Parc Input'!$H$56)/(1-'Calculation (short)'!$O$1))*(1+$I$1)</f>
        <v>25.8912473790044</v>
      </c>
      <c r="AD17" s="819" t="n">
        <f aca="false">('DAF Labour CPV (short)'!Q7)*((1-'5.1 DAF Vehicle Parc Input'!$H$56)/(1-'Calculation (short)'!$O$1))*(1+$I$1)</f>
        <v>24.7655409712216</v>
      </c>
      <c r="AE17" s="819" t="n">
        <f aca="false">('DAF Labour CPV (short)'!R7)*((1-'5.1 DAF Vehicle Parc Input'!$H$56)/(1-'Calculation (short)'!$O$1))*(1+$I$1)</f>
        <v>23.6398345634388</v>
      </c>
      <c r="AF17" s="819" t="n">
        <f aca="false">('DAF Labour CPV (short)'!S7)*((1-'5.1 DAF Vehicle Parc Input'!$H$56)/(1-'Calculation (short)'!$O$1))*(1+$I$1)</f>
        <v>22.514128155656</v>
      </c>
      <c r="AG17" s="820" t="n">
        <f aca="false">AVERAGE(R17:AF17)</f>
        <v>24.0096306549793</v>
      </c>
      <c r="AH17" s="821" t="n">
        <f aca="false">AG17</f>
        <v>24.0096306549793</v>
      </c>
      <c r="AV17" s="774" t="n">
        <v>45</v>
      </c>
      <c r="AW17" s="793" t="n">
        <f aca="false">D17*R7*AK7</f>
        <v>0</v>
      </c>
      <c r="AX17" s="793" t="n">
        <f aca="false">E17*S7*AL7</f>
        <v>0</v>
      </c>
      <c r="AY17" s="793" t="n">
        <f aca="false">F17*T7*AM7</f>
        <v>0</v>
      </c>
      <c r="AZ17" s="793" t="n">
        <f aca="false">G17*U7*AN7</f>
        <v>0</v>
      </c>
      <c r="BA17" s="793" t="n">
        <f aca="false">H17*V7*AO7</f>
        <v>0</v>
      </c>
      <c r="BB17" s="793" t="n">
        <f aca="false">I17*W7*AP7</f>
        <v>0</v>
      </c>
      <c r="BC17" s="793" t="n">
        <f aca="false">J17*X7*AQ7</f>
        <v>0</v>
      </c>
      <c r="BD17" s="793" t="n">
        <f aca="false">K17*Y7*AR7</f>
        <v>0</v>
      </c>
      <c r="BE17" s="793" t="n">
        <f aca="false">L17*Z7*AS7</f>
        <v>0</v>
      </c>
      <c r="BF17" s="793" t="n">
        <f aca="false">M17*AA7*AT7</f>
        <v>0</v>
      </c>
      <c r="BG17" s="799" t="n">
        <f aca="false">SUM(AW17:BF17)</f>
        <v>0</v>
      </c>
      <c r="BH17" s="800" t="n">
        <f aca="false">BG17</f>
        <v>0</v>
      </c>
      <c r="BJ17" s="779" t="n">
        <v>45</v>
      </c>
      <c r="BK17" s="801" t="n">
        <f aca="false">R17*D17*AK7</f>
        <v>0</v>
      </c>
      <c r="BL17" s="801" t="n">
        <f aca="false">S17*E17*AL7</f>
        <v>0</v>
      </c>
      <c r="BM17" s="801" t="n">
        <f aca="false">T17*F17*AM7</f>
        <v>0</v>
      </c>
      <c r="BN17" s="801" t="n">
        <f aca="false">U17*G17*AN7</f>
        <v>0</v>
      </c>
      <c r="BO17" s="801" t="n">
        <f aca="false">V17*H17*AO7</f>
        <v>0</v>
      </c>
      <c r="BP17" s="801" t="n">
        <f aca="false">W17*I17*AP7</f>
        <v>0</v>
      </c>
      <c r="BQ17" s="801" t="n">
        <f aca="false">X17*J17*AQ7</f>
        <v>0</v>
      </c>
      <c r="BR17" s="801" t="n">
        <f aca="false">Y17*K17*AR7</f>
        <v>0</v>
      </c>
      <c r="BS17" s="801" t="n">
        <f aca="false">Z17*L17*AS7</f>
        <v>0</v>
      </c>
      <c r="BT17" s="801" t="n">
        <f aca="false">AA17*M17*AT7</f>
        <v>0</v>
      </c>
      <c r="BU17" s="802" t="n">
        <f aca="false">SUM(BK17:BT17)</f>
        <v>0</v>
      </c>
      <c r="BV17" s="803" t="n">
        <f aca="false">BU17</f>
        <v>0</v>
      </c>
      <c r="BX17" s="779" t="n">
        <v>45</v>
      </c>
      <c r="BY17" s="804" t="n">
        <f aca="false">D17*R38*AK7</f>
        <v>0</v>
      </c>
      <c r="BZ17" s="804" t="n">
        <f aca="false">E17*S38*AL7</f>
        <v>0</v>
      </c>
      <c r="CA17" s="804" t="n">
        <f aca="false">F17*T38*AM7</f>
        <v>0</v>
      </c>
      <c r="CB17" s="804" t="n">
        <f aca="false">G17*U38*AN7</f>
        <v>0</v>
      </c>
      <c r="CC17" s="804" t="n">
        <f aca="false">H17*V38*AO7</f>
        <v>0</v>
      </c>
      <c r="CD17" s="804" t="n">
        <f aca="false">I17*W38*AP7</f>
        <v>0</v>
      </c>
      <c r="CE17" s="804" t="n">
        <f aca="false">J17*X38*AQ7</f>
        <v>0</v>
      </c>
      <c r="CF17" s="804" t="n">
        <f aca="false">K17*Y38*AR7</f>
        <v>0</v>
      </c>
      <c r="CG17" s="804" t="n">
        <f aca="false">L17*Z38*AS7</f>
        <v>0</v>
      </c>
      <c r="CH17" s="804" t="n">
        <f aca="false">M17*AA38*AT7</f>
        <v>0</v>
      </c>
      <c r="CI17" s="805" t="n">
        <f aca="false">SUM(BY17:CH17)</f>
        <v>0</v>
      </c>
      <c r="CJ17" s="806" t="n">
        <f aca="false">CI17</f>
        <v>0</v>
      </c>
    </row>
    <row r="18" customFormat="false" ht="13.5" hidden="false" customHeight="false" outlineLevel="0" collapsed="false">
      <c r="B18" s="770"/>
      <c r="C18" s="786" t="n">
        <v>55</v>
      </c>
      <c r="D18" s="790" t="n">
        <f aca="false">'7.1 Dealer area'!E40</f>
        <v>0</v>
      </c>
      <c r="E18" s="818" t="n">
        <f aca="false">D8</f>
        <v>0</v>
      </c>
      <c r="F18" s="818" t="n">
        <f aca="false">E8</f>
        <v>0</v>
      </c>
      <c r="G18" s="818" t="n">
        <f aca="false">F8</f>
        <v>0</v>
      </c>
      <c r="H18" s="818" t="n">
        <f aca="false">G8</f>
        <v>0</v>
      </c>
      <c r="I18" s="818" t="n">
        <f aca="false">H8</f>
        <v>0</v>
      </c>
      <c r="J18" s="818" t="n">
        <f aca="false">I8</f>
        <v>0</v>
      </c>
      <c r="K18" s="818" t="n">
        <f aca="false">J8</f>
        <v>0</v>
      </c>
      <c r="L18" s="818" t="n">
        <f aca="false">K8</f>
        <v>0</v>
      </c>
      <c r="M18" s="818" t="n">
        <f aca="false">L8</f>
        <v>0</v>
      </c>
      <c r="N18" s="808" t="n">
        <f aca="false">SUM(D18:M18)</f>
        <v>0</v>
      </c>
      <c r="Q18" s="774" t="n">
        <v>55</v>
      </c>
      <c r="R18" s="819" t="n">
        <f aca="false">('DAF Labour CPV (short)'!E8)*((1-'5.1 DAF Vehicle Parc Input'!$H$56)/(1-'Calculation (short)'!$O$1))*(1+$I$1)</f>
        <v>19.6825995930232</v>
      </c>
      <c r="S18" s="819" t="n">
        <f aca="false">('DAF Labour CPV (short)'!F8)*((1-'5.1 DAF Vehicle Parc Input'!$H$56)/(1-'Calculation (short)'!$O$1))*(1+$I$1)</f>
        <v>13.9597375892035</v>
      </c>
      <c r="T18" s="819" t="n">
        <f aca="false">('DAF Labour CPV (short)'!G8)*((1-'5.1 DAF Vehicle Parc Input'!$H$56)/(1-'Calculation (short)'!$O$1))*(1+$I$1)</f>
        <v>20.4943890893568</v>
      </c>
      <c r="U18" s="819" t="n">
        <f aca="false">('DAF Labour CPV (short)'!H8)*((1-'5.1 DAF Vehicle Parc Input'!$H$56)/(1-'Calculation (short)'!$O$1))*(1+$I$1)</f>
        <v>23.251271958669</v>
      </c>
      <c r="V18" s="819" t="n">
        <f aca="false">('DAF Labour CPV (short)'!I8)*((1-'5.1 DAF Vehicle Parc Input'!$H$56)/(1-'Calculation (short)'!$O$1))*(1+$I$1)</f>
        <v>26.6356834200115</v>
      </c>
      <c r="W18" s="819" t="n">
        <f aca="false">('DAF Labour CPV (short)'!J8)*((1-'5.1 DAF Vehicle Parc Input'!$H$56)/(1-'Calculation (short)'!$O$1))*(1+$I$1)</f>
        <v>29.7073708532505</v>
      </c>
      <c r="X18" s="819" t="n">
        <f aca="false">('DAF Labour CPV (short)'!K8)*((1-'5.1 DAF Vehicle Parc Input'!$H$56)/(1-'Calculation (short)'!$O$1))*(1+$I$1)</f>
        <v>31.5640815315787</v>
      </c>
      <c r="Y18" s="819" t="n">
        <f aca="false">('DAF Labour CPV (short)'!L8)*((1-'5.1 DAF Vehicle Parc Input'!$H$56)/(1-'Calculation (short)'!$O$1))*(1+$I$1)</f>
        <v>33.4207922099068</v>
      </c>
      <c r="Z18" s="819" t="n">
        <f aca="false">('DAF Labour CPV (short)'!M8)*((1-'5.1 DAF Vehicle Parc Input'!$H$56)/(1-'Calculation (short)'!$O$1))*(1+$I$1)</f>
        <v>35.277502888235</v>
      </c>
      <c r="AA18" s="819" t="n">
        <f aca="false">('DAF Labour CPV (short)'!N8)*((1-'5.1 DAF Vehicle Parc Input'!$H$56)/(1-'Calculation (short)'!$O$1))*(1+$I$1)</f>
        <v>37.1342135665632</v>
      </c>
      <c r="AB18" s="819" t="n">
        <f aca="false">('DAF Labour CPV (short)'!O8)*((1-'5.1 DAF Vehicle Parc Input'!$H$56)/(1-'Calculation (short)'!$O$1))*(1+$I$1)</f>
        <v>35.6488450239006</v>
      </c>
      <c r="AC18" s="819" t="n">
        <f aca="false">('DAF Labour CPV (short)'!P8)*((1-'5.1 DAF Vehicle Parc Input'!$H$56)/(1-'Calculation (short)'!$O$1))*(1+$I$1)</f>
        <v>34.1634764812381</v>
      </c>
      <c r="AD18" s="819" t="n">
        <f aca="false">('DAF Labour CPV (short)'!Q8)*((1-'5.1 DAF Vehicle Parc Input'!$H$56)/(1-'Calculation (short)'!$O$1))*(1+$I$1)</f>
        <v>32.6781079385756</v>
      </c>
      <c r="AE18" s="819" t="n">
        <f aca="false">('DAF Labour CPV (short)'!R8)*((1-'5.1 DAF Vehicle Parc Input'!$H$56)/(1-'Calculation (short)'!$O$1))*(1+$I$1)</f>
        <v>31.1927393959131</v>
      </c>
      <c r="AF18" s="819" t="n">
        <f aca="false">('DAF Labour CPV (short)'!S8)*((1-'5.1 DAF Vehicle Parc Input'!$H$56)/(1-'Calculation (short)'!$O$1))*(1+$I$1)</f>
        <v>29.7073708532505</v>
      </c>
      <c r="AG18" s="820" t="n">
        <f aca="false">AVERAGE(R18:AF18)</f>
        <v>28.9678788261784</v>
      </c>
      <c r="AH18" s="821" t="n">
        <f aca="false">AG18</f>
        <v>28.9678788261784</v>
      </c>
      <c r="AV18" s="774" t="n">
        <v>55</v>
      </c>
      <c r="AW18" s="793" t="n">
        <f aca="false">D18*R8*AK8</f>
        <v>0</v>
      </c>
      <c r="AX18" s="793" t="n">
        <f aca="false">E18*S8*AL8</f>
        <v>0</v>
      </c>
      <c r="AY18" s="793" t="n">
        <f aca="false">F18*T8*AM8</f>
        <v>0</v>
      </c>
      <c r="AZ18" s="793" t="n">
        <f aca="false">G18*U8*AN8</f>
        <v>0</v>
      </c>
      <c r="BA18" s="793" t="n">
        <f aca="false">H18*V8*AO8</f>
        <v>0</v>
      </c>
      <c r="BB18" s="793" t="n">
        <f aca="false">I18*W8*AP8</f>
        <v>0</v>
      </c>
      <c r="BC18" s="793" t="n">
        <f aca="false">J18*X8*AQ8</f>
        <v>0</v>
      </c>
      <c r="BD18" s="793" t="n">
        <f aca="false">K18*Y8*AR8</f>
        <v>0</v>
      </c>
      <c r="BE18" s="793" t="n">
        <f aca="false">L18*Z8*AS8</f>
        <v>0</v>
      </c>
      <c r="BF18" s="793" t="n">
        <f aca="false">M18*AA8*AT8</f>
        <v>0</v>
      </c>
      <c r="BG18" s="799" t="n">
        <f aca="false">SUM(AW18:BF18)</f>
        <v>0</v>
      </c>
      <c r="BH18" s="800" t="n">
        <f aca="false">BG18</f>
        <v>0</v>
      </c>
      <c r="BJ18" s="779" t="n">
        <v>55</v>
      </c>
      <c r="BK18" s="801" t="n">
        <f aca="false">R18*D18*AK8</f>
        <v>0</v>
      </c>
      <c r="BL18" s="801" t="n">
        <f aca="false">S18*E18*AL8</f>
        <v>0</v>
      </c>
      <c r="BM18" s="801" t="n">
        <f aca="false">T18*F18*AM8</f>
        <v>0</v>
      </c>
      <c r="BN18" s="801" t="n">
        <f aca="false">U18*G18*AN8</f>
        <v>0</v>
      </c>
      <c r="BO18" s="801" t="n">
        <f aca="false">V18*H18*AO8</f>
        <v>0</v>
      </c>
      <c r="BP18" s="801" t="n">
        <f aca="false">W18*I18*AP8</f>
        <v>0</v>
      </c>
      <c r="BQ18" s="801" t="n">
        <f aca="false">X18*J18*AQ8</f>
        <v>0</v>
      </c>
      <c r="BR18" s="801" t="n">
        <f aca="false">Y18*K18*AR8</f>
        <v>0</v>
      </c>
      <c r="BS18" s="801" t="n">
        <f aca="false">Z18*L18*AS8</f>
        <v>0</v>
      </c>
      <c r="BT18" s="801" t="n">
        <f aca="false">AA18*M18*AT8</f>
        <v>0</v>
      </c>
      <c r="BU18" s="802" t="n">
        <f aca="false">SUM(BK18:BT18)</f>
        <v>0</v>
      </c>
      <c r="BV18" s="803" t="n">
        <f aca="false">BU18</f>
        <v>0</v>
      </c>
      <c r="BX18" s="779" t="n">
        <v>55</v>
      </c>
      <c r="BY18" s="804" t="n">
        <f aca="false">D18*R39*AK8</f>
        <v>0</v>
      </c>
      <c r="BZ18" s="804" t="n">
        <f aca="false">E18*S39*AL8</f>
        <v>0</v>
      </c>
      <c r="CA18" s="804" t="n">
        <f aca="false">F18*T39*AM8</f>
        <v>0</v>
      </c>
      <c r="CB18" s="804" t="n">
        <f aca="false">G18*U39*AN8</f>
        <v>0</v>
      </c>
      <c r="CC18" s="804" t="n">
        <f aca="false">H18*V39*AO8</f>
        <v>0</v>
      </c>
      <c r="CD18" s="804" t="n">
        <f aca="false">I18*W39*AP8</f>
        <v>0</v>
      </c>
      <c r="CE18" s="804" t="n">
        <f aca="false">J18*X39*AQ8</f>
        <v>0</v>
      </c>
      <c r="CF18" s="804" t="n">
        <f aca="false">K18*Y39*AR8</f>
        <v>0</v>
      </c>
      <c r="CG18" s="804" t="n">
        <f aca="false">L18*Z39*AS8</f>
        <v>0</v>
      </c>
      <c r="CH18" s="804" t="n">
        <f aca="false">M18*AA39*AT8</f>
        <v>0</v>
      </c>
      <c r="CI18" s="805" t="n">
        <f aca="false">SUM(BY18:CH18)</f>
        <v>0</v>
      </c>
      <c r="CJ18" s="806" t="n">
        <f aca="false">CI18</f>
        <v>0</v>
      </c>
    </row>
    <row r="19" customFormat="false" ht="13.5" hidden="false" customHeight="false" outlineLevel="0" collapsed="false">
      <c r="B19" s="770"/>
      <c r="C19" s="786" t="n">
        <v>65</v>
      </c>
      <c r="D19" s="790" t="n">
        <f aca="false">'7.1 Dealer area'!E43</f>
        <v>0</v>
      </c>
      <c r="E19" s="818" t="n">
        <f aca="false">D9</f>
        <v>0</v>
      </c>
      <c r="F19" s="818" t="n">
        <f aca="false">E9</f>
        <v>0</v>
      </c>
      <c r="G19" s="818" t="n">
        <f aca="false">F9</f>
        <v>0</v>
      </c>
      <c r="H19" s="818" t="n">
        <f aca="false">G9</f>
        <v>0</v>
      </c>
      <c r="I19" s="818" t="n">
        <f aca="false">H9</f>
        <v>0</v>
      </c>
      <c r="J19" s="818" t="n">
        <f aca="false">I9</f>
        <v>0</v>
      </c>
      <c r="K19" s="818" t="n">
        <f aca="false">J9</f>
        <v>0</v>
      </c>
      <c r="L19" s="818" t="n">
        <f aca="false">K9</f>
        <v>0</v>
      </c>
      <c r="M19" s="818" t="n">
        <f aca="false">L9</f>
        <v>0</v>
      </c>
      <c r="N19" s="808" t="n">
        <f aca="false">SUM(D19:M19)</f>
        <v>0</v>
      </c>
      <c r="Q19" s="774" t="n">
        <v>65</v>
      </c>
      <c r="R19" s="819" t="n">
        <f aca="false">('DAF Labour CPV (short)'!E9)*((1-'5.1 DAF Vehicle Parc Input'!$H$56)/(1-'Calculation (short)'!$O$1))*(1+$I$1)</f>
        <v>16.5805063898429</v>
      </c>
      <c r="S19" s="819" t="n">
        <f aca="false">('DAF Labour CPV (short)'!F9)*((1-'5.1 DAF Vehicle Parc Input'!$H$56)/(1-'Calculation (short)'!$O$1))*(1+$I$1)</f>
        <v>11.9399797096698</v>
      </c>
      <c r="T19" s="819" t="n">
        <f aca="false">('DAF Labour CPV (short)'!G9)*((1-'5.1 DAF Vehicle Parc Input'!$H$56)/(1-'Calculation (short)'!$O$1))*(1+$I$1)</f>
        <v>19.7000829291619</v>
      </c>
      <c r="U19" s="819" t="n">
        <f aca="false">('DAF Labour CPV (short)'!H9)*((1-'5.1 DAF Vehicle Parc Input'!$H$56)/(1-'Calculation (short)'!$O$1))*(1+$I$1)</f>
        <v>22.5178503800619</v>
      </c>
      <c r="V19" s="819" t="n">
        <f aca="false">('DAF Labour CPV (short)'!I9)*((1-'5.1 DAF Vehicle Parc Input'!$H$56)/(1-'Calculation (short)'!$O$1))*(1+$I$1)</f>
        <v>26.031602489839</v>
      </c>
      <c r="W19" s="819" t="n">
        <f aca="false">('DAF Labour CPV (short)'!J9)*((1-'5.1 DAF Vehicle Parc Input'!$H$56)/(1-'Calculation (short)'!$O$1))*(1+$I$1)</f>
        <v>30.0379750583537</v>
      </c>
      <c r="X19" s="819" t="n">
        <f aca="false">('DAF Labour CPV (short)'!K9)*((1-'5.1 DAF Vehicle Parc Input'!$H$56)/(1-'Calculation (short)'!$O$1))*(1+$I$1)</f>
        <v>31.9153484995008</v>
      </c>
      <c r="Y19" s="819" t="n">
        <f aca="false">('DAF Labour CPV (short)'!L9)*((1-'5.1 DAF Vehicle Parc Input'!$H$56)/(1-'Calculation (short)'!$O$1))*(1+$I$1)</f>
        <v>33.792721940648</v>
      </c>
      <c r="Z19" s="819" t="n">
        <f aca="false">('DAF Labour CPV (short)'!M9)*((1-'5.1 DAF Vehicle Parc Input'!$H$56)/(1-'Calculation (short)'!$O$1))*(1+$I$1)</f>
        <v>35.6700953817951</v>
      </c>
      <c r="AA19" s="819" t="n">
        <f aca="false">('DAF Labour CPV (short)'!N9)*((1-'5.1 DAF Vehicle Parc Input'!$H$56)/(1-'Calculation (short)'!$O$1))*(1+$I$1)</f>
        <v>37.5474688229422</v>
      </c>
      <c r="AB19" s="819" t="n">
        <f aca="false">('DAF Labour CPV (short)'!O9)*((1-'5.1 DAF Vehicle Parc Input'!$H$56)/(1-'Calculation (short)'!$O$1))*(1+$I$1)</f>
        <v>36.0455700700245</v>
      </c>
      <c r="AC19" s="819" t="n">
        <f aca="false">('DAF Labour CPV (short)'!P9)*((1-'5.1 DAF Vehicle Parc Input'!$H$56)/(1-'Calculation (short)'!$O$1))*(1+$I$1)</f>
        <v>34.5436713171068</v>
      </c>
      <c r="AD19" s="819" t="n">
        <f aca="false">('DAF Labour CPV (short)'!Q9)*((1-'5.1 DAF Vehicle Parc Input'!$H$56)/(1-'Calculation (short)'!$O$1))*(1+$I$1)</f>
        <v>33.0417725641891</v>
      </c>
      <c r="AE19" s="819" t="n">
        <f aca="false">('DAF Labour CPV (short)'!R9)*((1-'5.1 DAF Vehicle Parc Input'!$H$56)/(1-'Calculation (short)'!$O$1))*(1+$I$1)</f>
        <v>31.5398738112714</v>
      </c>
      <c r="AF19" s="819" t="n">
        <f aca="false">('DAF Labour CPV (short)'!S9)*((1-'5.1 DAF Vehicle Parc Input'!$H$56)/(1-'Calculation (short)'!$O$1))*(1+$I$1)</f>
        <v>30.0379750583537</v>
      </c>
      <c r="AG19" s="820" t="n">
        <f aca="false">AVERAGE(R19:AF19)</f>
        <v>28.729499628184</v>
      </c>
      <c r="AH19" s="821" t="n">
        <f aca="false">AG19</f>
        <v>28.729499628184</v>
      </c>
      <c r="AV19" s="774" t="n">
        <v>65</v>
      </c>
      <c r="AW19" s="793" t="n">
        <f aca="false">D19*R9*AK9</f>
        <v>0</v>
      </c>
      <c r="AX19" s="793" t="n">
        <f aca="false">E19*S9*AL9</f>
        <v>0</v>
      </c>
      <c r="AY19" s="793" t="n">
        <f aca="false">F19*T9*AM9</f>
        <v>0</v>
      </c>
      <c r="AZ19" s="793" t="n">
        <f aca="false">G19*U9*AN9</f>
        <v>0</v>
      </c>
      <c r="BA19" s="793" t="n">
        <f aca="false">H19*V9*AO9</f>
        <v>0</v>
      </c>
      <c r="BB19" s="793" t="n">
        <f aca="false">I19*W9*AP9</f>
        <v>0</v>
      </c>
      <c r="BC19" s="793" t="n">
        <f aca="false">J19*X9*AQ9</f>
        <v>0</v>
      </c>
      <c r="BD19" s="793" t="n">
        <f aca="false">K19*Y9*AR9</f>
        <v>0</v>
      </c>
      <c r="BE19" s="793" t="n">
        <f aca="false">L19*Z9*AS9</f>
        <v>0</v>
      </c>
      <c r="BF19" s="793" t="n">
        <f aca="false">M19*AA9*AT9</f>
        <v>0</v>
      </c>
      <c r="BG19" s="799" t="n">
        <f aca="false">SUM(AW19:BF19)</f>
        <v>0</v>
      </c>
      <c r="BH19" s="800" t="n">
        <f aca="false">BG19</f>
        <v>0</v>
      </c>
      <c r="BJ19" s="779" t="n">
        <v>65</v>
      </c>
      <c r="BK19" s="801" t="n">
        <f aca="false">R19*D19*AK9</f>
        <v>0</v>
      </c>
      <c r="BL19" s="801" t="n">
        <f aca="false">S19*E19*AL9</f>
        <v>0</v>
      </c>
      <c r="BM19" s="801" t="n">
        <f aca="false">T19*F19*AM9</f>
        <v>0</v>
      </c>
      <c r="BN19" s="801" t="n">
        <f aca="false">U19*G19*AN9</f>
        <v>0</v>
      </c>
      <c r="BO19" s="801" t="n">
        <f aca="false">V19*H19*AO9</f>
        <v>0</v>
      </c>
      <c r="BP19" s="801" t="n">
        <f aca="false">W19*I19*AP9</f>
        <v>0</v>
      </c>
      <c r="BQ19" s="801" t="n">
        <f aca="false">X19*J19*AQ9</f>
        <v>0</v>
      </c>
      <c r="BR19" s="801" t="n">
        <f aca="false">Y19*K19*AR9</f>
        <v>0</v>
      </c>
      <c r="BS19" s="801" t="n">
        <f aca="false">Z19*L19*AS9</f>
        <v>0</v>
      </c>
      <c r="BT19" s="801" t="n">
        <f aca="false">AA19*M19*AT9</f>
        <v>0</v>
      </c>
      <c r="BU19" s="802" t="n">
        <f aca="false">SUM(BK19:BT19)</f>
        <v>0</v>
      </c>
      <c r="BV19" s="803" t="n">
        <f aca="false">BU19</f>
        <v>0</v>
      </c>
      <c r="BX19" s="779" t="n">
        <v>65</v>
      </c>
      <c r="BY19" s="804" t="n">
        <f aca="false">D19*R40*AK9</f>
        <v>0</v>
      </c>
      <c r="BZ19" s="804" t="n">
        <f aca="false">E19*S40*AL9</f>
        <v>0</v>
      </c>
      <c r="CA19" s="804" t="n">
        <f aca="false">F19*T40*AM9</f>
        <v>0</v>
      </c>
      <c r="CB19" s="804" t="n">
        <f aca="false">G19*U40*AN9</f>
        <v>0</v>
      </c>
      <c r="CC19" s="804" t="n">
        <f aca="false">H19*V40*AO9</f>
        <v>0</v>
      </c>
      <c r="CD19" s="804" t="n">
        <f aca="false">I19*W40*AP9</f>
        <v>0</v>
      </c>
      <c r="CE19" s="804" t="n">
        <f aca="false">J19*X40*AQ9</f>
        <v>0</v>
      </c>
      <c r="CF19" s="804" t="n">
        <f aca="false">K19*Y40*AR9</f>
        <v>0</v>
      </c>
      <c r="CG19" s="804" t="n">
        <f aca="false">L19*Z40*AS9</f>
        <v>0</v>
      </c>
      <c r="CH19" s="804" t="n">
        <f aca="false">M19*AA40*AT9</f>
        <v>0</v>
      </c>
      <c r="CI19" s="805" t="n">
        <f aca="false">SUM(BY19:CH19)</f>
        <v>0</v>
      </c>
      <c r="CJ19" s="806" t="n">
        <f aca="false">CI19</f>
        <v>0</v>
      </c>
    </row>
    <row r="20" customFormat="false" ht="13.5" hidden="false" customHeight="false" outlineLevel="0" collapsed="false">
      <c r="B20" s="770"/>
      <c r="C20" s="786" t="n">
        <v>75</v>
      </c>
      <c r="D20" s="790" t="n">
        <f aca="false">'7.1 Dealer area'!E44</f>
        <v>0</v>
      </c>
      <c r="E20" s="818" t="n">
        <f aca="false">D10</f>
        <v>0</v>
      </c>
      <c r="F20" s="818" t="n">
        <f aca="false">E10</f>
        <v>0</v>
      </c>
      <c r="G20" s="818" t="n">
        <f aca="false">F10</f>
        <v>0</v>
      </c>
      <c r="H20" s="818" t="n">
        <f aca="false">G10</f>
        <v>0</v>
      </c>
      <c r="I20" s="818" t="n">
        <f aca="false">H10</f>
        <v>0</v>
      </c>
      <c r="J20" s="818" t="n">
        <f aca="false">I10</f>
        <v>0</v>
      </c>
      <c r="K20" s="818" t="n">
        <f aca="false">J10</f>
        <v>0</v>
      </c>
      <c r="L20" s="818" t="n">
        <f aca="false">K10</f>
        <v>0</v>
      </c>
      <c r="M20" s="818" t="n">
        <f aca="false">L10</f>
        <v>0</v>
      </c>
      <c r="N20" s="808" t="n">
        <f aca="false">SUM(D20:M20)</f>
        <v>0</v>
      </c>
      <c r="Q20" s="774" t="n">
        <v>75</v>
      </c>
      <c r="R20" s="819" t="n">
        <f aca="false">('DAF Labour CPV (short)'!E10)*((1-'5.1 DAF Vehicle Parc Input'!$H$56)/(1-'Calculation (short)'!$O$1))*(1+$I$1)</f>
        <v>20.4601935617124</v>
      </c>
      <c r="S20" s="819" t="n">
        <f aca="false">('DAF Labour CPV (short)'!F10)*((1-'5.1 DAF Vehicle Parc Input'!$H$56)/(1-'Calculation (short)'!$O$1))*(1+$I$1)</f>
        <v>15.5896145465325</v>
      </c>
      <c r="T20" s="819" t="n">
        <f aca="false">('DAF Labour CPV (short)'!G10)*((1-'5.1 DAF Vehicle Parc Input'!$H$56)/(1-'Calculation (short)'!$O$1))*(1+$I$1)</f>
        <v>24.7465893488303</v>
      </c>
      <c r="U20" s="819" t="n">
        <f aca="false">('DAF Labour CPV (short)'!H10)*((1-'5.1 DAF Vehicle Parc Input'!$H$56)/(1-'Calculation (short)'!$O$1))*(1+$I$1)</f>
        <v>29.0806011211098</v>
      </c>
      <c r="V20" s="819" t="n">
        <f aca="false">('DAF Labour CPV (short)'!I10)*((1-'5.1 DAF Vehicle Parc Input'!$H$56)/(1-'Calculation (short)'!$O$1))*(1+$I$1)</f>
        <v>35.9020632546895</v>
      </c>
      <c r="W20" s="819" t="n">
        <f aca="false">('DAF Labour CPV (short)'!J10)*((1-'5.1 DAF Vehicle Parc Input'!$H$56)/(1-'Calculation (short)'!$O$1))*(1+$I$1)</f>
        <v>35.9835326452587</v>
      </c>
      <c r="X20" s="819" t="n">
        <f aca="false">('DAF Labour CPV (short)'!K10)*((1-'5.1 DAF Vehicle Parc Input'!$H$56)/(1-'Calculation (short)'!$O$1))*(1+$I$1)</f>
        <v>38.2325034355874</v>
      </c>
      <c r="Y20" s="819" t="n">
        <f aca="false">('DAF Labour CPV (short)'!L10)*((1-'5.1 DAF Vehicle Parc Input'!$H$56)/(1-'Calculation (short)'!$O$1))*(1+$I$1)</f>
        <v>40.4814742259161</v>
      </c>
      <c r="Z20" s="819" t="n">
        <f aca="false">('DAF Labour CPV (short)'!M10)*((1-'5.1 DAF Vehicle Parc Input'!$H$56)/(1-'Calculation (short)'!$O$1))*(1+$I$1)</f>
        <v>42.7304450162448</v>
      </c>
      <c r="AA20" s="819" t="n">
        <f aca="false">('DAF Labour CPV (short)'!N10)*((1-'5.1 DAF Vehicle Parc Input'!$H$56)/(1-'Calculation (short)'!$O$1))*(1+$I$1)</f>
        <v>44.9794158065734</v>
      </c>
      <c r="AB20" s="819" t="n">
        <f aca="false">('DAF Labour CPV (short)'!O10)*((1-'5.1 DAF Vehicle Parc Input'!$H$56)/(1-'Calculation (short)'!$O$1))*(1+$I$1)</f>
        <v>43.1802391743105</v>
      </c>
      <c r="AC20" s="819" t="n">
        <f aca="false">('DAF Labour CPV (short)'!P10)*((1-'5.1 DAF Vehicle Parc Input'!$H$56)/(1-'Calculation (short)'!$O$1))*(1+$I$1)</f>
        <v>41.3810625420476</v>
      </c>
      <c r="AD20" s="819" t="n">
        <f aca="false">('DAF Labour CPV (short)'!Q10)*((1-'5.1 DAF Vehicle Parc Input'!$H$56)/(1-'Calculation (short)'!$O$1))*(1+$I$1)</f>
        <v>39.5818859097846</v>
      </c>
      <c r="AE20" s="819" t="n">
        <f aca="false">('DAF Labour CPV (short)'!R10)*((1-'5.1 DAF Vehicle Parc Input'!$H$56)/(1-'Calculation (short)'!$O$1))*(1+$I$1)</f>
        <v>37.7827092775217</v>
      </c>
      <c r="AF20" s="819" t="n">
        <f aca="false">('DAF Labour CPV (short)'!S10)*((1-'5.1 DAF Vehicle Parc Input'!$H$56)/(1-'Calculation (short)'!$O$1))*(1+$I$1)</f>
        <v>35.9835326452587</v>
      </c>
      <c r="AG20" s="820" t="n">
        <f aca="false">AVERAGE(R20:AF20)</f>
        <v>35.0730575007585</v>
      </c>
      <c r="AH20" s="821" t="n">
        <f aca="false">AG20</f>
        <v>35.0730575007585</v>
      </c>
      <c r="AV20" s="774" t="n">
        <v>75</v>
      </c>
      <c r="AW20" s="793" t="n">
        <f aca="false">D20*R10*AK10</f>
        <v>0</v>
      </c>
      <c r="AX20" s="793" t="n">
        <f aca="false">E20*S10*AL10</f>
        <v>0</v>
      </c>
      <c r="AY20" s="793" t="n">
        <f aca="false">F20*T10*AM10</f>
        <v>0</v>
      </c>
      <c r="AZ20" s="793" t="n">
        <f aca="false">G20*U10*AN10</f>
        <v>0</v>
      </c>
      <c r="BA20" s="793" t="n">
        <f aca="false">H20*V10*AO10</f>
        <v>0</v>
      </c>
      <c r="BB20" s="793" t="n">
        <f aca="false">I20*W10*AP10</f>
        <v>0</v>
      </c>
      <c r="BC20" s="793" t="n">
        <f aca="false">J20*X10*AQ10</f>
        <v>0</v>
      </c>
      <c r="BD20" s="793" t="n">
        <f aca="false">K20*Y10*AR10</f>
        <v>0</v>
      </c>
      <c r="BE20" s="793" t="n">
        <f aca="false">L20*Z10*AS10</f>
        <v>0</v>
      </c>
      <c r="BF20" s="793" t="n">
        <f aca="false">M20*AA10*AT10</f>
        <v>0</v>
      </c>
      <c r="BG20" s="799" t="n">
        <f aca="false">SUM(AW20:BF20)</f>
        <v>0</v>
      </c>
      <c r="BH20" s="800" t="n">
        <f aca="false">BG20</f>
        <v>0</v>
      </c>
      <c r="BJ20" s="779" t="n">
        <v>75</v>
      </c>
      <c r="BK20" s="801" t="n">
        <f aca="false">R20*D20*AK10</f>
        <v>0</v>
      </c>
      <c r="BL20" s="801" t="n">
        <f aca="false">S20*E20*AL10</f>
        <v>0</v>
      </c>
      <c r="BM20" s="801" t="n">
        <f aca="false">T20*F20*AM10</f>
        <v>0</v>
      </c>
      <c r="BN20" s="801" t="n">
        <f aca="false">U20*G20*AN10</f>
        <v>0</v>
      </c>
      <c r="BO20" s="801" t="n">
        <f aca="false">V20*H20*AO10</f>
        <v>0</v>
      </c>
      <c r="BP20" s="801" t="n">
        <f aca="false">W20*I20*AP10</f>
        <v>0</v>
      </c>
      <c r="BQ20" s="801" t="n">
        <f aca="false">X20*J20*AQ10</f>
        <v>0</v>
      </c>
      <c r="BR20" s="801" t="n">
        <f aca="false">Y20*K20*AR10</f>
        <v>0</v>
      </c>
      <c r="BS20" s="801" t="n">
        <f aca="false">Z20*L20*AS10</f>
        <v>0</v>
      </c>
      <c r="BT20" s="801" t="n">
        <f aca="false">AA20*M20*AT10</f>
        <v>0</v>
      </c>
      <c r="BU20" s="802" t="n">
        <f aca="false">SUM(BK20:BT20)</f>
        <v>0</v>
      </c>
      <c r="BV20" s="803" t="n">
        <f aca="false">BU20</f>
        <v>0</v>
      </c>
      <c r="BX20" s="779" t="n">
        <v>75</v>
      </c>
      <c r="BY20" s="804" t="n">
        <f aca="false">D20*R41*AK10</f>
        <v>0</v>
      </c>
      <c r="BZ20" s="804" t="n">
        <f aca="false">E20*S41*AL10</f>
        <v>0</v>
      </c>
      <c r="CA20" s="804" t="n">
        <f aca="false">F20*T41*AM10</f>
        <v>0</v>
      </c>
      <c r="CB20" s="804" t="n">
        <f aca="false">G20*U41*AN10</f>
        <v>0</v>
      </c>
      <c r="CC20" s="804" t="n">
        <f aca="false">H20*V41*AO10</f>
        <v>0</v>
      </c>
      <c r="CD20" s="804" t="n">
        <f aca="false">I20*W41*AP10</f>
        <v>0</v>
      </c>
      <c r="CE20" s="804" t="n">
        <f aca="false">J20*X41*AQ10</f>
        <v>0</v>
      </c>
      <c r="CF20" s="804" t="n">
        <f aca="false">K20*Y41*AR10</f>
        <v>0</v>
      </c>
      <c r="CG20" s="804" t="n">
        <f aca="false">L20*Z41*AS10</f>
        <v>0</v>
      </c>
      <c r="CH20" s="804" t="n">
        <f aca="false">M20*AA41*AT10</f>
        <v>0</v>
      </c>
      <c r="CI20" s="805" t="n">
        <f aca="false">SUM(BY20:CH20)</f>
        <v>0</v>
      </c>
      <c r="CJ20" s="806" t="n">
        <f aca="false">CI20</f>
        <v>0</v>
      </c>
    </row>
    <row r="21" customFormat="false" ht="13.5" hidden="false" customHeight="false" outlineLevel="0" collapsed="false">
      <c r="B21" s="770"/>
      <c r="C21" s="786" t="n">
        <v>85</v>
      </c>
      <c r="D21" s="790" t="n">
        <f aca="false">'7.1 Dealer area'!E45</f>
        <v>0</v>
      </c>
      <c r="E21" s="818" t="n">
        <f aca="false">D11</f>
        <v>10</v>
      </c>
      <c r="F21" s="818" t="n">
        <f aca="false">E11</f>
        <v>0</v>
      </c>
      <c r="G21" s="818" t="n">
        <f aca="false">F11</f>
        <v>0</v>
      </c>
      <c r="H21" s="818" t="n">
        <f aca="false">G11</f>
        <v>0</v>
      </c>
      <c r="I21" s="818" t="n">
        <f aca="false">H11</f>
        <v>0</v>
      </c>
      <c r="J21" s="818" t="n">
        <f aca="false">I11</f>
        <v>0</v>
      </c>
      <c r="K21" s="818" t="n">
        <f aca="false">J11</f>
        <v>0</v>
      </c>
      <c r="L21" s="818" t="n">
        <f aca="false">K11</f>
        <v>0</v>
      </c>
      <c r="M21" s="818" t="n">
        <f aca="false">L11</f>
        <v>0</v>
      </c>
      <c r="N21" s="808" t="n">
        <f aca="false">SUM(D21:M21)</f>
        <v>10</v>
      </c>
      <c r="Q21" s="774" t="n">
        <v>85</v>
      </c>
      <c r="R21" s="819" t="n">
        <f aca="false">('DAF Labour CPV (short)'!E11)*((1-'5.1 DAF Vehicle Parc Input'!$H$56)/(1-'Calculation (short)'!$O$1))*(1+$I$1)</f>
        <v>23.3913563091058</v>
      </c>
      <c r="S21" s="819" t="n">
        <f aca="false">('DAF Labour CPV (short)'!F11)*((1-'5.1 DAF Vehicle Parc Input'!$H$56)/(1-'Calculation (short)'!$O$1))*(1+$I$1)</f>
        <v>29.4888033595059</v>
      </c>
      <c r="T21" s="819" t="n">
        <f aca="false">('DAF Labour CPV (short)'!G11)*((1-'5.1 DAF Vehicle Parc Input'!$H$56)/(1-'Calculation (short)'!$O$1))*(1+$I$1)</f>
        <v>35.2093598686454</v>
      </c>
      <c r="U21" s="819" t="n">
        <f aca="false">('DAF Labour CPV (short)'!H11)*((1-'5.1 DAF Vehicle Parc Input'!$H$56)/(1-'Calculation (short)'!$O$1))*(1+$I$1)</f>
        <v>36.0934664288152</v>
      </c>
      <c r="V21" s="819" t="n">
        <f aca="false">('DAF Labour CPV (short)'!I11)*((1-'5.1 DAF Vehicle Parc Input'!$H$56)/(1-'Calculation (short)'!$O$1))*(1+$I$1)</f>
        <v>41.6725144526818</v>
      </c>
      <c r="W21" s="819" t="n">
        <f aca="false">('DAF Labour CPV (short)'!J11)*((1-'5.1 DAF Vehicle Parc Input'!$H$56)/(1-'Calculation (short)'!$O$1))*(1+$I$1)</f>
        <v>45.6520458411271</v>
      </c>
      <c r="X21" s="819" t="n">
        <f aca="false">('DAF Labour CPV (short)'!K11)*((1-'5.1 DAF Vehicle Parc Input'!$H$56)/(1-'Calculation (short)'!$O$1))*(1+$I$1)</f>
        <v>48.5052987061976</v>
      </c>
      <c r="Y21" s="819" t="n">
        <f aca="false">('DAF Labour CPV (short)'!L11)*((1-'5.1 DAF Vehicle Parc Input'!$H$56)/(1-'Calculation (short)'!$O$1))*(1+$I$1)</f>
        <v>51.358551571268</v>
      </c>
      <c r="Z21" s="819" t="n">
        <f aca="false">('DAF Labour CPV (short)'!M11)*((1-'5.1 DAF Vehicle Parc Input'!$H$56)/(1-'Calculation (short)'!$O$1))*(1+$I$1)</f>
        <v>54.2118044363384</v>
      </c>
      <c r="AA21" s="819" t="n">
        <f aca="false">('DAF Labour CPV (short)'!N11)*((1-'5.1 DAF Vehicle Parc Input'!$H$56)/(1-'Calculation (short)'!$O$1))*(1+$I$1)</f>
        <v>57.0650573014089</v>
      </c>
      <c r="AB21" s="819" t="n">
        <f aca="false">('DAF Labour CPV (short)'!O11)*((1-'5.1 DAF Vehicle Parc Input'!$H$56)/(1-'Calculation (short)'!$O$1))*(1+$I$1)</f>
        <v>54.7824550093525</v>
      </c>
      <c r="AC21" s="819" t="n">
        <f aca="false">('DAF Labour CPV (short)'!P11)*((1-'5.1 DAF Vehicle Parc Input'!$H$56)/(1-'Calculation (short)'!$O$1))*(1+$I$1)</f>
        <v>52.4998527172962</v>
      </c>
      <c r="AD21" s="819" t="n">
        <f aca="false">('DAF Labour CPV (short)'!Q11)*((1-'5.1 DAF Vehicle Parc Input'!$H$56)/(1-'Calculation (short)'!$O$1))*(1+$I$1)</f>
        <v>50.2172504252398</v>
      </c>
      <c r="AE21" s="819" t="n">
        <f aca="false">('DAF Labour CPV (short)'!R11)*((1-'5.1 DAF Vehicle Parc Input'!$H$56)/(1-'Calculation (short)'!$O$1))*(1+$I$1)</f>
        <v>47.9346481331835</v>
      </c>
      <c r="AF21" s="819" t="n">
        <f aca="false">('DAF Labour CPV (short)'!S11)*((1-'5.1 DAF Vehicle Parc Input'!$H$56)/(1-'Calculation (short)'!$O$1))*(1+$I$1)</f>
        <v>45.6520458411271</v>
      </c>
      <c r="AG21" s="820" t="n">
        <f aca="false">AVERAGE(R21:AF21)</f>
        <v>44.9156340267529</v>
      </c>
      <c r="AH21" s="821" t="n">
        <f aca="false">AG21</f>
        <v>44.9156340267529</v>
      </c>
      <c r="AV21" s="774" t="n">
        <v>85</v>
      </c>
      <c r="AW21" s="793" t="n">
        <f aca="false">D21*R11*AK11</f>
        <v>0</v>
      </c>
      <c r="AX21" s="793" t="n">
        <f aca="false">E21*S11*AL11</f>
        <v>14795.9353094184</v>
      </c>
      <c r="AY21" s="793" t="n">
        <f aca="false">F21*T11*AM11</f>
        <v>0</v>
      </c>
      <c r="AZ21" s="793" t="n">
        <f aca="false">G21*U11*AN11</f>
        <v>0</v>
      </c>
      <c r="BA21" s="793" t="n">
        <f aca="false">H21*V11*AO11</f>
        <v>0</v>
      </c>
      <c r="BB21" s="793" t="n">
        <f aca="false">I21*W11*AP11</f>
        <v>0</v>
      </c>
      <c r="BC21" s="793" t="n">
        <f aca="false">J21*X11*AQ11</f>
        <v>0</v>
      </c>
      <c r="BD21" s="793" t="n">
        <f aca="false">K21*Y11*AR11</f>
        <v>0</v>
      </c>
      <c r="BE21" s="793" t="n">
        <f aca="false">L21*Z11*AS11</f>
        <v>0</v>
      </c>
      <c r="BF21" s="793" t="n">
        <f aca="false">M21*AA11*AT11</f>
        <v>0</v>
      </c>
      <c r="BG21" s="799" t="n">
        <f aca="false">SUM(AW21:BF21)</f>
        <v>14795.9353094184</v>
      </c>
      <c r="BH21" s="800" t="n">
        <f aca="false">BG21</f>
        <v>14795.9353094184</v>
      </c>
      <c r="BJ21" s="779" t="n">
        <v>85</v>
      </c>
      <c r="BK21" s="801" t="n">
        <f aca="false">R21*D21*AK11</f>
        <v>0</v>
      </c>
      <c r="BL21" s="801" t="n">
        <f aca="false">S21*E21*AL11</f>
        <v>294.888033595059</v>
      </c>
      <c r="BM21" s="801" t="n">
        <f aca="false">T21*F21*AM11</f>
        <v>0</v>
      </c>
      <c r="BN21" s="801" t="n">
        <f aca="false">U21*G21*AN11</f>
        <v>0</v>
      </c>
      <c r="BO21" s="801" t="n">
        <f aca="false">V21*H21*AO11</f>
        <v>0</v>
      </c>
      <c r="BP21" s="801" t="n">
        <f aca="false">W21*I21*AP11</f>
        <v>0</v>
      </c>
      <c r="BQ21" s="801" t="n">
        <f aca="false">X21*J21*AQ11</f>
        <v>0</v>
      </c>
      <c r="BR21" s="801" t="n">
        <f aca="false">Y21*K21*AR11</f>
        <v>0</v>
      </c>
      <c r="BS21" s="801" t="n">
        <f aca="false">Z21*L21*AS11</f>
        <v>0</v>
      </c>
      <c r="BT21" s="801" t="n">
        <f aca="false">AA21*M21*AT11</f>
        <v>0</v>
      </c>
      <c r="BU21" s="802" t="n">
        <f aca="false">SUM(BK21:BT21)</f>
        <v>294.888033595059</v>
      </c>
      <c r="BV21" s="803" t="n">
        <f aca="false">BU21</f>
        <v>294.888033595059</v>
      </c>
      <c r="BX21" s="779" t="n">
        <v>85</v>
      </c>
      <c r="BY21" s="804" t="n">
        <f aca="false">D21*R42*AK11</f>
        <v>0</v>
      </c>
      <c r="BZ21" s="804" t="n">
        <f aca="false">E21*S42*AL11</f>
        <v>4540.31368421053</v>
      </c>
      <c r="CA21" s="804" t="n">
        <f aca="false">F21*T42*AM11</f>
        <v>0</v>
      </c>
      <c r="CB21" s="804" t="n">
        <f aca="false">G21*U42*AN11</f>
        <v>0</v>
      </c>
      <c r="CC21" s="804" t="n">
        <f aca="false">H21*V42*AO11</f>
        <v>0</v>
      </c>
      <c r="CD21" s="804" t="n">
        <f aca="false">I21*W42*AP11</f>
        <v>0</v>
      </c>
      <c r="CE21" s="804" t="n">
        <f aca="false">J21*X42*AQ11</f>
        <v>0</v>
      </c>
      <c r="CF21" s="804" t="n">
        <f aca="false">K21*Y42*AR11</f>
        <v>0</v>
      </c>
      <c r="CG21" s="804" t="n">
        <f aca="false">L21*Z42*AS11</f>
        <v>0</v>
      </c>
      <c r="CH21" s="804" t="n">
        <f aca="false">M21*AA42*AT11</f>
        <v>0</v>
      </c>
      <c r="CI21" s="805" t="n">
        <f aca="false">SUM(BY21:CH21)</f>
        <v>4540.31368421053</v>
      </c>
      <c r="CJ21" s="806" t="n">
        <f aca="false">CI21</f>
        <v>4540.31368421053</v>
      </c>
    </row>
    <row r="22" customFormat="false" ht="13.5" hidden="false" customHeight="false" outlineLevel="0" collapsed="false">
      <c r="B22" s="770"/>
      <c r="C22" s="786" t="n">
        <v>95</v>
      </c>
      <c r="D22" s="790" t="n">
        <v>0</v>
      </c>
      <c r="E22" s="818" t="n">
        <f aca="false">D12</f>
        <v>0</v>
      </c>
      <c r="F22" s="818" t="n">
        <f aca="false">E12</f>
        <v>0</v>
      </c>
      <c r="G22" s="818" t="n">
        <f aca="false">F12</f>
        <v>0</v>
      </c>
      <c r="H22" s="818" t="n">
        <f aca="false">G12</f>
        <v>0</v>
      </c>
      <c r="I22" s="818" t="n">
        <f aca="false">H12</f>
        <v>0</v>
      </c>
      <c r="J22" s="818" t="n">
        <f aca="false">I12</f>
        <v>0</v>
      </c>
      <c r="K22" s="818" t="n">
        <f aca="false">J12</f>
        <v>0</v>
      </c>
      <c r="L22" s="818" t="n">
        <f aca="false">K12</f>
        <v>0</v>
      </c>
      <c r="M22" s="818" t="n">
        <f aca="false">L12</f>
        <v>0</v>
      </c>
      <c r="N22" s="808" t="n">
        <f aca="false">SUM(D22:M22)</f>
        <v>0</v>
      </c>
      <c r="Q22" s="774" t="n">
        <v>95</v>
      </c>
      <c r="R22" s="819" t="n">
        <f aca="false">('DAF Labour CPV (short)'!E12)*((1-'5.1 DAF Vehicle Parc Input'!$H$56)/(1-'Calculation (short)'!$O$1))*(1+$I$1)</f>
        <v>25.9469160519303</v>
      </c>
      <c r="S22" s="819" t="n">
        <f aca="false">('DAF Labour CPV (short)'!F12)*((1-'5.1 DAF Vehicle Parc Input'!$H$56)/(1-'Calculation (short)'!$O$1))*(1+$I$1)</f>
        <v>24.824373623095</v>
      </c>
      <c r="T22" s="819" t="n">
        <f aca="false">('DAF Labour CPV (short)'!G12)*((1-'5.1 DAF Vehicle Parc Input'!$H$56)/(1-'Calculation (short)'!$O$1))*(1+$I$1)</f>
        <v>36.4678393285398</v>
      </c>
      <c r="U22" s="819" t="n">
        <f aca="false">('DAF Labour CPV (short)'!H12)*((1-'5.1 DAF Vehicle Parc Input'!$H$56)/(1-'Calculation (short)'!$O$1))*(1+$I$1)</f>
        <v>40.8516640408399</v>
      </c>
      <c r="V22" s="819" t="n">
        <f aca="false">('DAF Labour CPV (short)'!I12)*((1-'5.1 DAF Vehicle Parc Input'!$H$56)/(1-'Calculation (short)'!$O$1))*(1+$I$1)</f>
        <v>38.5352770747817</v>
      </c>
      <c r="W22" s="819" t="n">
        <f aca="false">('DAF Labour CPV (short)'!J12)*((1-'5.1 DAF Vehicle Parc Input'!$H$56)/(1-'Calculation (short)'!$O$1))*(1+$I$1)</f>
        <v>35.0976534784275</v>
      </c>
      <c r="X22" s="819" t="n">
        <f aca="false">('DAF Labour CPV (short)'!K12)*((1-'5.1 DAF Vehicle Parc Input'!$H$56)/(1-'Calculation (short)'!$O$1))*(1+$I$1)</f>
        <v>37.2912568208292</v>
      </c>
      <c r="Y22" s="819" t="n">
        <f aca="false">('DAF Labour CPV (short)'!L12)*((1-'5.1 DAF Vehicle Parc Input'!$H$56)/(1-'Calculation (short)'!$O$1))*(1+$I$1)</f>
        <v>39.4848601632309</v>
      </c>
      <c r="Z22" s="819" t="n">
        <f aca="false">('DAF Labour CPV (short)'!M12)*((1-'5.1 DAF Vehicle Parc Input'!$H$56)/(1-'Calculation (short)'!$O$1))*(1+$I$1)</f>
        <v>41.6784635056326</v>
      </c>
      <c r="AA22" s="819" t="n">
        <f aca="false">('DAF Labour CPV (short)'!N12)*((1-'5.1 DAF Vehicle Parc Input'!$H$56)/(1-'Calculation (short)'!$O$1))*(1+$I$1)</f>
        <v>43.8720668480343</v>
      </c>
      <c r="AB22" s="819" t="n">
        <f aca="false">('DAF Labour CPV (short)'!O12)*((1-'5.1 DAF Vehicle Parc Input'!$H$56)/(1-'Calculation (short)'!$O$1))*(1+$I$1)</f>
        <v>42.117184174113</v>
      </c>
      <c r="AC22" s="819" t="n">
        <f aca="false">('DAF Labour CPV (short)'!P12)*((1-'5.1 DAF Vehicle Parc Input'!$H$56)/(1-'Calculation (short)'!$O$1))*(1+$I$1)</f>
        <v>40.3623015001916</v>
      </c>
      <c r="AD22" s="819" t="n">
        <f aca="false">('DAF Labour CPV (short)'!Q12)*((1-'5.1 DAF Vehicle Parc Input'!$H$56)/(1-'Calculation (short)'!$O$1))*(1+$I$1)</f>
        <v>38.6074188262702</v>
      </c>
      <c r="AE22" s="819" t="n">
        <f aca="false">('DAF Labour CPV (short)'!R12)*((1-'5.1 DAF Vehicle Parc Input'!$H$56)/(1-'Calculation (short)'!$O$1))*(1+$I$1)</f>
        <v>36.8525361523488</v>
      </c>
      <c r="AF22" s="819" t="n">
        <f aca="false">('DAF Labour CPV (short)'!S12)*((1-'5.1 DAF Vehicle Parc Input'!$H$56)/(1-'Calculation (short)'!$O$1))*(1+$I$1)</f>
        <v>35.0976534784275</v>
      </c>
      <c r="AG22" s="820" t="n">
        <f aca="false">AVERAGE(R22:AF22)</f>
        <v>37.1391643377795</v>
      </c>
      <c r="AH22" s="821" t="n">
        <f aca="false">AG22</f>
        <v>37.1391643377795</v>
      </c>
      <c r="AV22" s="774" t="n">
        <v>95</v>
      </c>
      <c r="AW22" s="793" t="n">
        <f aca="false">D22*R12*AK12</f>
        <v>0</v>
      </c>
      <c r="AX22" s="793" t="n">
        <f aca="false">E22*S12*AL12</f>
        <v>0</v>
      </c>
      <c r="AY22" s="793" t="n">
        <f aca="false">F22*T12*AM12</f>
        <v>0</v>
      </c>
      <c r="AZ22" s="793" t="n">
        <f aca="false">G22*U12*AN12</f>
        <v>0</v>
      </c>
      <c r="BA22" s="793" t="n">
        <f aca="false">H22*V12*AO12</f>
        <v>0</v>
      </c>
      <c r="BB22" s="793" t="n">
        <f aca="false">I22*W12*AP12</f>
        <v>0</v>
      </c>
      <c r="BC22" s="793" t="n">
        <f aca="false">J22*X12*AQ12</f>
        <v>0</v>
      </c>
      <c r="BD22" s="793" t="n">
        <f aca="false">K22*Y12*AR12</f>
        <v>0</v>
      </c>
      <c r="BE22" s="793" t="n">
        <f aca="false">L22*Z12*AS12</f>
        <v>0</v>
      </c>
      <c r="BF22" s="793" t="n">
        <f aca="false">M22*AA12*AT12</f>
        <v>0</v>
      </c>
      <c r="BG22" s="799" t="n">
        <f aca="false">SUM(AW22:BF22)</f>
        <v>0</v>
      </c>
      <c r="BH22" s="800" t="n">
        <f aca="false">BG22</f>
        <v>0</v>
      </c>
      <c r="BJ22" s="779" t="n">
        <v>95</v>
      </c>
      <c r="BK22" s="801" t="n">
        <f aca="false">R22*D22*AK12</f>
        <v>0</v>
      </c>
      <c r="BL22" s="801" t="n">
        <f aca="false">S22*E22*AL12</f>
        <v>0</v>
      </c>
      <c r="BM22" s="801" t="n">
        <f aca="false">T22*F22*AM12</f>
        <v>0</v>
      </c>
      <c r="BN22" s="801" t="n">
        <f aca="false">U22*G22*AN12</f>
        <v>0</v>
      </c>
      <c r="BO22" s="801" t="n">
        <f aca="false">V22*H22*AO12</f>
        <v>0</v>
      </c>
      <c r="BP22" s="801" t="n">
        <f aca="false">W22*I22*AP12</f>
        <v>0</v>
      </c>
      <c r="BQ22" s="801" t="n">
        <f aca="false">X22*J22*AQ12</f>
        <v>0</v>
      </c>
      <c r="BR22" s="801" t="n">
        <f aca="false">Y22*K22*AR12</f>
        <v>0</v>
      </c>
      <c r="BS22" s="801" t="n">
        <f aca="false">Z22*L22*AS12</f>
        <v>0</v>
      </c>
      <c r="BT22" s="801" t="n">
        <f aca="false">AA22*M22*AT12</f>
        <v>0</v>
      </c>
      <c r="BU22" s="802" t="n">
        <f aca="false">SUM(BK22:BT22)</f>
        <v>0</v>
      </c>
      <c r="BV22" s="803" t="n">
        <f aca="false">BU22</f>
        <v>0</v>
      </c>
      <c r="BX22" s="779" t="n">
        <v>95</v>
      </c>
      <c r="BY22" s="804" t="n">
        <f aca="false">D22*R43*AK12</f>
        <v>0</v>
      </c>
      <c r="BZ22" s="804" t="n">
        <f aca="false">E22*S43*AL12</f>
        <v>0</v>
      </c>
      <c r="CA22" s="804" t="n">
        <f aca="false">F22*T43*AM12</f>
        <v>0</v>
      </c>
      <c r="CB22" s="804" t="n">
        <f aca="false">G22*U43*AN12</f>
        <v>0</v>
      </c>
      <c r="CC22" s="804" t="n">
        <f aca="false">H22*V43*AO12</f>
        <v>0</v>
      </c>
      <c r="CD22" s="804" t="n">
        <f aca="false">I22*W43*AP12</f>
        <v>0</v>
      </c>
      <c r="CE22" s="804" t="n">
        <f aca="false">J22*X43*AQ12</f>
        <v>0</v>
      </c>
      <c r="CF22" s="804" t="n">
        <f aca="false">K22*Y43*AR12</f>
        <v>0</v>
      </c>
      <c r="CG22" s="804" t="n">
        <f aca="false">L22*Z43*AS12</f>
        <v>0</v>
      </c>
      <c r="CH22" s="804" t="n">
        <f aca="false">M22*AA43*AT12</f>
        <v>0</v>
      </c>
      <c r="CI22" s="805" t="n">
        <f aca="false">SUM(BY22:CH22)</f>
        <v>0</v>
      </c>
      <c r="CJ22" s="806" t="n">
        <f aca="false">CI22</f>
        <v>0</v>
      </c>
    </row>
    <row r="23" customFormat="false" ht="13.5" hidden="false" customHeight="false" outlineLevel="0" collapsed="false">
      <c r="B23" s="770"/>
      <c r="C23" s="786" t="n">
        <v>105</v>
      </c>
      <c r="D23" s="790" t="n">
        <f aca="false">'7.1 Dealer area'!E46</f>
        <v>0</v>
      </c>
      <c r="E23" s="818" t="n">
        <f aca="false">D13</f>
        <v>0</v>
      </c>
      <c r="F23" s="818" t="n">
        <f aca="false">E13</f>
        <v>0</v>
      </c>
      <c r="G23" s="818" t="n">
        <f aca="false">F13</f>
        <v>0</v>
      </c>
      <c r="H23" s="818" t="n">
        <f aca="false">G13</f>
        <v>0</v>
      </c>
      <c r="I23" s="818" t="n">
        <f aca="false">H13</f>
        <v>0</v>
      </c>
      <c r="J23" s="818" t="n">
        <f aca="false">I13</f>
        <v>0</v>
      </c>
      <c r="K23" s="818" t="n">
        <f aca="false">J13</f>
        <v>0</v>
      </c>
      <c r="L23" s="818" t="n">
        <f aca="false">K13</f>
        <v>0</v>
      </c>
      <c r="M23" s="818" t="n">
        <f aca="false">L13</f>
        <v>0</v>
      </c>
      <c r="N23" s="808" t="n">
        <f aca="false">SUM(D23:M23)</f>
        <v>0</v>
      </c>
      <c r="Q23" s="774" t="n">
        <v>105</v>
      </c>
      <c r="R23" s="819" t="n">
        <f aca="false">('DAF Labour CPV (short)'!E13)*((1-'5.1 DAF Vehicle Parc Input'!$H$56)/(1-'Calculation (short)'!$O$1))*(1+$I$1)</f>
        <v>32.7964798046223</v>
      </c>
      <c r="S23" s="819" t="n">
        <f aca="false">('DAF Labour CPV (short)'!F13)*((1-'5.1 DAF Vehicle Parc Input'!$H$56)/(1-'Calculation (short)'!$O$1))*(1+$I$1)</f>
        <v>24.5976907402547</v>
      </c>
      <c r="T23" s="819" t="n">
        <f aca="false">('DAF Labour CPV (short)'!G13)*((1-'5.1 DAF Vehicle Parc Input'!$H$56)/(1-'Calculation (short)'!$O$1))*(1+$I$1)</f>
        <v>23.3058350064878</v>
      </c>
      <c r="U23" s="819" t="n">
        <f aca="false">('DAF Labour CPV (short)'!H13)*((1-'5.1 DAF Vehicle Parc Input'!$H$56)/(1-'Calculation (short)'!$O$1))*(1+$I$1)</f>
        <v>40.8516640408399</v>
      </c>
      <c r="V23" s="819" t="n">
        <f aca="false">('DAF Labour CPV (short)'!I13)*((1-'5.1 DAF Vehicle Parc Input'!$H$56)/(1-'Calculation (short)'!$O$1))*(1+$I$1)</f>
        <v>38.5352770747817</v>
      </c>
      <c r="W23" s="819" t="n">
        <f aca="false">('DAF Labour CPV (short)'!J13)*((1-'5.1 DAF Vehicle Parc Input'!$H$56)/(1-'Calculation (short)'!$O$1))*(1+$I$1)</f>
        <v>35.0976534784275</v>
      </c>
      <c r="X23" s="819" t="n">
        <f aca="false">('DAF Labour CPV (short)'!K13)*((1-'5.1 DAF Vehicle Parc Input'!$H$56)/(1-'Calculation (short)'!$O$1))*(1+$I$1)</f>
        <v>37.2912568208292</v>
      </c>
      <c r="Y23" s="819" t="n">
        <f aca="false">('DAF Labour CPV (short)'!L13)*((1-'5.1 DAF Vehicle Parc Input'!$H$56)/(1-'Calculation (short)'!$O$1))*(1+$I$1)</f>
        <v>39.4848601632309</v>
      </c>
      <c r="Z23" s="819" t="n">
        <f aca="false">('DAF Labour CPV (short)'!M13)*((1-'5.1 DAF Vehicle Parc Input'!$H$56)/(1-'Calculation (short)'!$O$1))*(1+$I$1)</f>
        <v>41.6784635056326</v>
      </c>
      <c r="AA23" s="819" t="n">
        <f aca="false">('DAF Labour CPV (short)'!N13)*((1-'5.1 DAF Vehicle Parc Input'!$H$56)/(1-'Calculation (short)'!$O$1))*(1+$I$1)</f>
        <v>43.8720668480343</v>
      </c>
      <c r="AB23" s="819" t="n">
        <f aca="false">('DAF Labour CPV (short)'!O13)*((1-'5.1 DAF Vehicle Parc Input'!$H$56)/(1-'Calculation (short)'!$O$1))*(1+$I$1)</f>
        <v>42.117184174113</v>
      </c>
      <c r="AC23" s="819" t="n">
        <f aca="false">('DAF Labour CPV (short)'!P13)*((1-'5.1 DAF Vehicle Parc Input'!$H$56)/(1-'Calculation (short)'!$O$1))*(1+$I$1)</f>
        <v>40.3623015001916</v>
      </c>
      <c r="AD23" s="819" t="n">
        <f aca="false">('DAF Labour CPV (short)'!Q13)*((1-'5.1 DAF Vehicle Parc Input'!$H$56)/(1-'Calculation (short)'!$O$1))*(1+$I$1)</f>
        <v>38.6074188262702</v>
      </c>
      <c r="AE23" s="819" t="n">
        <f aca="false">('DAF Labour CPV (short)'!R13)*((1-'5.1 DAF Vehicle Parc Input'!$H$56)/(1-'Calculation (short)'!$O$1))*(1+$I$1)</f>
        <v>36.8525361523488</v>
      </c>
      <c r="AF23" s="819" t="n">
        <f aca="false">('DAF Labour CPV (short)'!S13)*((1-'5.1 DAF Vehicle Parc Input'!$H$56)/(1-'Calculation (short)'!$O$1))*(1+$I$1)</f>
        <v>35.0976534784275</v>
      </c>
      <c r="AG23" s="820" t="n">
        <f aca="false">AVERAGE(R23:AF23)</f>
        <v>36.7032227742995</v>
      </c>
      <c r="AH23" s="821" t="n">
        <f aca="false">AG23</f>
        <v>36.7032227742995</v>
      </c>
      <c r="AV23" s="774" t="n">
        <v>105</v>
      </c>
      <c r="AW23" s="793" t="n">
        <f aca="false">D23*R13*AK13</f>
        <v>0</v>
      </c>
      <c r="AX23" s="793" t="n">
        <f aca="false">E23*S13*AL13</f>
        <v>0</v>
      </c>
      <c r="AY23" s="793" t="n">
        <f aca="false">F23*T13*AM13</f>
        <v>0</v>
      </c>
      <c r="AZ23" s="793" t="n">
        <f aca="false">G23*U13*AN13</f>
        <v>0</v>
      </c>
      <c r="BA23" s="793" t="n">
        <f aca="false">H23*V13*AO13</f>
        <v>0</v>
      </c>
      <c r="BB23" s="793" t="n">
        <f aca="false">I23*W13*AP13</f>
        <v>0</v>
      </c>
      <c r="BC23" s="793" t="n">
        <f aca="false">J23*X13*AQ13</f>
        <v>0</v>
      </c>
      <c r="BD23" s="793" t="n">
        <f aca="false">K23*Y13*AR13</f>
        <v>0</v>
      </c>
      <c r="BE23" s="793" t="n">
        <f aca="false">L23*Z13*AS13</f>
        <v>0</v>
      </c>
      <c r="BF23" s="793" t="n">
        <f aca="false">M23*AA13*AT13</f>
        <v>0</v>
      </c>
      <c r="BG23" s="799" t="n">
        <f aca="false">SUM(AW23:BF23)</f>
        <v>0</v>
      </c>
      <c r="BH23" s="800" t="n">
        <f aca="false">BG23</f>
        <v>0</v>
      </c>
      <c r="BJ23" s="779" t="n">
        <v>105</v>
      </c>
      <c r="BK23" s="801" t="n">
        <f aca="false">R23*D23*AK13</f>
        <v>0</v>
      </c>
      <c r="BL23" s="801" t="n">
        <f aca="false">S23*E23*AL13</f>
        <v>0</v>
      </c>
      <c r="BM23" s="801" t="n">
        <f aca="false">T23*F23*AM13</f>
        <v>0</v>
      </c>
      <c r="BN23" s="801" t="n">
        <f aca="false">U23*G23*AN13</f>
        <v>0</v>
      </c>
      <c r="BO23" s="801" t="n">
        <f aca="false">V23*H23*AO13</f>
        <v>0</v>
      </c>
      <c r="BP23" s="801" t="n">
        <f aca="false">W23*I23*AP13</f>
        <v>0</v>
      </c>
      <c r="BQ23" s="801" t="n">
        <f aca="false">X23*J23*AQ13</f>
        <v>0</v>
      </c>
      <c r="BR23" s="801" t="n">
        <f aca="false">Y23*K23*AR13</f>
        <v>0</v>
      </c>
      <c r="BS23" s="801" t="n">
        <f aca="false">Z23*L23*AS13</f>
        <v>0</v>
      </c>
      <c r="BT23" s="801" t="n">
        <f aca="false">AA23*M23*AT13</f>
        <v>0</v>
      </c>
      <c r="BU23" s="802" t="n">
        <f aca="false">SUM(BK23:BT23)</f>
        <v>0</v>
      </c>
      <c r="BV23" s="803" t="n">
        <f aca="false">BU23</f>
        <v>0</v>
      </c>
      <c r="BX23" s="779" t="n">
        <v>105</v>
      </c>
      <c r="BY23" s="804" t="n">
        <f aca="false">D23*R44*AK13</f>
        <v>0</v>
      </c>
      <c r="BZ23" s="804" t="n">
        <f aca="false">E23*S44*AL13</f>
        <v>0</v>
      </c>
      <c r="CA23" s="804" t="n">
        <f aca="false">F23*T44*AM13</f>
        <v>0</v>
      </c>
      <c r="CB23" s="804" t="n">
        <f aca="false">G23*U44*AN13</f>
        <v>0</v>
      </c>
      <c r="CC23" s="804" t="n">
        <f aca="false">H23*V44*AO13</f>
        <v>0</v>
      </c>
      <c r="CD23" s="804" t="n">
        <f aca="false">I23*W44*AP13</f>
        <v>0</v>
      </c>
      <c r="CE23" s="804" t="n">
        <f aca="false">J23*X44*AQ13</f>
        <v>0</v>
      </c>
      <c r="CF23" s="804" t="n">
        <f aca="false">K23*Y44*AR13</f>
        <v>0</v>
      </c>
      <c r="CG23" s="804" t="n">
        <f aca="false">L23*Z44*AS13</f>
        <v>0</v>
      </c>
      <c r="CH23" s="804" t="n">
        <f aca="false">M23*AA44*AT13</f>
        <v>0</v>
      </c>
      <c r="CI23" s="805" t="n">
        <f aca="false">SUM(BY23:CH23)</f>
        <v>0</v>
      </c>
      <c r="CJ23" s="806" t="n">
        <f aca="false">CI23</f>
        <v>0</v>
      </c>
    </row>
    <row r="24" customFormat="false" ht="13.5" hidden="false" customHeight="false" outlineLevel="0" collapsed="false">
      <c r="B24" s="770"/>
      <c r="C24" s="807"/>
      <c r="D24" s="822" t="n">
        <f aca="false">SUM((D17:D23))</f>
        <v>0</v>
      </c>
      <c r="E24" s="822" t="n">
        <f aca="false">SUM((E17:E23))</f>
        <v>10</v>
      </c>
      <c r="F24" s="822" t="n">
        <f aca="false">SUM((F17:F23))</f>
        <v>0</v>
      </c>
      <c r="G24" s="822" t="n">
        <f aca="false">SUM((G17:G23))</f>
        <v>0</v>
      </c>
      <c r="H24" s="822" t="n">
        <f aca="false">SUM((H17:H23))</f>
        <v>0</v>
      </c>
      <c r="I24" s="822" t="n">
        <f aca="false">SUM((I17:I23))</f>
        <v>0</v>
      </c>
      <c r="J24" s="822" t="n">
        <f aca="false">SUM((J17:J23))</f>
        <v>0</v>
      </c>
      <c r="K24" s="822" t="n">
        <f aca="false">SUM((K17:K23))</f>
        <v>0</v>
      </c>
      <c r="L24" s="822" t="n">
        <f aca="false">SUM((L17:L23))</f>
        <v>0</v>
      </c>
      <c r="M24" s="822" t="n">
        <f aca="false">SUM((M17:M23))</f>
        <v>0</v>
      </c>
      <c r="N24" s="822" t="n">
        <f aca="false">SUM((N17:N23))</f>
        <v>10</v>
      </c>
      <c r="Q24" s="774"/>
      <c r="R24" s="793"/>
      <c r="S24" s="793"/>
      <c r="T24" s="793"/>
      <c r="U24" s="793"/>
      <c r="V24" s="793"/>
      <c r="W24" s="793"/>
      <c r="X24" s="793"/>
      <c r="Y24" s="793"/>
      <c r="Z24" s="793"/>
      <c r="AA24" s="793"/>
      <c r="AB24" s="793"/>
      <c r="AC24" s="793"/>
      <c r="AD24" s="793"/>
      <c r="AE24" s="793"/>
      <c r="AF24" s="793"/>
      <c r="AG24" s="794"/>
      <c r="AH24" s="795" t="n">
        <f aca="false">SUM(AH17:AH23)</f>
        <v>235.538087748932</v>
      </c>
      <c r="AV24" s="809"/>
      <c r="AW24" s="794"/>
      <c r="AX24" s="794"/>
      <c r="AY24" s="794"/>
      <c r="AZ24" s="794"/>
      <c r="BA24" s="794"/>
      <c r="BB24" s="794"/>
      <c r="BC24" s="794"/>
      <c r="BD24" s="794"/>
      <c r="BE24" s="794"/>
      <c r="BF24" s="794"/>
      <c r="BG24" s="799"/>
      <c r="BH24" s="800" t="n">
        <f aca="false">SUM(BH17:BH23)</f>
        <v>14795.9353094184</v>
      </c>
      <c r="BJ24" s="774"/>
      <c r="BK24" s="793"/>
      <c r="BL24" s="793"/>
      <c r="BM24" s="793"/>
      <c r="BN24" s="793"/>
      <c r="BO24" s="793"/>
      <c r="BP24" s="793"/>
      <c r="BQ24" s="793"/>
      <c r="BR24" s="793"/>
      <c r="BS24" s="793"/>
      <c r="BT24" s="793"/>
      <c r="BU24" s="805"/>
      <c r="BV24" s="806" t="n">
        <f aca="false">SUM(BV17:BV23)</f>
        <v>294.888033595059</v>
      </c>
      <c r="BX24" s="813"/>
      <c r="BY24" s="814"/>
      <c r="BZ24" s="814"/>
      <c r="CA24" s="814"/>
      <c r="CB24" s="814"/>
      <c r="CC24" s="814"/>
      <c r="CD24" s="814"/>
      <c r="CE24" s="814"/>
      <c r="CF24" s="814"/>
      <c r="CG24" s="814"/>
      <c r="CH24" s="814"/>
      <c r="CI24" s="805"/>
      <c r="CJ24" s="806" t="n">
        <f aca="false">SUM(CJ17:CJ23)</f>
        <v>4540.31368421053</v>
      </c>
    </row>
    <row r="25" customFormat="false" ht="13.5" hidden="false" customHeight="false" outlineLevel="0" collapsed="false">
      <c r="Q25" s="774"/>
      <c r="R25" s="793"/>
      <c r="S25" s="793"/>
      <c r="T25" s="793"/>
      <c r="U25" s="793"/>
      <c r="V25" s="793"/>
      <c r="W25" s="793"/>
      <c r="X25" s="793"/>
      <c r="Y25" s="793"/>
      <c r="Z25" s="793"/>
      <c r="AA25" s="793"/>
      <c r="AB25" s="793"/>
      <c r="AC25" s="793"/>
      <c r="AD25" s="793"/>
      <c r="AE25" s="793"/>
      <c r="AF25" s="793"/>
      <c r="AG25" s="794"/>
      <c r="AH25" s="795"/>
      <c r="AV25" s="809"/>
      <c r="AW25" s="794"/>
      <c r="AX25" s="794"/>
      <c r="AY25" s="794"/>
      <c r="AZ25" s="794"/>
      <c r="BA25" s="794"/>
      <c r="BB25" s="794"/>
      <c r="BC25" s="794"/>
      <c r="BD25" s="794"/>
      <c r="BE25" s="794"/>
      <c r="BF25" s="794"/>
      <c r="BG25" s="799"/>
      <c r="BH25" s="800"/>
      <c r="BJ25" s="823"/>
      <c r="BK25" s="793"/>
      <c r="BL25" s="793"/>
      <c r="BM25" s="793"/>
      <c r="BN25" s="793"/>
      <c r="BO25" s="793"/>
      <c r="BP25" s="793"/>
      <c r="BQ25" s="793"/>
      <c r="BR25" s="793"/>
      <c r="BS25" s="793"/>
      <c r="BT25" s="793"/>
      <c r="BX25" s="813"/>
      <c r="BY25" s="814"/>
      <c r="BZ25" s="814"/>
      <c r="CA25" s="814"/>
      <c r="CB25" s="814"/>
      <c r="CC25" s="814"/>
      <c r="CD25" s="814"/>
      <c r="CE25" s="814"/>
      <c r="CF25" s="814"/>
      <c r="CG25" s="814"/>
      <c r="CH25" s="814"/>
      <c r="CI25" s="814"/>
      <c r="CJ25" s="824"/>
    </row>
    <row r="26" customFormat="false" ht="13.5" hidden="false" customHeight="false" outlineLevel="0" collapsed="false">
      <c r="B26" s="767" t="s">
        <v>506</v>
      </c>
      <c r="C26" s="768" t="n">
        <f aca="false">'Reference sheet'!C18+2</f>
        <v>2020</v>
      </c>
      <c r="D26" s="769"/>
      <c r="E26" s="770"/>
      <c r="F26" s="770"/>
      <c r="G26" s="770"/>
      <c r="H26" s="770"/>
      <c r="I26" s="770"/>
      <c r="J26" s="770"/>
      <c r="K26" s="770"/>
      <c r="L26" s="770"/>
      <c r="M26" s="770"/>
      <c r="N26" s="770"/>
      <c r="Q26" s="774" t="s">
        <v>174</v>
      </c>
      <c r="R26" s="775" t="s">
        <v>502</v>
      </c>
      <c r="S26" s="775"/>
      <c r="T26" s="775"/>
      <c r="U26" s="775"/>
      <c r="V26" s="775"/>
      <c r="W26" s="775"/>
      <c r="X26" s="775"/>
      <c r="Y26" s="775"/>
      <c r="Z26" s="775"/>
      <c r="AA26" s="775"/>
      <c r="AB26" s="775"/>
      <c r="AC26" s="775"/>
      <c r="AD26" s="775"/>
      <c r="AE26" s="775"/>
      <c r="AF26" s="775"/>
      <c r="AG26" s="763"/>
      <c r="AH26" s="776"/>
      <c r="AV26" s="774" t="n">
        <f aca="false">AV15+1</f>
        <v>2020</v>
      </c>
      <c r="AW26" s="775" t="s">
        <v>501</v>
      </c>
      <c r="AX26" s="763"/>
      <c r="AY26" s="763"/>
      <c r="AZ26" s="763"/>
      <c r="BA26" s="763"/>
      <c r="BB26" s="763"/>
      <c r="BC26" s="763"/>
      <c r="BD26" s="763"/>
      <c r="BE26" s="763"/>
      <c r="BF26" s="763"/>
      <c r="BG26" s="816"/>
      <c r="BH26" s="800"/>
      <c r="BJ26" s="779" t="n">
        <f aca="false">AV26</f>
        <v>2020</v>
      </c>
      <c r="BK26" s="780" t="s">
        <v>502</v>
      </c>
      <c r="BL26" s="780"/>
      <c r="BM26" s="780"/>
      <c r="BN26" s="780"/>
      <c r="BO26" s="780"/>
      <c r="BP26" s="780"/>
      <c r="BQ26" s="780"/>
      <c r="BR26" s="780"/>
      <c r="BS26" s="780"/>
      <c r="BT26" s="780"/>
      <c r="BU26" s="782"/>
      <c r="BX26" s="779" t="s">
        <v>174</v>
      </c>
      <c r="BY26" s="783" t="s">
        <v>503</v>
      </c>
      <c r="BZ26" s="783"/>
      <c r="CA26" s="783"/>
      <c r="CB26" s="783"/>
      <c r="CC26" s="783"/>
      <c r="CD26" s="783"/>
      <c r="CE26" s="783"/>
      <c r="CF26" s="783"/>
      <c r="CG26" s="783"/>
      <c r="CH26" s="783"/>
      <c r="CI26" s="783"/>
      <c r="CJ26" s="783"/>
      <c r="CK26" s="783"/>
      <c r="CL26" s="783"/>
      <c r="CM26" s="783"/>
      <c r="CN26" s="763"/>
    </row>
    <row r="27" customFormat="false" ht="13.5" hidden="false" customHeight="false" outlineLevel="0" collapsed="false">
      <c r="B27" s="770" t="s">
        <v>500</v>
      </c>
      <c r="C27" s="784"/>
      <c r="D27" s="785" t="n">
        <f aca="false">D16+1</f>
        <v>2020</v>
      </c>
      <c r="E27" s="786" t="n">
        <f aca="false">D27-1</f>
        <v>2019</v>
      </c>
      <c r="F27" s="786" t="n">
        <f aca="false">E27-1</f>
        <v>2018</v>
      </c>
      <c r="G27" s="786" t="n">
        <f aca="false">F27-1</f>
        <v>2017</v>
      </c>
      <c r="H27" s="786" t="n">
        <f aca="false">G27-1</f>
        <v>2016</v>
      </c>
      <c r="I27" s="786" t="n">
        <f aca="false">H27-1</f>
        <v>2015</v>
      </c>
      <c r="J27" s="786" t="n">
        <f aca="false">I27-1</f>
        <v>2014</v>
      </c>
      <c r="K27" s="786" t="n">
        <f aca="false">J27-1</f>
        <v>2013</v>
      </c>
      <c r="L27" s="786" t="n">
        <f aca="false">K27-1</f>
        <v>2012</v>
      </c>
      <c r="M27" s="786" t="n">
        <f aca="false">L27-1</f>
        <v>2011</v>
      </c>
      <c r="N27" s="786" t="s">
        <v>507</v>
      </c>
      <c r="Q27" s="787" t="s">
        <v>298</v>
      </c>
      <c r="R27" s="775" t="s">
        <v>299</v>
      </c>
      <c r="S27" s="775" t="s">
        <v>300</v>
      </c>
      <c r="T27" s="775" t="s">
        <v>301</v>
      </c>
      <c r="U27" s="775" t="s">
        <v>302</v>
      </c>
      <c r="V27" s="775" t="s">
        <v>303</v>
      </c>
      <c r="W27" s="775" t="s">
        <v>304</v>
      </c>
      <c r="X27" s="775" t="s">
        <v>305</v>
      </c>
      <c r="Y27" s="775" t="s">
        <v>306</v>
      </c>
      <c r="Z27" s="775" t="s">
        <v>307</v>
      </c>
      <c r="AA27" s="775" t="s">
        <v>308</v>
      </c>
      <c r="AB27" s="775" t="s">
        <v>309</v>
      </c>
      <c r="AC27" s="775" t="s">
        <v>310</v>
      </c>
      <c r="AD27" s="775" t="s">
        <v>311</v>
      </c>
      <c r="AE27" s="775" t="s">
        <v>312</v>
      </c>
      <c r="AF27" s="775" t="s">
        <v>313</v>
      </c>
      <c r="AG27" s="775"/>
      <c r="AH27" s="776"/>
      <c r="AV27" s="787" t="s">
        <v>298</v>
      </c>
      <c r="AW27" s="775" t="n">
        <f aca="false">AW16+1</f>
        <v>2020</v>
      </c>
      <c r="AX27" s="775" t="n">
        <f aca="false">AW27-1</f>
        <v>2019</v>
      </c>
      <c r="AY27" s="775" t="n">
        <f aca="false">AX27-1</f>
        <v>2018</v>
      </c>
      <c r="AZ27" s="775" t="n">
        <f aca="false">AY27-1</f>
        <v>2017</v>
      </c>
      <c r="BA27" s="775" t="n">
        <f aca="false">AZ27-1</f>
        <v>2016</v>
      </c>
      <c r="BB27" s="775" t="n">
        <f aca="false">BA27-1</f>
        <v>2015</v>
      </c>
      <c r="BC27" s="775" t="n">
        <f aca="false">BB27-1</f>
        <v>2014</v>
      </c>
      <c r="BD27" s="775" t="n">
        <f aca="false">BC27-1</f>
        <v>2013</v>
      </c>
      <c r="BE27" s="775" t="n">
        <f aca="false">BD27-1</f>
        <v>2012</v>
      </c>
      <c r="BF27" s="775" t="n">
        <f aca="false">BE27-1</f>
        <v>2011</v>
      </c>
      <c r="BG27" s="817"/>
      <c r="BH27" s="800"/>
      <c r="BJ27" s="780" t="s">
        <v>298</v>
      </c>
      <c r="BK27" s="780" t="n">
        <f aca="false">AW27</f>
        <v>2020</v>
      </c>
      <c r="BL27" s="780" t="n">
        <f aca="false">AX27</f>
        <v>2019</v>
      </c>
      <c r="BM27" s="780" t="n">
        <f aca="false">AY27</f>
        <v>2018</v>
      </c>
      <c r="BN27" s="780" t="n">
        <f aca="false">AZ27</f>
        <v>2017</v>
      </c>
      <c r="BO27" s="780" t="n">
        <f aca="false">BA27</f>
        <v>2016</v>
      </c>
      <c r="BP27" s="780" t="n">
        <f aca="false">BB27</f>
        <v>2015</v>
      </c>
      <c r="BQ27" s="780" t="n">
        <f aca="false">BC27</f>
        <v>2014</v>
      </c>
      <c r="BR27" s="780" t="n">
        <f aca="false">BD27</f>
        <v>2013</v>
      </c>
      <c r="BS27" s="780" t="n">
        <f aca="false">BE27</f>
        <v>2012</v>
      </c>
      <c r="BT27" s="780" t="n">
        <f aca="false">BF27</f>
        <v>2011</v>
      </c>
      <c r="BU27" s="782"/>
      <c r="BX27" s="780" t="s">
        <v>298</v>
      </c>
      <c r="BY27" s="780" t="n">
        <f aca="false">C26</f>
        <v>2020</v>
      </c>
      <c r="BZ27" s="780" t="n">
        <f aca="false">BY27-1</f>
        <v>2019</v>
      </c>
      <c r="CA27" s="780" t="n">
        <f aca="false">BZ27-1</f>
        <v>2018</v>
      </c>
      <c r="CB27" s="780" t="n">
        <f aca="false">CA27-1</f>
        <v>2017</v>
      </c>
      <c r="CC27" s="780" t="n">
        <f aca="false">CB27-1</f>
        <v>2016</v>
      </c>
      <c r="CD27" s="780" t="n">
        <f aca="false">CC27-1</f>
        <v>2015</v>
      </c>
      <c r="CE27" s="780" t="n">
        <f aca="false">CD27-1</f>
        <v>2014</v>
      </c>
      <c r="CF27" s="780" t="n">
        <f aca="false">CE27-1</f>
        <v>2013</v>
      </c>
      <c r="CG27" s="780" t="n">
        <f aca="false">CF27-1</f>
        <v>2012</v>
      </c>
      <c r="CH27" s="780" t="n">
        <f aca="false">CG27-1</f>
        <v>2011</v>
      </c>
      <c r="CI27" s="780"/>
      <c r="CJ27" s="782"/>
    </row>
    <row r="28" customFormat="false" ht="13.5" hidden="false" customHeight="false" outlineLevel="0" collapsed="false">
      <c r="B28" s="770"/>
      <c r="C28" s="786" t="n">
        <v>45</v>
      </c>
      <c r="D28" s="790" t="n">
        <f aca="false">'7.1 Dealer area'!G39</f>
        <v>0</v>
      </c>
      <c r="E28" s="825" t="n">
        <f aca="false">D17</f>
        <v>0</v>
      </c>
      <c r="F28" s="825" t="n">
        <f aca="false">E17</f>
        <v>0</v>
      </c>
      <c r="G28" s="825" t="n">
        <f aca="false">F17</f>
        <v>0</v>
      </c>
      <c r="H28" s="825" t="n">
        <f aca="false">G17</f>
        <v>0</v>
      </c>
      <c r="I28" s="825" t="n">
        <f aca="false">H17</f>
        <v>0</v>
      </c>
      <c r="J28" s="825" t="n">
        <f aca="false">I17</f>
        <v>0</v>
      </c>
      <c r="K28" s="825" t="n">
        <f aca="false">J17</f>
        <v>0</v>
      </c>
      <c r="L28" s="825" t="n">
        <f aca="false">K17</f>
        <v>0</v>
      </c>
      <c r="M28" s="825" t="n">
        <f aca="false">L17</f>
        <v>0</v>
      </c>
      <c r="N28" s="826" t="n">
        <f aca="false">SUM(D28:M28)</f>
        <v>0</v>
      </c>
      <c r="Q28" s="774" t="n">
        <v>45</v>
      </c>
      <c r="R28" s="827" t="n">
        <f aca="false">('5.1 DAF Vehicle Parc Input'!E27*'DAF Labour CPV (short)'!E7)*((1-'5.1 DAF Vehicle Parc Input'!$H$56)/(1-'Calculation (short)'!$O$1))*(1+$I$1)</f>
        <v>0</v>
      </c>
      <c r="S28" s="827" t="n">
        <f aca="false">('5.1 DAF Vehicle Parc Input'!F27*'DAF Labour CPV (short)'!F7)*((1-'5.1 DAF Vehicle Parc Input'!$H$56)/(1-'Calculation (short)'!$O$1))*(1+$I$1)</f>
        <v>0</v>
      </c>
      <c r="T28" s="827" t="n">
        <f aca="false">('5.1 DAF Vehicle Parc Input'!G27*'DAF Labour CPV (short)'!G7)*((1-'5.1 DAF Vehicle Parc Input'!$H$56)/(1-'Calculation (short)'!$O$1))*(1+$I$1)</f>
        <v>0</v>
      </c>
      <c r="U28" s="827" t="n">
        <f aca="false">('5.1 DAF Vehicle Parc Input'!H27*'DAF Labour CPV (short)'!H7)*((1-'5.1 DAF Vehicle Parc Input'!$H$56)/(1-'Calculation (short)'!$O$1))*(1+$I$1)</f>
        <v>0</v>
      </c>
      <c r="V28" s="827" t="n">
        <f aca="false">('5.1 DAF Vehicle Parc Input'!I27*'DAF Labour CPV (short)'!I7)*((1-'5.1 DAF Vehicle Parc Input'!$H$56)/(1-'Calculation (short)'!$O$1))*(1+$I$1)</f>
        <v>0</v>
      </c>
      <c r="W28" s="827" t="n">
        <f aca="false">('5.1 DAF Vehicle Parc Input'!J27*'DAF Labour CPV (short)'!J7)*((1-'5.1 DAF Vehicle Parc Input'!$H$56)/(1-'Calculation (short)'!$O$1))*(1+$I$1)</f>
        <v>0</v>
      </c>
      <c r="X28" s="827" t="n">
        <f aca="false">('5.1 DAF Vehicle Parc Input'!K27*'DAF Labour CPV (short)'!K7)*((1-'5.1 DAF Vehicle Parc Input'!$H$56)/(1-'Calculation (short)'!$O$1))*(1+$I$1)</f>
        <v>0</v>
      </c>
      <c r="Y28" s="827" t="n">
        <f aca="false">('5.1 DAF Vehicle Parc Input'!L27*'DAF Labour CPV (short)'!L7)*((1-'5.1 DAF Vehicle Parc Input'!$H$56)/(1-'Calculation (short)'!$O$1))*(1+$I$1)</f>
        <v>0</v>
      </c>
      <c r="Z28" s="827" t="n">
        <f aca="false">('5.1 DAF Vehicle Parc Input'!M27*'DAF Labour CPV (short)'!M7)*((1-'5.1 DAF Vehicle Parc Input'!$H$56)/(1-'Calculation (short)'!$O$1))*(1+$I$1)</f>
        <v>0</v>
      </c>
      <c r="AA28" s="827" t="n">
        <f aca="false">('5.1 DAF Vehicle Parc Input'!N27*'DAF Labour CPV (short)'!N7)*((1-'5.1 DAF Vehicle Parc Input'!$H$56)/(1-'Calculation (short)'!$O$1))*(1+$I$1)</f>
        <v>0</v>
      </c>
      <c r="AB28" s="827" t="n">
        <f aca="false">('5.1 DAF Vehicle Parc Input'!O27*'DAF Labour CPV (short)'!O7)*((1-'5.1 DAF Vehicle Parc Input'!$H$56)/(1-'Calculation (short)'!$O$1))*(1+$I$1)</f>
        <v>0</v>
      </c>
      <c r="AC28" s="827" t="n">
        <f aca="false">('5.1 DAF Vehicle Parc Input'!P27*'DAF Labour CPV (short)'!P7)*((1-'5.1 DAF Vehicle Parc Input'!$H$56)/(1-'Calculation (short)'!$O$1))*(1+$I$1)</f>
        <v>0</v>
      </c>
      <c r="AD28" s="827" t="n">
        <f aca="false">('5.1 DAF Vehicle Parc Input'!Q27*'DAF Labour CPV (short)'!Q7)*((1-'5.1 DAF Vehicle Parc Input'!$H$56)/(1-'Calculation (short)'!$O$1))*(1+$I$1)</f>
        <v>0</v>
      </c>
      <c r="AE28" s="827" t="n">
        <f aca="false">('5.1 DAF Vehicle Parc Input'!R27*'DAF Labour CPV (short)'!R7)*((1-'5.1 DAF Vehicle Parc Input'!$H$56)/(1-'Calculation (short)'!$O$1))*(1+$I$1)</f>
        <v>0</v>
      </c>
      <c r="AF28" s="827" t="n">
        <f aca="false">('5.1 DAF Vehicle Parc Input'!S27*'DAF Labour CPV (short)'!S7)*((1-'5.1 DAF Vehicle Parc Input'!$H$56)/(1-'Calculation (short)'!$O$1))*(1+$I$1)</f>
        <v>0</v>
      </c>
      <c r="AG28" s="828" t="n">
        <f aca="false">SUM(R28:AF28)</f>
        <v>0</v>
      </c>
      <c r="AH28" s="795" t="n">
        <f aca="false">AG28</f>
        <v>0</v>
      </c>
      <c r="AV28" s="774" t="n">
        <v>45</v>
      </c>
      <c r="AW28" s="793" t="n">
        <f aca="false">D28*R7*AK7</f>
        <v>0</v>
      </c>
      <c r="AX28" s="793" t="n">
        <f aca="false">E28*S7*AL7</f>
        <v>0</v>
      </c>
      <c r="AY28" s="793" t="n">
        <f aca="false">F28*T7*AM7</f>
        <v>0</v>
      </c>
      <c r="AZ28" s="793" t="n">
        <f aca="false">G28*U7*AN7</f>
        <v>0</v>
      </c>
      <c r="BA28" s="793" t="n">
        <f aca="false">H28*V7*AO7</f>
        <v>0</v>
      </c>
      <c r="BB28" s="793" t="n">
        <f aca="false">I28*W7*AP7</f>
        <v>0</v>
      </c>
      <c r="BC28" s="793" t="n">
        <f aca="false">J28*X7*AQ7</f>
        <v>0</v>
      </c>
      <c r="BD28" s="793" t="n">
        <f aca="false">K28*Y7*AR7</f>
        <v>0</v>
      </c>
      <c r="BE28" s="793" t="n">
        <f aca="false">L28*Z7*AS7</f>
        <v>0</v>
      </c>
      <c r="BF28" s="793" t="n">
        <f aca="false">M28*AA7*AT7</f>
        <v>0</v>
      </c>
      <c r="BG28" s="799" t="n">
        <f aca="false">SUM(AW28:BF28)</f>
        <v>0</v>
      </c>
      <c r="BH28" s="800" t="n">
        <f aca="false">BG28</f>
        <v>0</v>
      </c>
      <c r="BJ28" s="779" t="n">
        <v>45</v>
      </c>
      <c r="BK28" s="801" t="n">
        <f aca="false">R17*D28*AK7</f>
        <v>0</v>
      </c>
      <c r="BL28" s="801" t="n">
        <f aca="false">S17*E28*AL7</f>
        <v>0</v>
      </c>
      <c r="BM28" s="801" t="n">
        <f aca="false">T17*F28*AM7</f>
        <v>0</v>
      </c>
      <c r="BN28" s="801" t="n">
        <f aca="false">U17*G28*AN7</f>
        <v>0</v>
      </c>
      <c r="BO28" s="801" t="n">
        <f aca="false">V17*H28*AO7</f>
        <v>0</v>
      </c>
      <c r="BP28" s="801" t="n">
        <f aca="false">W17*I28*AP7</f>
        <v>0</v>
      </c>
      <c r="BQ28" s="801" t="n">
        <f aca="false">X17*J28*AQ7</f>
        <v>0</v>
      </c>
      <c r="BR28" s="801" t="n">
        <f aca="false">Y17*K28*AR7</f>
        <v>0</v>
      </c>
      <c r="BS28" s="801" t="n">
        <f aca="false">Z17*L28*AS7</f>
        <v>0</v>
      </c>
      <c r="BT28" s="801" t="n">
        <f aca="false">AA17*M28*AT7</f>
        <v>0</v>
      </c>
      <c r="BU28" s="802" t="n">
        <f aca="false">SUM(BK28:BT28)</f>
        <v>0</v>
      </c>
      <c r="BV28" s="803" t="n">
        <f aca="false">BU28</f>
        <v>0</v>
      </c>
      <c r="BX28" s="779" t="n">
        <v>45</v>
      </c>
      <c r="BY28" s="804" t="n">
        <f aca="false">D28*R38*AK7</f>
        <v>0</v>
      </c>
      <c r="BZ28" s="804" t="n">
        <f aca="false">E28*S38*AL7</f>
        <v>0</v>
      </c>
      <c r="CA28" s="804" t="n">
        <f aca="false">F28*T38*AM7</f>
        <v>0</v>
      </c>
      <c r="CB28" s="804" t="n">
        <f aca="false">G28*U38*AN7</f>
        <v>0</v>
      </c>
      <c r="CC28" s="804" t="n">
        <f aca="false">H28*V38*AO7</f>
        <v>0</v>
      </c>
      <c r="CD28" s="804" t="n">
        <f aca="false">I28*W38*AP7</f>
        <v>0</v>
      </c>
      <c r="CE28" s="804" t="n">
        <f aca="false">J28*X38*AQ7</f>
        <v>0</v>
      </c>
      <c r="CF28" s="804" t="n">
        <f aca="false">K28*Y38*AR7</f>
        <v>0</v>
      </c>
      <c r="CG28" s="804" t="n">
        <f aca="false">L28*Z38*AS7</f>
        <v>0</v>
      </c>
      <c r="CH28" s="804" t="n">
        <f aca="false">M28*AA38*AT7</f>
        <v>0</v>
      </c>
      <c r="CI28" s="805" t="n">
        <f aca="false">SUM(BY28:CH28)</f>
        <v>0</v>
      </c>
      <c r="CJ28" s="806" t="n">
        <f aca="false">CI28</f>
        <v>0</v>
      </c>
    </row>
    <row r="29" customFormat="false" ht="13.5" hidden="false" customHeight="false" outlineLevel="0" collapsed="false">
      <c r="B29" s="770"/>
      <c r="C29" s="786" t="n">
        <v>55</v>
      </c>
      <c r="D29" s="790" t="n">
        <f aca="false">'7.1 Dealer area'!G40</f>
        <v>0</v>
      </c>
      <c r="E29" s="825" t="n">
        <f aca="false">D18</f>
        <v>0</v>
      </c>
      <c r="F29" s="825" t="n">
        <f aca="false">E18</f>
        <v>0</v>
      </c>
      <c r="G29" s="825" t="n">
        <f aca="false">F18</f>
        <v>0</v>
      </c>
      <c r="H29" s="825" t="n">
        <f aca="false">G18</f>
        <v>0</v>
      </c>
      <c r="I29" s="825" t="n">
        <f aca="false">H18</f>
        <v>0</v>
      </c>
      <c r="J29" s="825" t="n">
        <f aca="false">I18</f>
        <v>0</v>
      </c>
      <c r="K29" s="825" t="n">
        <f aca="false">J18</f>
        <v>0</v>
      </c>
      <c r="L29" s="825" t="n">
        <f aca="false">K18</f>
        <v>0</v>
      </c>
      <c r="M29" s="825" t="n">
        <f aca="false">L18</f>
        <v>0</v>
      </c>
      <c r="N29" s="826" t="n">
        <f aca="false">SUM(D29:M29)</f>
        <v>0</v>
      </c>
      <c r="Q29" s="774" t="n">
        <v>55</v>
      </c>
      <c r="R29" s="827" t="n">
        <f aca="false">('5.1 DAF Vehicle Parc Input'!E28*'DAF Labour CPV (short)'!E8)*((1-'5.1 DAF Vehicle Parc Input'!$H$56)/(1-'Calculation (short)'!$O$1))*(1+$I$1)</f>
        <v>0</v>
      </c>
      <c r="S29" s="827" t="n">
        <f aca="false">('5.1 DAF Vehicle Parc Input'!F28*'DAF Labour CPV (short)'!F8)*((1-'5.1 DAF Vehicle Parc Input'!$H$56)/(1-'Calculation (short)'!$O$1))*(1+$I$1)</f>
        <v>0</v>
      </c>
      <c r="T29" s="827" t="n">
        <f aca="false">('5.1 DAF Vehicle Parc Input'!G28*'DAF Labour CPV (short)'!G8)*((1-'5.1 DAF Vehicle Parc Input'!$H$56)/(1-'Calculation (short)'!$O$1))*(1+$I$1)</f>
        <v>0</v>
      </c>
      <c r="U29" s="827" t="n">
        <f aca="false">('5.1 DAF Vehicle Parc Input'!H28*'DAF Labour CPV (short)'!H8)*((1-'5.1 DAF Vehicle Parc Input'!$H$56)/(1-'Calculation (short)'!$O$1))*(1+$I$1)</f>
        <v>0</v>
      </c>
      <c r="V29" s="827" t="n">
        <f aca="false">('5.1 DAF Vehicle Parc Input'!I28*'DAF Labour CPV (short)'!I8)*((1-'5.1 DAF Vehicle Parc Input'!$H$56)/(1-'Calculation (short)'!$O$1))*(1+$I$1)</f>
        <v>0</v>
      </c>
      <c r="W29" s="827" t="n">
        <f aca="false">('5.1 DAF Vehicle Parc Input'!J28*'DAF Labour CPV (short)'!J8)*((1-'5.1 DAF Vehicle Parc Input'!$H$56)/(1-'Calculation (short)'!$O$1))*(1+$I$1)</f>
        <v>0</v>
      </c>
      <c r="X29" s="827" t="n">
        <f aca="false">('5.1 DAF Vehicle Parc Input'!K28*'DAF Labour CPV (short)'!K8)*((1-'5.1 DAF Vehicle Parc Input'!$H$56)/(1-'Calculation (short)'!$O$1))*(1+$I$1)</f>
        <v>0</v>
      </c>
      <c r="Y29" s="827" t="n">
        <f aca="false">('5.1 DAF Vehicle Parc Input'!L28*'DAF Labour CPV (short)'!L8)*((1-'5.1 DAF Vehicle Parc Input'!$H$56)/(1-'Calculation (short)'!$O$1))*(1+$I$1)</f>
        <v>0</v>
      </c>
      <c r="Z29" s="827" t="n">
        <f aca="false">('5.1 DAF Vehicle Parc Input'!M28*'DAF Labour CPV (short)'!M8)*((1-'5.1 DAF Vehicle Parc Input'!$H$56)/(1-'Calculation (short)'!$O$1))*(1+$I$1)</f>
        <v>0</v>
      </c>
      <c r="AA29" s="827" t="n">
        <f aca="false">('5.1 DAF Vehicle Parc Input'!N28*'DAF Labour CPV (short)'!N8)*((1-'5.1 DAF Vehicle Parc Input'!$H$56)/(1-'Calculation (short)'!$O$1))*(1+$I$1)</f>
        <v>0</v>
      </c>
      <c r="AB29" s="827" t="n">
        <f aca="false">('5.1 DAF Vehicle Parc Input'!O28*'DAF Labour CPV (short)'!O8)*((1-'5.1 DAF Vehicle Parc Input'!$H$56)/(1-'Calculation (short)'!$O$1))*(1+$I$1)</f>
        <v>0</v>
      </c>
      <c r="AC29" s="827" t="n">
        <f aca="false">('5.1 DAF Vehicle Parc Input'!P28*'DAF Labour CPV (short)'!P8)*((1-'5.1 DAF Vehicle Parc Input'!$H$56)/(1-'Calculation (short)'!$O$1))*(1+$I$1)</f>
        <v>0</v>
      </c>
      <c r="AD29" s="827" t="n">
        <f aca="false">('5.1 DAF Vehicle Parc Input'!Q28*'DAF Labour CPV (short)'!Q8)*((1-'5.1 DAF Vehicle Parc Input'!$H$56)/(1-'Calculation (short)'!$O$1))*(1+$I$1)</f>
        <v>0</v>
      </c>
      <c r="AE29" s="827" t="n">
        <f aca="false">('5.1 DAF Vehicle Parc Input'!R28*'DAF Labour CPV (short)'!R8)*((1-'5.1 DAF Vehicle Parc Input'!$H$56)/(1-'Calculation (short)'!$O$1))*(1+$I$1)</f>
        <v>0</v>
      </c>
      <c r="AF29" s="827" t="n">
        <f aca="false">('5.1 DAF Vehicle Parc Input'!S28*'DAF Labour CPV (short)'!S8)*((1-'5.1 DAF Vehicle Parc Input'!$H$56)/(1-'Calculation (short)'!$O$1))*(1+$I$1)</f>
        <v>0</v>
      </c>
      <c r="AG29" s="828" t="n">
        <f aca="false">SUM(R29:AF29)</f>
        <v>0</v>
      </c>
      <c r="AH29" s="795" t="n">
        <f aca="false">AG29</f>
        <v>0</v>
      </c>
      <c r="AV29" s="774" t="n">
        <v>55</v>
      </c>
      <c r="AW29" s="793" t="n">
        <f aca="false">D29*R8*AK8</f>
        <v>0</v>
      </c>
      <c r="AX29" s="793" t="n">
        <f aca="false">E29*S8*AL8</f>
        <v>0</v>
      </c>
      <c r="AY29" s="793" t="n">
        <f aca="false">F29*T8*AM8</f>
        <v>0</v>
      </c>
      <c r="AZ29" s="793" t="n">
        <f aca="false">G29*U8*AN8</f>
        <v>0</v>
      </c>
      <c r="BA29" s="793" t="n">
        <f aca="false">H29*V8*AO8</f>
        <v>0</v>
      </c>
      <c r="BB29" s="793" t="n">
        <f aca="false">I29*W8*AP8</f>
        <v>0</v>
      </c>
      <c r="BC29" s="793" t="n">
        <f aca="false">J29*X8*AQ8</f>
        <v>0</v>
      </c>
      <c r="BD29" s="793" t="n">
        <f aca="false">K29*Y8*AR8</f>
        <v>0</v>
      </c>
      <c r="BE29" s="793" t="n">
        <f aca="false">L29*Z8*AS8</f>
        <v>0</v>
      </c>
      <c r="BF29" s="793" t="n">
        <f aca="false">M29*AA8*AT8</f>
        <v>0</v>
      </c>
      <c r="BG29" s="799" t="n">
        <f aca="false">SUM(AW29:BF29)</f>
        <v>0</v>
      </c>
      <c r="BH29" s="800" t="n">
        <f aca="false">BG29</f>
        <v>0</v>
      </c>
      <c r="BJ29" s="779" t="n">
        <v>55</v>
      </c>
      <c r="BK29" s="801" t="n">
        <f aca="false">R18*D29*AK8</f>
        <v>0</v>
      </c>
      <c r="BL29" s="801" t="n">
        <f aca="false">S18*E29*AL8</f>
        <v>0</v>
      </c>
      <c r="BM29" s="801" t="n">
        <f aca="false">T18*F29*AM8</f>
        <v>0</v>
      </c>
      <c r="BN29" s="801" t="n">
        <f aca="false">U18*G29*AN8</f>
        <v>0</v>
      </c>
      <c r="BO29" s="801" t="n">
        <f aca="false">V18*H29*AO8</f>
        <v>0</v>
      </c>
      <c r="BP29" s="801" t="n">
        <f aca="false">W18*I29*AP8</f>
        <v>0</v>
      </c>
      <c r="BQ29" s="801" t="n">
        <f aca="false">X18*J29*AQ8</f>
        <v>0</v>
      </c>
      <c r="BR29" s="801" t="n">
        <f aca="false">Y18*K29*AR8</f>
        <v>0</v>
      </c>
      <c r="BS29" s="801" t="n">
        <f aca="false">Z18*L29*AS8</f>
        <v>0</v>
      </c>
      <c r="BT29" s="801" t="n">
        <f aca="false">AA18*M29*AT8</f>
        <v>0</v>
      </c>
      <c r="BU29" s="802" t="n">
        <f aca="false">SUM(BK29:BT29)</f>
        <v>0</v>
      </c>
      <c r="BV29" s="803" t="n">
        <f aca="false">BU29</f>
        <v>0</v>
      </c>
      <c r="BX29" s="779" t="n">
        <v>55</v>
      </c>
      <c r="BY29" s="804" t="n">
        <f aca="false">D29*R39*AK8</f>
        <v>0</v>
      </c>
      <c r="BZ29" s="804" t="n">
        <f aca="false">E29*S39*AL8</f>
        <v>0</v>
      </c>
      <c r="CA29" s="804" t="n">
        <f aca="false">F29*T39*AM8</f>
        <v>0</v>
      </c>
      <c r="CB29" s="804" t="n">
        <f aca="false">G29*U39*AN8</f>
        <v>0</v>
      </c>
      <c r="CC29" s="804" t="n">
        <f aca="false">H29*V39*AO8</f>
        <v>0</v>
      </c>
      <c r="CD29" s="804" t="n">
        <f aca="false">I29*W39*AP8</f>
        <v>0</v>
      </c>
      <c r="CE29" s="804" t="n">
        <f aca="false">J29*X39*AQ8</f>
        <v>0</v>
      </c>
      <c r="CF29" s="804" t="n">
        <f aca="false">K29*Y39*AR8</f>
        <v>0</v>
      </c>
      <c r="CG29" s="804" t="n">
        <f aca="false">L29*Z39*AS8</f>
        <v>0</v>
      </c>
      <c r="CH29" s="804" t="n">
        <f aca="false">M29*AA39*AT8</f>
        <v>0</v>
      </c>
      <c r="CI29" s="805" t="n">
        <f aca="false">SUM(BY29:CH29)</f>
        <v>0</v>
      </c>
      <c r="CJ29" s="806" t="n">
        <f aca="false">CI29</f>
        <v>0</v>
      </c>
    </row>
    <row r="30" customFormat="false" ht="13.5" hidden="false" customHeight="false" outlineLevel="0" collapsed="false">
      <c r="B30" s="770"/>
      <c r="C30" s="786" t="n">
        <v>65</v>
      </c>
      <c r="D30" s="790" t="n">
        <f aca="false">'7.1 Dealer area'!G43</f>
        <v>0</v>
      </c>
      <c r="E30" s="825" t="n">
        <f aca="false">D19</f>
        <v>0</v>
      </c>
      <c r="F30" s="825" t="n">
        <f aca="false">E19</f>
        <v>0</v>
      </c>
      <c r="G30" s="825" t="n">
        <f aca="false">F19</f>
        <v>0</v>
      </c>
      <c r="H30" s="825" t="n">
        <f aca="false">G19</f>
        <v>0</v>
      </c>
      <c r="I30" s="825" t="n">
        <f aca="false">H19</f>
        <v>0</v>
      </c>
      <c r="J30" s="825" t="n">
        <f aca="false">I19</f>
        <v>0</v>
      </c>
      <c r="K30" s="825" t="n">
        <f aca="false">J19</f>
        <v>0</v>
      </c>
      <c r="L30" s="825" t="n">
        <f aca="false">K19</f>
        <v>0</v>
      </c>
      <c r="M30" s="825" t="n">
        <f aca="false">L19</f>
        <v>0</v>
      </c>
      <c r="N30" s="826" t="n">
        <f aca="false">SUM(D30:M30)</f>
        <v>0</v>
      </c>
      <c r="Q30" s="774" t="n">
        <v>65</v>
      </c>
      <c r="R30" s="827" t="n">
        <f aca="false">('5.1 DAF Vehicle Parc Input'!E29*'DAF Labour CPV (short)'!E9)*((1-'5.1 DAF Vehicle Parc Input'!$H$56)/(1-'Calculation (short)'!$O$1))*(1+$I$1)</f>
        <v>0</v>
      </c>
      <c r="S30" s="827" t="n">
        <f aca="false">('5.1 DAF Vehicle Parc Input'!F29*'DAF Labour CPV (short)'!F9)*((1-'5.1 DAF Vehicle Parc Input'!$H$56)/(1-'Calculation (short)'!$O$1))*(1+$I$1)</f>
        <v>0</v>
      </c>
      <c r="T30" s="827" t="n">
        <f aca="false">('5.1 DAF Vehicle Parc Input'!G29*'DAF Labour CPV (short)'!G9)*((1-'5.1 DAF Vehicle Parc Input'!$H$56)/(1-'Calculation (short)'!$O$1))*(1+$I$1)</f>
        <v>0</v>
      </c>
      <c r="U30" s="827" t="n">
        <f aca="false">('5.1 DAF Vehicle Parc Input'!H29*'DAF Labour CPV (short)'!H9)*((1-'5.1 DAF Vehicle Parc Input'!$H$56)/(1-'Calculation (short)'!$O$1))*(1+$I$1)</f>
        <v>0</v>
      </c>
      <c r="V30" s="827" t="n">
        <f aca="false">('5.1 DAF Vehicle Parc Input'!I29*'DAF Labour CPV (short)'!I9)*((1-'5.1 DAF Vehicle Parc Input'!$H$56)/(1-'Calculation (short)'!$O$1))*(1+$I$1)</f>
        <v>0</v>
      </c>
      <c r="W30" s="827" t="n">
        <f aca="false">('5.1 DAF Vehicle Parc Input'!J29*'DAF Labour CPV (short)'!J9)*((1-'5.1 DAF Vehicle Parc Input'!$H$56)/(1-'Calculation (short)'!$O$1))*(1+$I$1)</f>
        <v>0</v>
      </c>
      <c r="X30" s="827" t="n">
        <f aca="false">('5.1 DAF Vehicle Parc Input'!K29*'DAF Labour CPV (short)'!K9)*((1-'5.1 DAF Vehicle Parc Input'!$H$56)/(1-'Calculation (short)'!$O$1))*(1+$I$1)</f>
        <v>0</v>
      </c>
      <c r="Y30" s="827" t="n">
        <f aca="false">('5.1 DAF Vehicle Parc Input'!L29*'DAF Labour CPV (short)'!L9)*((1-'5.1 DAF Vehicle Parc Input'!$H$56)/(1-'Calculation (short)'!$O$1))*(1+$I$1)</f>
        <v>0</v>
      </c>
      <c r="Z30" s="827" t="n">
        <f aca="false">('5.1 DAF Vehicle Parc Input'!M29*'DAF Labour CPV (short)'!M9)*((1-'5.1 DAF Vehicle Parc Input'!$H$56)/(1-'Calculation (short)'!$O$1))*(1+$I$1)</f>
        <v>0</v>
      </c>
      <c r="AA30" s="827" t="n">
        <f aca="false">('5.1 DAF Vehicle Parc Input'!N29*'DAF Labour CPV (short)'!N9)*((1-'5.1 DAF Vehicle Parc Input'!$H$56)/(1-'Calculation (short)'!$O$1))*(1+$I$1)</f>
        <v>0</v>
      </c>
      <c r="AB30" s="827" t="n">
        <f aca="false">('5.1 DAF Vehicle Parc Input'!O29*'DAF Labour CPV (short)'!O9)*((1-'5.1 DAF Vehicle Parc Input'!$H$56)/(1-'Calculation (short)'!$O$1))*(1+$I$1)</f>
        <v>0</v>
      </c>
      <c r="AC30" s="827" t="n">
        <f aca="false">('5.1 DAF Vehicle Parc Input'!P29*'DAF Labour CPV (short)'!P9)*((1-'5.1 DAF Vehicle Parc Input'!$H$56)/(1-'Calculation (short)'!$O$1))*(1+$I$1)</f>
        <v>0</v>
      </c>
      <c r="AD30" s="827" t="n">
        <f aca="false">('5.1 DAF Vehicle Parc Input'!Q29*'DAF Labour CPV (short)'!Q9)*((1-'5.1 DAF Vehicle Parc Input'!$H$56)/(1-'Calculation (short)'!$O$1))*(1+$I$1)</f>
        <v>0</v>
      </c>
      <c r="AE30" s="827" t="n">
        <f aca="false">('5.1 DAF Vehicle Parc Input'!R29*'DAF Labour CPV (short)'!R9)*((1-'5.1 DAF Vehicle Parc Input'!$H$56)/(1-'Calculation (short)'!$O$1))*(1+$I$1)</f>
        <v>0</v>
      </c>
      <c r="AF30" s="827" t="n">
        <f aca="false">('5.1 DAF Vehicle Parc Input'!S29*'DAF Labour CPV (short)'!S9)*((1-'5.1 DAF Vehicle Parc Input'!$H$56)/(1-'Calculation (short)'!$O$1))*(1+$I$1)</f>
        <v>0</v>
      </c>
      <c r="AG30" s="828" t="n">
        <f aca="false">SUM(R30:AF30)</f>
        <v>0</v>
      </c>
      <c r="AH30" s="795" t="n">
        <f aca="false">AG30</f>
        <v>0</v>
      </c>
      <c r="AV30" s="774" t="n">
        <v>65</v>
      </c>
      <c r="AW30" s="793" t="n">
        <f aca="false">D30*R9*AK9</f>
        <v>0</v>
      </c>
      <c r="AX30" s="793" t="n">
        <f aca="false">E30*S9*AL9</f>
        <v>0</v>
      </c>
      <c r="AY30" s="793" t="n">
        <f aca="false">F30*T9*AM9</f>
        <v>0</v>
      </c>
      <c r="AZ30" s="793" t="n">
        <f aca="false">G30*U9*AN9</f>
        <v>0</v>
      </c>
      <c r="BA30" s="793" t="n">
        <f aca="false">H30*V9*AO9</f>
        <v>0</v>
      </c>
      <c r="BB30" s="793" t="n">
        <f aca="false">I30*W9*AP9</f>
        <v>0</v>
      </c>
      <c r="BC30" s="793" t="n">
        <f aca="false">J30*X9*AQ9</f>
        <v>0</v>
      </c>
      <c r="BD30" s="793" t="n">
        <f aca="false">K30*Y9*AR9</f>
        <v>0</v>
      </c>
      <c r="BE30" s="793" t="n">
        <f aca="false">L30*Z9*AS9</f>
        <v>0</v>
      </c>
      <c r="BF30" s="793" t="n">
        <f aca="false">M30*AA9*AT9</f>
        <v>0</v>
      </c>
      <c r="BG30" s="799" t="n">
        <f aca="false">SUM(AW30:BF30)</f>
        <v>0</v>
      </c>
      <c r="BH30" s="800" t="n">
        <f aca="false">BG30</f>
        <v>0</v>
      </c>
      <c r="BJ30" s="779" t="n">
        <v>65</v>
      </c>
      <c r="BK30" s="801" t="n">
        <f aca="false">R19*D30*AK9</f>
        <v>0</v>
      </c>
      <c r="BL30" s="801" t="n">
        <f aca="false">S19*E30*AL9</f>
        <v>0</v>
      </c>
      <c r="BM30" s="801" t="n">
        <f aca="false">T19*F30*AM9</f>
        <v>0</v>
      </c>
      <c r="BN30" s="801" t="n">
        <f aca="false">U19*G30*AN9</f>
        <v>0</v>
      </c>
      <c r="BO30" s="801" t="n">
        <f aca="false">V19*H30*AO9</f>
        <v>0</v>
      </c>
      <c r="BP30" s="801" t="n">
        <f aca="false">W19*I30*AP9</f>
        <v>0</v>
      </c>
      <c r="BQ30" s="801" t="n">
        <f aca="false">X19*J30*AQ9</f>
        <v>0</v>
      </c>
      <c r="BR30" s="801" t="n">
        <f aca="false">Y19*K30*AR9</f>
        <v>0</v>
      </c>
      <c r="BS30" s="801" t="n">
        <f aca="false">Z19*L30*AS9</f>
        <v>0</v>
      </c>
      <c r="BT30" s="801" t="n">
        <f aca="false">AA19*M30*AT9</f>
        <v>0</v>
      </c>
      <c r="BU30" s="802" t="n">
        <f aca="false">SUM(BK30:BT30)</f>
        <v>0</v>
      </c>
      <c r="BV30" s="803" t="n">
        <f aca="false">BU30</f>
        <v>0</v>
      </c>
      <c r="BX30" s="779" t="n">
        <v>65</v>
      </c>
      <c r="BY30" s="804" t="n">
        <f aca="false">D30*R40*AK9</f>
        <v>0</v>
      </c>
      <c r="BZ30" s="804" t="n">
        <f aca="false">E30*S40*AL9</f>
        <v>0</v>
      </c>
      <c r="CA30" s="804" t="n">
        <f aca="false">F30*T40*AM9</f>
        <v>0</v>
      </c>
      <c r="CB30" s="804" t="n">
        <f aca="false">G30*U40*AN9</f>
        <v>0</v>
      </c>
      <c r="CC30" s="804" t="n">
        <f aca="false">H30*V40*AO9</f>
        <v>0</v>
      </c>
      <c r="CD30" s="804" t="n">
        <f aca="false">I30*W40*AP9</f>
        <v>0</v>
      </c>
      <c r="CE30" s="804" t="n">
        <f aca="false">J30*X40*AQ9</f>
        <v>0</v>
      </c>
      <c r="CF30" s="804" t="n">
        <f aca="false">K30*Y40*AR9</f>
        <v>0</v>
      </c>
      <c r="CG30" s="804" t="n">
        <f aca="false">L30*Z40*AS9</f>
        <v>0</v>
      </c>
      <c r="CH30" s="804" t="n">
        <f aca="false">M30*AA40*AT9</f>
        <v>0</v>
      </c>
      <c r="CI30" s="805" t="n">
        <f aca="false">SUM(BY30:CH30)</f>
        <v>0</v>
      </c>
      <c r="CJ30" s="806" t="n">
        <f aca="false">CI30</f>
        <v>0</v>
      </c>
    </row>
    <row r="31" customFormat="false" ht="13.5" hidden="false" customHeight="false" outlineLevel="0" collapsed="false">
      <c r="B31" s="770"/>
      <c r="C31" s="786" t="n">
        <v>75</v>
      </c>
      <c r="D31" s="790" t="n">
        <f aca="false">'7.1 Dealer area'!G44</f>
        <v>0</v>
      </c>
      <c r="E31" s="825" t="n">
        <f aca="false">D20</f>
        <v>0</v>
      </c>
      <c r="F31" s="825" t="n">
        <f aca="false">E20</f>
        <v>0</v>
      </c>
      <c r="G31" s="825" t="n">
        <f aca="false">F20</f>
        <v>0</v>
      </c>
      <c r="H31" s="825" t="n">
        <f aca="false">G20</f>
        <v>0</v>
      </c>
      <c r="I31" s="825" t="n">
        <f aca="false">H20</f>
        <v>0</v>
      </c>
      <c r="J31" s="825" t="n">
        <f aca="false">I20</f>
        <v>0</v>
      </c>
      <c r="K31" s="825" t="n">
        <f aca="false">J20</f>
        <v>0</v>
      </c>
      <c r="L31" s="825" t="n">
        <f aca="false">K20</f>
        <v>0</v>
      </c>
      <c r="M31" s="825" t="n">
        <f aca="false">L20</f>
        <v>0</v>
      </c>
      <c r="N31" s="826" t="n">
        <f aca="false">SUM(D31:M31)</f>
        <v>0</v>
      </c>
      <c r="Q31" s="774" t="n">
        <v>75</v>
      </c>
      <c r="R31" s="827" t="n">
        <f aca="false">('5.1 DAF Vehicle Parc Input'!E30*'DAF Labour CPV (short)'!E10)*((1-'5.1 DAF Vehicle Parc Input'!$H$56)/(1-'Calculation (short)'!$O$1))*(1+$I$1)</f>
        <v>0</v>
      </c>
      <c r="S31" s="827" t="n">
        <f aca="false">('5.1 DAF Vehicle Parc Input'!F30*'DAF Labour CPV (short)'!F10)*((1-'5.1 DAF Vehicle Parc Input'!$H$56)/(1-'Calculation (short)'!$O$1))*(1+$I$1)</f>
        <v>0</v>
      </c>
      <c r="T31" s="827" t="n">
        <f aca="false">('5.1 DAF Vehicle Parc Input'!G30*'DAF Labour CPV (short)'!G10)*((1-'5.1 DAF Vehicle Parc Input'!$H$56)/(1-'Calculation (short)'!$O$1))*(1+$I$1)</f>
        <v>0</v>
      </c>
      <c r="U31" s="827" t="n">
        <f aca="false">('5.1 DAF Vehicle Parc Input'!H30*'DAF Labour CPV (short)'!H10)*((1-'5.1 DAF Vehicle Parc Input'!$H$56)/(1-'Calculation (short)'!$O$1))*(1+$I$1)</f>
        <v>0</v>
      </c>
      <c r="V31" s="827" t="n">
        <f aca="false">('5.1 DAF Vehicle Parc Input'!I30*'DAF Labour CPV (short)'!I10)*((1-'5.1 DAF Vehicle Parc Input'!$H$56)/(1-'Calculation (short)'!$O$1))*(1+$I$1)</f>
        <v>0</v>
      </c>
      <c r="W31" s="827" t="n">
        <f aca="false">('5.1 DAF Vehicle Parc Input'!J30*'DAF Labour CPV (short)'!J10)*((1-'5.1 DAF Vehicle Parc Input'!$H$56)/(1-'Calculation (short)'!$O$1))*(1+$I$1)</f>
        <v>0</v>
      </c>
      <c r="X31" s="827" t="n">
        <f aca="false">('5.1 DAF Vehicle Parc Input'!K30*'DAF Labour CPV (short)'!K10)*((1-'5.1 DAF Vehicle Parc Input'!$H$56)/(1-'Calculation (short)'!$O$1))*(1+$I$1)</f>
        <v>0</v>
      </c>
      <c r="Y31" s="827" t="n">
        <f aca="false">('5.1 DAF Vehicle Parc Input'!L30*'DAF Labour CPV (short)'!L10)*((1-'5.1 DAF Vehicle Parc Input'!$H$56)/(1-'Calculation (short)'!$O$1))*(1+$I$1)</f>
        <v>0</v>
      </c>
      <c r="Z31" s="827" t="n">
        <f aca="false">('5.1 DAF Vehicle Parc Input'!M30*'DAF Labour CPV (short)'!M10)*((1-'5.1 DAF Vehicle Parc Input'!$H$56)/(1-'Calculation (short)'!$O$1))*(1+$I$1)</f>
        <v>0</v>
      </c>
      <c r="AA31" s="827" t="n">
        <f aca="false">('5.1 DAF Vehicle Parc Input'!N30*'DAF Labour CPV (short)'!N10)*((1-'5.1 DAF Vehicle Parc Input'!$H$56)/(1-'Calculation (short)'!$O$1))*(1+$I$1)</f>
        <v>0</v>
      </c>
      <c r="AB31" s="827" t="n">
        <f aca="false">('5.1 DAF Vehicle Parc Input'!O30*'DAF Labour CPV (short)'!O10)*((1-'5.1 DAF Vehicle Parc Input'!$H$56)/(1-'Calculation (short)'!$O$1))*(1+$I$1)</f>
        <v>0</v>
      </c>
      <c r="AC31" s="827" t="n">
        <f aca="false">('5.1 DAF Vehicle Parc Input'!P30*'DAF Labour CPV (short)'!P10)*((1-'5.1 DAF Vehicle Parc Input'!$H$56)/(1-'Calculation (short)'!$O$1))*(1+$I$1)</f>
        <v>0</v>
      </c>
      <c r="AD31" s="827" t="n">
        <f aca="false">('5.1 DAF Vehicle Parc Input'!Q30*'DAF Labour CPV (short)'!Q10)*((1-'5.1 DAF Vehicle Parc Input'!$H$56)/(1-'Calculation (short)'!$O$1))*(1+$I$1)</f>
        <v>0</v>
      </c>
      <c r="AE31" s="827" t="n">
        <f aca="false">('5.1 DAF Vehicle Parc Input'!R30*'DAF Labour CPV (short)'!R10)*((1-'5.1 DAF Vehicle Parc Input'!$H$56)/(1-'Calculation (short)'!$O$1))*(1+$I$1)</f>
        <v>0</v>
      </c>
      <c r="AF31" s="827" t="n">
        <f aca="false">('5.1 DAF Vehicle Parc Input'!S30*'DAF Labour CPV (short)'!S10)*((1-'5.1 DAF Vehicle Parc Input'!$H$56)/(1-'Calculation (short)'!$O$1))*(1+$I$1)</f>
        <v>0</v>
      </c>
      <c r="AG31" s="828" t="n">
        <f aca="false">SUM(R31:AF31)</f>
        <v>0</v>
      </c>
      <c r="AH31" s="795" t="n">
        <f aca="false">AG31</f>
        <v>0</v>
      </c>
      <c r="AV31" s="774" t="n">
        <v>75</v>
      </c>
      <c r="AW31" s="793" t="n">
        <f aca="false">D31*R10*AK10</f>
        <v>0</v>
      </c>
      <c r="AX31" s="793" t="n">
        <f aca="false">E31*S10*AL10</f>
        <v>0</v>
      </c>
      <c r="AY31" s="793" t="n">
        <f aca="false">F31*T10*AM10</f>
        <v>0</v>
      </c>
      <c r="AZ31" s="793" t="n">
        <f aca="false">G31*U10*AN10</f>
        <v>0</v>
      </c>
      <c r="BA31" s="793" t="n">
        <f aca="false">H31*V10*AO10</f>
        <v>0</v>
      </c>
      <c r="BB31" s="793" t="n">
        <f aca="false">I31*W10*AP10</f>
        <v>0</v>
      </c>
      <c r="BC31" s="793" t="n">
        <f aca="false">J31*X10*AQ10</f>
        <v>0</v>
      </c>
      <c r="BD31" s="793" t="n">
        <f aca="false">K31*Y10*AR10</f>
        <v>0</v>
      </c>
      <c r="BE31" s="793" t="n">
        <f aca="false">L31*Z10*AS10</f>
        <v>0</v>
      </c>
      <c r="BF31" s="793" t="n">
        <f aca="false">M31*AA10*AT10</f>
        <v>0</v>
      </c>
      <c r="BG31" s="799" t="n">
        <f aca="false">SUM(AW31:BF31)</f>
        <v>0</v>
      </c>
      <c r="BH31" s="800" t="n">
        <f aca="false">BG31</f>
        <v>0</v>
      </c>
      <c r="BJ31" s="779" t="n">
        <v>75</v>
      </c>
      <c r="BK31" s="801" t="n">
        <f aca="false">R20*D31*AK10</f>
        <v>0</v>
      </c>
      <c r="BL31" s="801" t="n">
        <f aca="false">S20*E31*AL10</f>
        <v>0</v>
      </c>
      <c r="BM31" s="801" t="n">
        <f aca="false">T20*F31*AM10</f>
        <v>0</v>
      </c>
      <c r="BN31" s="801" t="n">
        <f aca="false">U20*G31*AN10</f>
        <v>0</v>
      </c>
      <c r="BO31" s="801" t="n">
        <f aca="false">V20*H31*AO10</f>
        <v>0</v>
      </c>
      <c r="BP31" s="801" t="n">
        <f aca="false">W20*I31*AP10</f>
        <v>0</v>
      </c>
      <c r="BQ31" s="801" t="n">
        <f aca="false">X20*J31*AQ10</f>
        <v>0</v>
      </c>
      <c r="BR31" s="801" t="n">
        <f aca="false">Y20*K31*AR10</f>
        <v>0</v>
      </c>
      <c r="BS31" s="801" t="n">
        <f aca="false">Z20*L31*AS10</f>
        <v>0</v>
      </c>
      <c r="BT31" s="801" t="n">
        <f aca="false">AA20*M31*AT10</f>
        <v>0</v>
      </c>
      <c r="BU31" s="802" t="n">
        <f aca="false">SUM(BK31:BT31)</f>
        <v>0</v>
      </c>
      <c r="BV31" s="803" t="n">
        <f aca="false">BU31</f>
        <v>0</v>
      </c>
      <c r="BX31" s="779" t="n">
        <v>75</v>
      </c>
      <c r="BY31" s="804" t="n">
        <f aca="false">D31*R41*AK10</f>
        <v>0</v>
      </c>
      <c r="BZ31" s="804" t="n">
        <f aca="false">E31*S41*AL10</f>
        <v>0</v>
      </c>
      <c r="CA31" s="804" t="n">
        <f aca="false">F31*T41*AM10</f>
        <v>0</v>
      </c>
      <c r="CB31" s="804" t="n">
        <f aca="false">G31*U41*AN10</f>
        <v>0</v>
      </c>
      <c r="CC31" s="804" t="n">
        <f aca="false">H31*V41*AO10</f>
        <v>0</v>
      </c>
      <c r="CD31" s="804" t="n">
        <f aca="false">I31*W41*AP10</f>
        <v>0</v>
      </c>
      <c r="CE31" s="804" t="n">
        <f aca="false">J31*X41*AQ10</f>
        <v>0</v>
      </c>
      <c r="CF31" s="804" t="n">
        <f aca="false">K31*Y41*AR10</f>
        <v>0</v>
      </c>
      <c r="CG31" s="804" t="n">
        <f aca="false">L31*Z41*AS10</f>
        <v>0</v>
      </c>
      <c r="CH31" s="804" t="n">
        <f aca="false">M31*AA41*AT10</f>
        <v>0</v>
      </c>
      <c r="CI31" s="805" t="n">
        <f aca="false">SUM(BY31:CH31)</f>
        <v>0</v>
      </c>
      <c r="CJ31" s="806" t="n">
        <f aca="false">CI31</f>
        <v>0</v>
      </c>
    </row>
    <row r="32" customFormat="false" ht="13.5" hidden="false" customHeight="false" outlineLevel="0" collapsed="false">
      <c r="B32" s="770"/>
      <c r="C32" s="786" t="n">
        <v>85</v>
      </c>
      <c r="D32" s="790" t="n">
        <f aca="false">'7.1 Dealer area'!G45</f>
        <v>0</v>
      </c>
      <c r="E32" s="825" t="n">
        <f aca="false">D21</f>
        <v>0</v>
      </c>
      <c r="F32" s="825" t="n">
        <f aca="false">E21</f>
        <v>10</v>
      </c>
      <c r="G32" s="825" t="n">
        <f aca="false">F21</f>
        <v>0</v>
      </c>
      <c r="H32" s="825" t="n">
        <f aca="false">G21</f>
        <v>0</v>
      </c>
      <c r="I32" s="825" t="n">
        <f aca="false">H21</f>
        <v>0</v>
      </c>
      <c r="J32" s="825" t="n">
        <f aca="false">I21</f>
        <v>0</v>
      </c>
      <c r="K32" s="825" t="n">
        <f aca="false">J21</f>
        <v>0</v>
      </c>
      <c r="L32" s="825" t="n">
        <f aca="false">K21</f>
        <v>0</v>
      </c>
      <c r="M32" s="825" t="n">
        <f aca="false">L21</f>
        <v>0</v>
      </c>
      <c r="N32" s="826" t="n">
        <f aca="false">SUM(D32:M32)</f>
        <v>10</v>
      </c>
      <c r="Q32" s="774" t="n">
        <v>85</v>
      </c>
      <c r="R32" s="827" t="n">
        <f aca="false">('5.1 DAF Vehicle Parc Input'!E31*'DAF Labour CPV (short)'!E11)*((1-'5.1 DAF Vehicle Parc Input'!$H$56)/(1-'Calculation (short)'!$O$1))*(1+$I$1)</f>
        <v>0</v>
      </c>
      <c r="S32" s="827" t="n">
        <f aca="false">('5.1 DAF Vehicle Parc Input'!F31*'DAF Labour CPV (short)'!F11)*((1-'5.1 DAF Vehicle Parc Input'!$H$56)/(1-'Calculation (short)'!$O$1))*(1+$I$1)</f>
        <v>0</v>
      </c>
      <c r="T32" s="827" t="n">
        <f aca="false">('5.1 DAF Vehicle Parc Input'!G31*'DAF Labour CPV (short)'!G11)*((1-'5.1 DAF Vehicle Parc Input'!$H$56)/(1-'Calculation (short)'!$O$1))*(1+$I$1)</f>
        <v>0</v>
      </c>
      <c r="U32" s="827" t="n">
        <f aca="false">('5.1 DAF Vehicle Parc Input'!H31*'DAF Labour CPV (short)'!H11)*((1-'5.1 DAF Vehicle Parc Input'!$H$56)/(1-'Calculation (short)'!$O$1))*(1+$I$1)</f>
        <v>0</v>
      </c>
      <c r="V32" s="827" t="n">
        <f aca="false">('5.1 DAF Vehicle Parc Input'!I31*'DAF Labour CPV (short)'!I11)*((1-'5.1 DAF Vehicle Parc Input'!$H$56)/(1-'Calculation (short)'!$O$1))*(1+$I$1)</f>
        <v>0</v>
      </c>
      <c r="W32" s="827" t="n">
        <f aca="false">('5.1 DAF Vehicle Parc Input'!J31*'DAF Labour CPV (short)'!J11)*((1-'5.1 DAF Vehicle Parc Input'!$H$56)/(1-'Calculation (short)'!$O$1))*(1+$I$1)</f>
        <v>0</v>
      </c>
      <c r="X32" s="827" t="n">
        <f aca="false">('5.1 DAF Vehicle Parc Input'!K31*'DAF Labour CPV (short)'!K11)*((1-'5.1 DAF Vehicle Parc Input'!$H$56)/(1-'Calculation (short)'!$O$1))*(1+$I$1)</f>
        <v>0</v>
      </c>
      <c r="Y32" s="827" t="n">
        <f aca="false">('5.1 DAF Vehicle Parc Input'!L31*'DAF Labour CPV (short)'!L11)*((1-'5.1 DAF Vehicle Parc Input'!$H$56)/(1-'Calculation (short)'!$O$1))*(1+$I$1)</f>
        <v>0</v>
      </c>
      <c r="Z32" s="827" t="n">
        <f aca="false">('5.1 DAF Vehicle Parc Input'!M31*'DAF Labour CPV (short)'!M11)*((1-'5.1 DAF Vehicle Parc Input'!$H$56)/(1-'Calculation (short)'!$O$1))*(1+$I$1)</f>
        <v>0</v>
      </c>
      <c r="AA32" s="827" t="n">
        <f aca="false">('5.1 DAF Vehicle Parc Input'!N31*'DAF Labour CPV (short)'!N11)*((1-'5.1 DAF Vehicle Parc Input'!$H$56)/(1-'Calculation (short)'!$O$1))*(1+$I$1)</f>
        <v>0</v>
      </c>
      <c r="AB32" s="827" t="n">
        <f aca="false">('5.1 DAF Vehicle Parc Input'!O31*'DAF Labour CPV (short)'!O11)*((1-'5.1 DAF Vehicle Parc Input'!$H$56)/(1-'Calculation (short)'!$O$1))*(1+$I$1)</f>
        <v>0</v>
      </c>
      <c r="AC32" s="827" t="n">
        <f aca="false">('5.1 DAF Vehicle Parc Input'!P31*'DAF Labour CPV (short)'!P11)*((1-'5.1 DAF Vehicle Parc Input'!$H$56)/(1-'Calculation (short)'!$O$1))*(1+$I$1)</f>
        <v>0</v>
      </c>
      <c r="AD32" s="827" t="n">
        <f aca="false">('5.1 DAF Vehicle Parc Input'!Q31*'DAF Labour CPV (short)'!Q11)*((1-'5.1 DAF Vehicle Parc Input'!$H$56)/(1-'Calculation (short)'!$O$1))*(1+$I$1)</f>
        <v>0</v>
      </c>
      <c r="AE32" s="827" t="n">
        <f aca="false">('5.1 DAF Vehicle Parc Input'!R31*'DAF Labour CPV (short)'!R11)*((1-'5.1 DAF Vehicle Parc Input'!$H$56)/(1-'Calculation (short)'!$O$1))*(1+$I$1)</f>
        <v>0</v>
      </c>
      <c r="AF32" s="827" t="n">
        <f aca="false">('5.1 DAF Vehicle Parc Input'!S31*'DAF Labour CPV (short)'!S11)*((1-'5.1 DAF Vehicle Parc Input'!$H$56)/(1-'Calculation (short)'!$O$1))*(1+$I$1)</f>
        <v>0</v>
      </c>
      <c r="AG32" s="828" t="n">
        <f aca="false">SUM(R32:AF32)</f>
        <v>0</v>
      </c>
      <c r="AH32" s="795" t="n">
        <f aca="false">AG32</f>
        <v>0</v>
      </c>
      <c r="AV32" s="774" t="n">
        <v>85</v>
      </c>
      <c r="AW32" s="793" t="n">
        <f aca="false">D32*R11*AK11</f>
        <v>0</v>
      </c>
      <c r="AX32" s="793" t="n">
        <f aca="false">E32*S11*AL11</f>
        <v>0</v>
      </c>
      <c r="AY32" s="793" t="n">
        <f aca="false">F32*T11*AM11</f>
        <v>25201.5852258095</v>
      </c>
      <c r="AZ32" s="793" t="n">
        <f aca="false">G32*U11*AN11</f>
        <v>0</v>
      </c>
      <c r="BA32" s="793" t="n">
        <f aca="false">H32*V11*AO11</f>
        <v>0</v>
      </c>
      <c r="BB32" s="793" t="n">
        <f aca="false">I32*W11*AP11</f>
        <v>0</v>
      </c>
      <c r="BC32" s="793" t="n">
        <f aca="false">J32*X11*AQ11</f>
        <v>0</v>
      </c>
      <c r="BD32" s="793" t="n">
        <f aca="false">K32*Y11*AR11</f>
        <v>0</v>
      </c>
      <c r="BE32" s="793" t="n">
        <f aca="false">L32*Z11*AS11</f>
        <v>0</v>
      </c>
      <c r="BF32" s="793" t="n">
        <f aca="false">M32*AA11*AT11</f>
        <v>0</v>
      </c>
      <c r="BG32" s="799" t="n">
        <f aca="false">SUM(AW32:BF32)</f>
        <v>25201.5852258095</v>
      </c>
      <c r="BH32" s="800" t="n">
        <f aca="false">BG32</f>
        <v>25201.5852258095</v>
      </c>
      <c r="BJ32" s="779" t="n">
        <v>85</v>
      </c>
      <c r="BK32" s="801" t="n">
        <f aca="false">R21*D32*AK11</f>
        <v>0</v>
      </c>
      <c r="BL32" s="801" t="n">
        <f aca="false">S21*E32*AL11</f>
        <v>0</v>
      </c>
      <c r="BM32" s="801" t="n">
        <f aca="false">T21*F32*AM11</f>
        <v>352.093598686454</v>
      </c>
      <c r="BN32" s="801" t="n">
        <f aca="false">U21*G32*AN11</f>
        <v>0</v>
      </c>
      <c r="BO32" s="801" t="n">
        <f aca="false">V21*H32*AO11</f>
        <v>0</v>
      </c>
      <c r="BP32" s="801" t="n">
        <f aca="false">W21*I32*AP11</f>
        <v>0</v>
      </c>
      <c r="BQ32" s="801" t="n">
        <f aca="false">X21*J32*AQ11</f>
        <v>0</v>
      </c>
      <c r="BR32" s="801" t="n">
        <f aca="false">Y21*K32*AR11</f>
        <v>0</v>
      </c>
      <c r="BS32" s="801" t="n">
        <f aca="false">Z21*L32*AS11</f>
        <v>0</v>
      </c>
      <c r="BT32" s="801" t="n">
        <f aca="false">AA21*M32*AT11</f>
        <v>0</v>
      </c>
      <c r="BU32" s="802" t="n">
        <f aca="false">SUM(BK32:BT32)</f>
        <v>352.093598686454</v>
      </c>
      <c r="BV32" s="803" t="n">
        <f aca="false">BU32</f>
        <v>352.093598686454</v>
      </c>
      <c r="BX32" s="779" t="n">
        <v>85</v>
      </c>
      <c r="BY32" s="804" t="n">
        <f aca="false">D32*R42*AK11</f>
        <v>0</v>
      </c>
      <c r="BZ32" s="804" t="n">
        <f aca="false">E32*S42*AL11</f>
        <v>0</v>
      </c>
      <c r="CA32" s="804" t="n">
        <f aca="false">F32*T42*AM11</f>
        <v>3887.36526315789</v>
      </c>
      <c r="CB32" s="804" t="n">
        <f aca="false">G32*U42*AN11</f>
        <v>0</v>
      </c>
      <c r="CC32" s="804" t="n">
        <f aca="false">H32*V42*AO11</f>
        <v>0</v>
      </c>
      <c r="CD32" s="804" t="n">
        <f aca="false">I32*W42*AP11</f>
        <v>0</v>
      </c>
      <c r="CE32" s="804" t="n">
        <f aca="false">J32*X42*AQ11</f>
        <v>0</v>
      </c>
      <c r="CF32" s="804" t="n">
        <f aca="false">K32*Y42*AR11</f>
        <v>0</v>
      </c>
      <c r="CG32" s="804" t="n">
        <f aca="false">L32*Z42*AS11</f>
        <v>0</v>
      </c>
      <c r="CH32" s="804" t="n">
        <f aca="false">M32*AA42*AT11</f>
        <v>0</v>
      </c>
      <c r="CI32" s="805" t="n">
        <f aca="false">SUM(BY32:CH32)</f>
        <v>3887.36526315789</v>
      </c>
      <c r="CJ32" s="806" t="n">
        <f aca="false">CI32</f>
        <v>3887.36526315789</v>
      </c>
    </row>
    <row r="33" customFormat="false" ht="13.5" hidden="false" customHeight="false" outlineLevel="0" collapsed="false">
      <c r="B33" s="770"/>
      <c r="C33" s="786" t="n">
        <v>95</v>
      </c>
      <c r="D33" s="790" t="n">
        <v>0</v>
      </c>
      <c r="E33" s="825" t="n">
        <f aca="false">D22</f>
        <v>0</v>
      </c>
      <c r="F33" s="825" t="n">
        <f aca="false">E22</f>
        <v>0</v>
      </c>
      <c r="G33" s="825" t="n">
        <f aca="false">F22</f>
        <v>0</v>
      </c>
      <c r="H33" s="825" t="n">
        <f aca="false">G22</f>
        <v>0</v>
      </c>
      <c r="I33" s="825" t="n">
        <f aca="false">H22</f>
        <v>0</v>
      </c>
      <c r="J33" s="825" t="n">
        <f aca="false">I22</f>
        <v>0</v>
      </c>
      <c r="K33" s="825" t="n">
        <f aca="false">J22</f>
        <v>0</v>
      </c>
      <c r="L33" s="825" t="n">
        <f aca="false">K22</f>
        <v>0</v>
      </c>
      <c r="M33" s="825" t="n">
        <f aca="false">L22</f>
        <v>0</v>
      </c>
      <c r="N33" s="826" t="n">
        <f aca="false">SUM(D33:M33)</f>
        <v>0</v>
      </c>
      <c r="Q33" s="774" t="n">
        <v>95</v>
      </c>
      <c r="R33" s="827" t="n">
        <f aca="false">('5.1 DAF Vehicle Parc Input'!E32*'DAF Labour CPV (short)'!E12)*((1-'5.1 DAF Vehicle Parc Input'!$H$56)/(1-'Calculation (short)'!$O$1))*(1+$I$1)</f>
        <v>0</v>
      </c>
      <c r="S33" s="827" t="n">
        <f aca="false">('5.1 DAF Vehicle Parc Input'!F32*'DAF Labour CPV (short)'!F12)*((1-'5.1 DAF Vehicle Parc Input'!$H$56)/(1-'Calculation (short)'!$O$1))*(1+$I$1)</f>
        <v>0</v>
      </c>
      <c r="T33" s="827" t="n">
        <f aca="false">('5.1 DAF Vehicle Parc Input'!G32*'DAF Labour CPV (short)'!G12)*((1-'5.1 DAF Vehicle Parc Input'!$H$56)/(1-'Calculation (short)'!$O$1))*(1+$I$1)</f>
        <v>0</v>
      </c>
      <c r="U33" s="827" t="n">
        <f aca="false">('5.1 DAF Vehicle Parc Input'!H32*'DAF Labour CPV (short)'!H12)*((1-'5.1 DAF Vehicle Parc Input'!$H$56)/(1-'Calculation (short)'!$O$1))*(1+$I$1)</f>
        <v>0</v>
      </c>
      <c r="V33" s="827" t="n">
        <f aca="false">('5.1 DAF Vehicle Parc Input'!I32*'DAF Labour CPV (short)'!I12)*((1-'5.1 DAF Vehicle Parc Input'!$H$56)/(1-'Calculation (short)'!$O$1))*(1+$I$1)</f>
        <v>0</v>
      </c>
      <c r="W33" s="827" t="n">
        <f aca="false">('5.1 DAF Vehicle Parc Input'!J32*'DAF Labour CPV (short)'!J12)*((1-'5.1 DAF Vehicle Parc Input'!$H$56)/(1-'Calculation (short)'!$O$1))*(1+$I$1)</f>
        <v>0</v>
      </c>
      <c r="X33" s="827" t="n">
        <f aca="false">('5.1 DAF Vehicle Parc Input'!K32*'DAF Labour CPV (short)'!K12)*((1-'5.1 DAF Vehicle Parc Input'!$H$56)/(1-'Calculation (short)'!$O$1))*(1+$I$1)</f>
        <v>0</v>
      </c>
      <c r="Y33" s="827" t="n">
        <f aca="false">('5.1 DAF Vehicle Parc Input'!L32*'DAF Labour CPV (short)'!L12)*((1-'5.1 DAF Vehicle Parc Input'!$H$56)/(1-'Calculation (short)'!$O$1))*(1+$I$1)</f>
        <v>0</v>
      </c>
      <c r="Z33" s="827" t="n">
        <f aca="false">('5.1 DAF Vehicle Parc Input'!M32*'DAF Labour CPV (short)'!M12)*((1-'5.1 DAF Vehicle Parc Input'!$H$56)/(1-'Calculation (short)'!$O$1))*(1+$I$1)</f>
        <v>0</v>
      </c>
      <c r="AA33" s="827" t="n">
        <f aca="false">('5.1 DAF Vehicle Parc Input'!N32*'DAF Labour CPV (short)'!N12)*((1-'5.1 DAF Vehicle Parc Input'!$H$56)/(1-'Calculation (short)'!$O$1))*(1+$I$1)</f>
        <v>0</v>
      </c>
      <c r="AB33" s="827" t="n">
        <f aca="false">('5.1 DAF Vehicle Parc Input'!O32*'DAF Labour CPV (short)'!O12)*((1-'5.1 DAF Vehicle Parc Input'!$H$56)/(1-'Calculation (short)'!$O$1))*(1+$I$1)</f>
        <v>0</v>
      </c>
      <c r="AC33" s="827" t="n">
        <f aca="false">('5.1 DAF Vehicle Parc Input'!P32*'DAF Labour CPV (short)'!P12)*((1-'5.1 DAF Vehicle Parc Input'!$H$56)/(1-'Calculation (short)'!$O$1))*(1+$I$1)</f>
        <v>0</v>
      </c>
      <c r="AD33" s="827" t="n">
        <f aca="false">('5.1 DAF Vehicle Parc Input'!Q32*'DAF Labour CPV (short)'!Q12)*((1-'5.1 DAF Vehicle Parc Input'!$H$56)/(1-'Calculation (short)'!$O$1))*(1+$I$1)</f>
        <v>0</v>
      </c>
      <c r="AE33" s="827" t="n">
        <f aca="false">('5.1 DAF Vehicle Parc Input'!R32*'DAF Labour CPV (short)'!R12)*((1-'5.1 DAF Vehicle Parc Input'!$H$56)/(1-'Calculation (short)'!$O$1))*(1+$I$1)</f>
        <v>0</v>
      </c>
      <c r="AF33" s="827" t="n">
        <f aca="false">('5.1 DAF Vehicle Parc Input'!S32*'DAF Labour CPV (short)'!S12)*((1-'5.1 DAF Vehicle Parc Input'!$H$56)/(1-'Calculation (short)'!$O$1))*(1+$I$1)</f>
        <v>0</v>
      </c>
      <c r="AG33" s="828" t="n">
        <f aca="false">SUM(R33:AF33)</f>
        <v>0</v>
      </c>
      <c r="AH33" s="795" t="n">
        <f aca="false">AG33</f>
        <v>0</v>
      </c>
      <c r="AV33" s="774" t="n">
        <v>95</v>
      </c>
      <c r="AW33" s="793" t="n">
        <f aca="false">D33*R12*AK12</f>
        <v>0</v>
      </c>
      <c r="AX33" s="793" t="n">
        <f aca="false">E33*S12*AL12</f>
        <v>0</v>
      </c>
      <c r="AY33" s="793" t="n">
        <f aca="false">F33*T12*AM12</f>
        <v>0</v>
      </c>
      <c r="AZ33" s="793" t="n">
        <f aca="false">G33*U12*AN12</f>
        <v>0</v>
      </c>
      <c r="BA33" s="793" t="n">
        <f aca="false">H33*V12*AO12</f>
        <v>0</v>
      </c>
      <c r="BB33" s="793" t="n">
        <f aca="false">I33*W12*AP12</f>
        <v>0</v>
      </c>
      <c r="BC33" s="793" t="n">
        <f aca="false">J33*X12*AQ12</f>
        <v>0</v>
      </c>
      <c r="BD33" s="793" t="n">
        <f aca="false">K33*Y12*AR12</f>
        <v>0</v>
      </c>
      <c r="BE33" s="793" t="n">
        <f aca="false">L33*Z12*AS12</f>
        <v>0</v>
      </c>
      <c r="BF33" s="793" t="n">
        <f aca="false">M33*AA12*AT12</f>
        <v>0</v>
      </c>
      <c r="BG33" s="799" t="n">
        <f aca="false">SUM(AW33:BF33)</f>
        <v>0</v>
      </c>
      <c r="BH33" s="800" t="n">
        <f aca="false">BG33</f>
        <v>0</v>
      </c>
      <c r="BJ33" s="779" t="n">
        <v>95</v>
      </c>
      <c r="BK33" s="801" t="n">
        <f aca="false">R22*D33*AK12</f>
        <v>0</v>
      </c>
      <c r="BL33" s="801" t="n">
        <f aca="false">S22*E33*AL12</f>
        <v>0</v>
      </c>
      <c r="BM33" s="801" t="n">
        <f aca="false">T22*F33*AM12</f>
        <v>0</v>
      </c>
      <c r="BN33" s="801" t="n">
        <f aca="false">U22*G33*AN12</f>
        <v>0</v>
      </c>
      <c r="BO33" s="801" t="n">
        <f aca="false">V22*H33*AO12</f>
        <v>0</v>
      </c>
      <c r="BP33" s="801" t="n">
        <f aca="false">W22*I33*AP12</f>
        <v>0</v>
      </c>
      <c r="BQ33" s="801" t="n">
        <f aca="false">X22*J33*AQ12</f>
        <v>0</v>
      </c>
      <c r="BR33" s="801" t="n">
        <f aca="false">Y22*K33*AR12</f>
        <v>0</v>
      </c>
      <c r="BS33" s="801" t="n">
        <f aca="false">Z22*L33*AS12</f>
        <v>0</v>
      </c>
      <c r="BT33" s="801" t="n">
        <f aca="false">AA22*M33*AT12</f>
        <v>0</v>
      </c>
      <c r="BU33" s="802" t="n">
        <f aca="false">SUM(BK33:BT33)</f>
        <v>0</v>
      </c>
      <c r="BV33" s="803" t="n">
        <f aca="false">BU33</f>
        <v>0</v>
      </c>
      <c r="BX33" s="779" t="n">
        <v>95</v>
      </c>
      <c r="BY33" s="804" t="n">
        <f aca="false">D33*R43*AK12</f>
        <v>0</v>
      </c>
      <c r="BZ33" s="804" t="n">
        <f aca="false">E33*S43*AL12</f>
        <v>0</v>
      </c>
      <c r="CA33" s="804" t="n">
        <f aca="false">F33*T43*AM12</f>
        <v>0</v>
      </c>
      <c r="CB33" s="804" t="n">
        <f aca="false">G33*U43*AN12</f>
        <v>0</v>
      </c>
      <c r="CC33" s="804" t="n">
        <f aca="false">H33*V43*AO12</f>
        <v>0</v>
      </c>
      <c r="CD33" s="804" t="n">
        <f aca="false">I33*W43*AP12</f>
        <v>0</v>
      </c>
      <c r="CE33" s="804" t="n">
        <f aca="false">J33*X43*AQ12</f>
        <v>0</v>
      </c>
      <c r="CF33" s="804" t="n">
        <f aca="false">K33*Y43*AR12</f>
        <v>0</v>
      </c>
      <c r="CG33" s="804" t="n">
        <f aca="false">L33*Z43*AS12</f>
        <v>0</v>
      </c>
      <c r="CH33" s="804" t="n">
        <f aca="false">M33*AA43*AT12</f>
        <v>0</v>
      </c>
      <c r="CI33" s="805" t="n">
        <f aca="false">SUM(BY33:CH33)</f>
        <v>0</v>
      </c>
      <c r="CJ33" s="806" t="n">
        <f aca="false">CI33</f>
        <v>0</v>
      </c>
    </row>
    <row r="34" customFormat="false" ht="13.5" hidden="false" customHeight="false" outlineLevel="0" collapsed="false">
      <c r="B34" s="770"/>
      <c r="C34" s="786" t="n">
        <v>105</v>
      </c>
      <c r="D34" s="790" t="n">
        <f aca="false">'7.1 Dealer area'!G46</f>
        <v>0</v>
      </c>
      <c r="E34" s="825" t="n">
        <f aca="false">D23</f>
        <v>0</v>
      </c>
      <c r="F34" s="825" t="n">
        <f aca="false">E23</f>
        <v>0</v>
      </c>
      <c r="G34" s="825" t="n">
        <f aca="false">F23</f>
        <v>0</v>
      </c>
      <c r="H34" s="825" t="n">
        <f aca="false">G23</f>
        <v>0</v>
      </c>
      <c r="I34" s="825" t="n">
        <f aca="false">H23</f>
        <v>0</v>
      </c>
      <c r="J34" s="825" t="n">
        <f aca="false">I23</f>
        <v>0</v>
      </c>
      <c r="K34" s="825" t="n">
        <f aca="false">J23</f>
        <v>0</v>
      </c>
      <c r="L34" s="825" t="n">
        <f aca="false">K23</f>
        <v>0</v>
      </c>
      <c r="M34" s="825" t="n">
        <f aca="false">L23</f>
        <v>0</v>
      </c>
      <c r="N34" s="826" t="n">
        <f aca="false">SUM(D34:M34)</f>
        <v>0</v>
      </c>
      <c r="Q34" s="774" t="n">
        <v>105</v>
      </c>
      <c r="R34" s="827" t="n">
        <f aca="false">('5.1 DAF Vehicle Parc Input'!E33*'DAF Labour CPV (short)'!E13)*((1-'5.1 DAF Vehicle Parc Input'!$H$56)/(1-'Calculation (short)'!$O$1))*(1+$I$1)</f>
        <v>0</v>
      </c>
      <c r="S34" s="827" t="n">
        <f aca="false">('5.1 DAF Vehicle Parc Input'!F33*'DAF Labour CPV (short)'!F13)*((1-'5.1 DAF Vehicle Parc Input'!$H$56)/(1-'Calculation (short)'!$O$1))*(1+$I$1)</f>
        <v>0</v>
      </c>
      <c r="T34" s="827" t="n">
        <f aca="false">('5.1 DAF Vehicle Parc Input'!G33*'DAF Labour CPV (short)'!G13)*((1-'5.1 DAF Vehicle Parc Input'!$H$56)/(1-'Calculation (short)'!$O$1))*(1+$I$1)</f>
        <v>0</v>
      </c>
      <c r="U34" s="827" t="n">
        <f aca="false">('5.1 DAF Vehicle Parc Input'!H33*'DAF Labour CPV (short)'!H13)*((1-'5.1 DAF Vehicle Parc Input'!$H$56)/(1-'Calculation (short)'!$O$1))*(1+$I$1)</f>
        <v>0</v>
      </c>
      <c r="V34" s="827" t="n">
        <f aca="false">('5.1 DAF Vehicle Parc Input'!I33*'DAF Labour CPV (short)'!I13)*((1-'5.1 DAF Vehicle Parc Input'!$H$56)/(1-'Calculation (short)'!$O$1))*(1+$I$1)</f>
        <v>0</v>
      </c>
      <c r="W34" s="827" t="n">
        <f aca="false">('5.1 DAF Vehicle Parc Input'!J33*'DAF Labour CPV (short)'!J13)*((1-'5.1 DAF Vehicle Parc Input'!$H$56)/(1-'Calculation (short)'!$O$1))*(1+$I$1)</f>
        <v>0</v>
      </c>
      <c r="X34" s="827" t="n">
        <f aca="false">('5.1 DAF Vehicle Parc Input'!K33*'DAF Labour CPV (short)'!K13)*((1-'5.1 DAF Vehicle Parc Input'!$H$56)/(1-'Calculation (short)'!$O$1))*(1+$I$1)</f>
        <v>0</v>
      </c>
      <c r="Y34" s="827" t="n">
        <f aca="false">('5.1 DAF Vehicle Parc Input'!L33*'DAF Labour CPV (short)'!L13)*((1-'5.1 DAF Vehicle Parc Input'!$H$56)/(1-'Calculation (short)'!$O$1))*(1+$I$1)</f>
        <v>0</v>
      </c>
      <c r="Z34" s="827" t="n">
        <f aca="false">('5.1 DAF Vehicle Parc Input'!M33*'DAF Labour CPV (short)'!M13)*((1-'5.1 DAF Vehicle Parc Input'!$H$56)/(1-'Calculation (short)'!$O$1))*(1+$I$1)</f>
        <v>0</v>
      </c>
      <c r="AA34" s="827" t="n">
        <f aca="false">('5.1 DAF Vehicle Parc Input'!N33*'DAF Labour CPV (short)'!N13)*((1-'5.1 DAF Vehicle Parc Input'!$H$56)/(1-'Calculation (short)'!$O$1))*(1+$I$1)</f>
        <v>0</v>
      </c>
      <c r="AB34" s="827" t="n">
        <f aca="false">('5.1 DAF Vehicle Parc Input'!O33*'DAF Labour CPV (short)'!O13)*((1-'5.1 DAF Vehicle Parc Input'!$H$56)/(1-'Calculation (short)'!$O$1))*(1+$I$1)</f>
        <v>0</v>
      </c>
      <c r="AC34" s="827" t="n">
        <f aca="false">('5.1 DAF Vehicle Parc Input'!P33*'DAF Labour CPV (short)'!P13)*((1-'5.1 DAF Vehicle Parc Input'!$H$56)/(1-'Calculation (short)'!$O$1))*(1+$I$1)</f>
        <v>0</v>
      </c>
      <c r="AD34" s="827" t="n">
        <f aca="false">('5.1 DAF Vehicle Parc Input'!Q33*'DAF Labour CPV (short)'!Q13)*((1-'5.1 DAF Vehicle Parc Input'!$H$56)/(1-'Calculation (short)'!$O$1))*(1+$I$1)</f>
        <v>0</v>
      </c>
      <c r="AE34" s="827" t="n">
        <f aca="false">('5.1 DAF Vehicle Parc Input'!R33*'DAF Labour CPV (short)'!R13)*((1-'5.1 DAF Vehicle Parc Input'!$H$56)/(1-'Calculation (short)'!$O$1))*(1+$I$1)</f>
        <v>0</v>
      </c>
      <c r="AF34" s="827" t="n">
        <f aca="false">('5.1 DAF Vehicle Parc Input'!S33*'DAF Labour CPV (short)'!S13)*((1-'5.1 DAF Vehicle Parc Input'!$H$56)/(1-'Calculation (short)'!$O$1))*(1+$I$1)</f>
        <v>0</v>
      </c>
      <c r="AG34" s="828" t="n">
        <f aca="false">SUM(R34:AF34)</f>
        <v>0</v>
      </c>
      <c r="AH34" s="795" t="n">
        <f aca="false">AG34</f>
        <v>0</v>
      </c>
      <c r="AV34" s="774" t="n">
        <v>105</v>
      </c>
      <c r="AW34" s="793" t="n">
        <f aca="false">D34*R13*AK13</f>
        <v>0</v>
      </c>
      <c r="AX34" s="793" t="n">
        <f aca="false">E34*S13*AL13</f>
        <v>0</v>
      </c>
      <c r="AY34" s="793" t="n">
        <f aca="false">F34*T13*AM13</f>
        <v>0</v>
      </c>
      <c r="AZ34" s="793" t="n">
        <f aca="false">G34*U13*AN13</f>
        <v>0</v>
      </c>
      <c r="BA34" s="793" t="n">
        <f aca="false">H34*V13*AO13</f>
        <v>0</v>
      </c>
      <c r="BB34" s="793" t="n">
        <f aca="false">I34*W13*AP13</f>
        <v>0</v>
      </c>
      <c r="BC34" s="793" t="n">
        <f aca="false">J34*X13*AQ13</f>
        <v>0</v>
      </c>
      <c r="BD34" s="793" t="n">
        <f aca="false">K34*Y13*AR13</f>
        <v>0</v>
      </c>
      <c r="BE34" s="793" t="n">
        <f aca="false">L34*Z13*AS13</f>
        <v>0</v>
      </c>
      <c r="BF34" s="793" t="n">
        <f aca="false">M34*AA13*AT13</f>
        <v>0</v>
      </c>
      <c r="BG34" s="799" t="n">
        <f aca="false">SUM(AW34:BF34)</f>
        <v>0</v>
      </c>
      <c r="BH34" s="800" t="n">
        <f aca="false">BG34</f>
        <v>0</v>
      </c>
      <c r="BJ34" s="779" t="n">
        <v>105</v>
      </c>
      <c r="BK34" s="801" t="n">
        <f aca="false">R23*D34*AK13</f>
        <v>0</v>
      </c>
      <c r="BL34" s="801" t="n">
        <f aca="false">S23*E34*AL13</f>
        <v>0</v>
      </c>
      <c r="BM34" s="801" t="n">
        <f aca="false">T23*F34*AM13</f>
        <v>0</v>
      </c>
      <c r="BN34" s="801" t="n">
        <f aca="false">U23*G34*AN13</f>
        <v>0</v>
      </c>
      <c r="BO34" s="801" t="n">
        <f aca="false">V23*H34*AO13</f>
        <v>0</v>
      </c>
      <c r="BP34" s="801" t="n">
        <f aca="false">W23*I34*AP13</f>
        <v>0</v>
      </c>
      <c r="BQ34" s="801" t="n">
        <f aca="false">X23*J34*AQ13</f>
        <v>0</v>
      </c>
      <c r="BR34" s="801" t="n">
        <f aca="false">Y23*K34*AR13</f>
        <v>0</v>
      </c>
      <c r="BS34" s="801" t="n">
        <f aca="false">Z23*L34*AS13</f>
        <v>0</v>
      </c>
      <c r="BT34" s="801" t="n">
        <f aca="false">AA23*M34*AT13</f>
        <v>0</v>
      </c>
      <c r="BU34" s="802" t="n">
        <f aca="false">SUM(BK34:BT34)</f>
        <v>0</v>
      </c>
      <c r="BV34" s="803" t="n">
        <f aca="false">BU34</f>
        <v>0</v>
      </c>
      <c r="BX34" s="779" t="n">
        <v>105</v>
      </c>
      <c r="BY34" s="804" t="n">
        <f aca="false">D34*R44*AK13</f>
        <v>0</v>
      </c>
      <c r="BZ34" s="804" t="n">
        <f aca="false">E34*S44*AL13</f>
        <v>0</v>
      </c>
      <c r="CA34" s="804" t="n">
        <f aca="false">F34*T44*AM13</f>
        <v>0</v>
      </c>
      <c r="CB34" s="804" t="n">
        <f aca="false">G34*U44*AN13</f>
        <v>0</v>
      </c>
      <c r="CC34" s="804" t="n">
        <f aca="false">H34*V44*AO13</f>
        <v>0</v>
      </c>
      <c r="CD34" s="804" t="n">
        <f aca="false">I34*W44*AP13</f>
        <v>0</v>
      </c>
      <c r="CE34" s="804" t="n">
        <f aca="false">J34*X44*AQ13</f>
        <v>0</v>
      </c>
      <c r="CF34" s="804" t="n">
        <f aca="false">K34*Y44*AR13</f>
        <v>0</v>
      </c>
      <c r="CG34" s="804" t="n">
        <f aca="false">L34*Z44*AS13</f>
        <v>0</v>
      </c>
      <c r="CH34" s="804" t="n">
        <f aca="false">M34*AA44*AT13</f>
        <v>0</v>
      </c>
      <c r="CI34" s="805" t="n">
        <f aca="false">SUM(BY34:CH34)</f>
        <v>0</v>
      </c>
      <c r="CJ34" s="806" t="n">
        <f aca="false">CI34</f>
        <v>0</v>
      </c>
    </row>
    <row r="35" s="762" customFormat="true" ht="13.5" hidden="false" customHeight="false" outlineLevel="0" collapsed="false">
      <c r="C35" s="829"/>
      <c r="D35" s="830" t="n">
        <f aca="false">SUM(D28:D34)</f>
        <v>0</v>
      </c>
      <c r="E35" s="830" t="n">
        <f aca="false">SUM(E28:E34)</f>
        <v>0</v>
      </c>
      <c r="F35" s="830" t="n">
        <f aca="false">SUM(F28:F34)</f>
        <v>10</v>
      </c>
      <c r="G35" s="830" t="n">
        <f aca="false">SUM(G28:G34)</f>
        <v>0</v>
      </c>
      <c r="H35" s="830" t="n">
        <f aca="false">SUM(H28:H34)</f>
        <v>0</v>
      </c>
      <c r="I35" s="830" t="n">
        <f aca="false">SUM(I28:I34)</f>
        <v>0</v>
      </c>
      <c r="J35" s="830" t="n">
        <f aca="false">SUM(J28:J34)</f>
        <v>0</v>
      </c>
      <c r="K35" s="830" t="n">
        <f aca="false">SUM(K28:K34)</f>
        <v>0</v>
      </c>
      <c r="L35" s="830" t="n">
        <f aca="false">SUM(L28:L34)</f>
        <v>0</v>
      </c>
      <c r="M35" s="830" t="n">
        <f aca="false">SUM(M28:M34)</f>
        <v>0</v>
      </c>
      <c r="N35" s="830" t="n">
        <f aca="false">SUM(N28:N34)</f>
        <v>10</v>
      </c>
      <c r="Q35" s="809"/>
      <c r="R35" s="794"/>
      <c r="S35" s="794"/>
      <c r="T35" s="794"/>
      <c r="U35" s="794"/>
      <c r="V35" s="794"/>
      <c r="W35" s="794"/>
      <c r="X35" s="794"/>
      <c r="Y35" s="794"/>
      <c r="Z35" s="794"/>
      <c r="AA35" s="794"/>
      <c r="AB35" s="794"/>
      <c r="AC35" s="794"/>
      <c r="AD35" s="794"/>
      <c r="AE35" s="794"/>
      <c r="AF35" s="794"/>
      <c r="AG35" s="794"/>
      <c r="AH35" s="795" t="n">
        <f aca="false">SUM(AH28:AH34)</f>
        <v>0</v>
      </c>
      <c r="AV35" s="809"/>
      <c r="AW35" s="794"/>
      <c r="AX35" s="794"/>
      <c r="AY35" s="794"/>
      <c r="AZ35" s="794"/>
      <c r="BA35" s="794"/>
      <c r="BB35" s="794"/>
      <c r="BC35" s="794"/>
      <c r="BD35" s="794"/>
      <c r="BE35" s="794"/>
      <c r="BF35" s="794"/>
      <c r="BG35" s="799"/>
      <c r="BH35" s="800" t="n">
        <f aca="false">SUM(BH28:BH34)</f>
        <v>25201.5852258095</v>
      </c>
      <c r="BJ35" s="774"/>
      <c r="BK35" s="793"/>
      <c r="BL35" s="793"/>
      <c r="BM35" s="793"/>
      <c r="BN35" s="793"/>
      <c r="BO35" s="793"/>
      <c r="BP35" s="793"/>
      <c r="BQ35" s="793"/>
      <c r="BR35" s="793"/>
      <c r="BS35" s="793"/>
      <c r="BT35" s="793"/>
      <c r="BU35" s="805"/>
      <c r="BV35" s="806" t="n">
        <f aca="false">SUM(BV28:BV34)</f>
        <v>352.093598686454</v>
      </c>
      <c r="BX35" s="813"/>
      <c r="BY35" s="814"/>
      <c r="BZ35" s="814"/>
      <c r="CA35" s="814"/>
      <c r="CB35" s="814"/>
      <c r="CC35" s="814"/>
      <c r="CD35" s="814"/>
      <c r="CE35" s="814"/>
      <c r="CF35" s="814"/>
      <c r="CG35" s="814"/>
      <c r="CH35" s="814"/>
      <c r="CI35" s="805"/>
      <c r="CJ35" s="806" t="n">
        <f aca="false">SUM(CJ28:CJ34)</f>
        <v>3887.36526315789</v>
      </c>
    </row>
    <row r="36" customFormat="false" ht="13.5" hidden="false" customHeight="false" outlineLevel="0" collapsed="false">
      <c r="B36" s="767" t="s">
        <v>508</v>
      </c>
      <c r="C36" s="815" t="n">
        <f aca="false">'Reference sheet'!C18+3</f>
        <v>2021</v>
      </c>
      <c r="D36" s="769"/>
      <c r="E36" s="770"/>
      <c r="F36" s="770"/>
      <c r="G36" s="770"/>
      <c r="H36" s="770"/>
      <c r="I36" s="770"/>
      <c r="J36" s="770"/>
      <c r="K36" s="770"/>
      <c r="L36" s="770"/>
      <c r="M36" s="770"/>
      <c r="N36" s="770"/>
      <c r="Q36" s="774" t="s">
        <v>174</v>
      </c>
      <c r="R36" s="775" t="s">
        <v>503</v>
      </c>
      <c r="S36" s="775"/>
      <c r="T36" s="775"/>
      <c r="U36" s="775"/>
      <c r="V36" s="775"/>
      <c r="W36" s="775"/>
      <c r="X36" s="775"/>
      <c r="Y36" s="775"/>
      <c r="Z36" s="775"/>
      <c r="AA36" s="775"/>
      <c r="AB36" s="775"/>
      <c r="AC36" s="775"/>
      <c r="AD36" s="775"/>
      <c r="AE36" s="775"/>
      <c r="AF36" s="775"/>
      <c r="AG36" s="763"/>
      <c r="AH36" s="776"/>
      <c r="AV36" s="774" t="n">
        <f aca="false">AV26+1</f>
        <v>2021</v>
      </c>
      <c r="AW36" s="775" t="s">
        <v>501</v>
      </c>
      <c r="AX36" s="763"/>
      <c r="AY36" s="763"/>
      <c r="AZ36" s="763"/>
      <c r="BA36" s="763"/>
      <c r="BB36" s="763"/>
      <c r="BC36" s="763"/>
      <c r="BD36" s="763"/>
      <c r="BE36" s="763"/>
      <c r="BF36" s="763"/>
      <c r="BG36" s="816"/>
      <c r="BH36" s="800"/>
      <c r="BJ36" s="779" t="n">
        <f aca="false">AV36</f>
        <v>2021</v>
      </c>
      <c r="BK36" s="780" t="s">
        <v>502</v>
      </c>
      <c r="BL36" s="780"/>
      <c r="BM36" s="780"/>
      <c r="BN36" s="780"/>
      <c r="BO36" s="780"/>
      <c r="BP36" s="780"/>
      <c r="BQ36" s="780"/>
      <c r="BR36" s="780"/>
      <c r="BS36" s="780"/>
      <c r="BT36" s="780"/>
      <c r="BU36" s="762" t="n">
        <f aca="false">SUM(BK36:BT36)</f>
        <v>0</v>
      </c>
      <c r="BX36" s="779" t="s">
        <v>174</v>
      </c>
      <c r="BY36" s="783" t="s">
        <v>503</v>
      </c>
      <c r="BZ36" s="783"/>
      <c r="CA36" s="783"/>
      <c r="CB36" s="783"/>
      <c r="CC36" s="783"/>
      <c r="CD36" s="783"/>
      <c r="CE36" s="783"/>
      <c r="CF36" s="783"/>
      <c r="CG36" s="783"/>
      <c r="CH36" s="783"/>
      <c r="CI36" s="783"/>
      <c r="CJ36" s="783"/>
      <c r="CK36" s="783"/>
      <c r="CL36" s="783"/>
      <c r="CM36" s="783"/>
      <c r="CN36" s="763"/>
    </row>
    <row r="37" customFormat="false" ht="13.5" hidden="false" customHeight="false" outlineLevel="0" collapsed="false">
      <c r="B37" s="770" t="s">
        <v>500</v>
      </c>
      <c r="C37" s="784"/>
      <c r="D37" s="785" t="n">
        <f aca="false">D27+1</f>
        <v>2021</v>
      </c>
      <c r="E37" s="786" t="n">
        <f aca="false">D37-1</f>
        <v>2020</v>
      </c>
      <c r="F37" s="786" t="n">
        <f aca="false">E37-1</f>
        <v>2019</v>
      </c>
      <c r="G37" s="786" t="n">
        <f aca="false">F37-1</f>
        <v>2018</v>
      </c>
      <c r="H37" s="786" t="n">
        <f aca="false">G37-1</f>
        <v>2017</v>
      </c>
      <c r="I37" s="786" t="n">
        <f aca="false">H37-1</f>
        <v>2016</v>
      </c>
      <c r="J37" s="786" t="n">
        <f aca="false">I37-1</f>
        <v>2015</v>
      </c>
      <c r="K37" s="786" t="n">
        <f aca="false">J37-1</f>
        <v>2014</v>
      </c>
      <c r="L37" s="786" t="n">
        <f aca="false">K37-1</f>
        <v>2013</v>
      </c>
      <c r="M37" s="786" t="n">
        <f aca="false">L37-1</f>
        <v>2012</v>
      </c>
      <c r="N37" s="786" t="s">
        <v>507</v>
      </c>
      <c r="Q37" s="787" t="s">
        <v>298</v>
      </c>
      <c r="R37" s="775" t="s">
        <v>299</v>
      </c>
      <c r="S37" s="775" t="s">
        <v>300</v>
      </c>
      <c r="T37" s="775" t="s">
        <v>301</v>
      </c>
      <c r="U37" s="775" t="s">
        <v>302</v>
      </c>
      <c r="V37" s="775" t="s">
        <v>303</v>
      </c>
      <c r="W37" s="775" t="s">
        <v>304</v>
      </c>
      <c r="X37" s="775" t="s">
        <v>305</v>
      </c>
      <c r="Y37" s="775" t="s">
        <v>306</v>
      </c>
      <c r="Z37" s="775" t="s">
        <v>307</v>
      </c>
      <c r="AA37" s="775" t="s">
        <v>308</v>
      </c>
      <c r="AB37" s="775" t="s">
        <v>309</v>
      </c>
      <c r="AC37" s="775" t="s">
        <v>310</v>
      </c>
      <c r="AD37" s="775" t="s">
        <v>311</v>
      </c>
      <c r="AE37" s="775" t="s">
        <v>312</v>
      </c>
      <c r="AF37" s="775" t="s">
        <v>313</v>
      </c>
      <c r="AG37" s="775"/>
      <c r="AH37" s="776"/>
      <c r="AV37" s="787" t="s">
        <v>298</v>
      </c>
      <c r="AW37" s="775" t="n">
        <f aca="false">AW27+1</f>
        <v>2021</v>
      </c>
      <c r="AX37" s="775" t="n">
        <f aca="false">AW37-1</f>
        <v>2020</v>
      </c>
      <c r="AY37" s="775" t="n">
        <f aca="false">AX37-1</f>
        <v>2019</v>
      </c>
      <c r="AZ37" s="775" t="n">
        <f aca="false">AY37-1</f>
        <v>2018</v>
      </c>
      <c r="BA37" s="775" t="n">
        <f aca="false">AZ37-1</f>
        <v>2017</v>
      </c>
      <c r="BB37" s="775" t="n">
        <f aca="false">BA37-1</f>
        <v>2016</v>
      </c>
      <c r="BC37" s="775" t="n">
        <f aca="false">BB37-1</f>
        <v>2015</v>
      </c>
      <c r="BD37" s="775" t="n">
        <f aca="false">BC37-1</f>
        <v>2014</v>
      </c>
      <c r="BE37" s="775" t="n">
        <f aca="false">BD37-1</f>
        <v>2013</v>
      </c>
      <c r="BF37" s="775" t="n">
        <f aca="false">BE37-1</f>
        <v>2012</v>
      </c>
      <c r="BG37" s="817"/>
      <c r="BH37" s="800"/>
      <c r="BJ37" s="780" t="s">
        <v>298</v>
      </c>
      <c r="BK37" s="780" t="n">
        <f aca="false">AW37</f>
        <v>2021</v>
      </c>
      <c r="BL37" s="780" t="n">
        <f aca="false">AX37</f>
        <v>2020</v>
      </c>
      <c r="BM37" s="780" t="n">
        <f aca="false">AY37</f>
        <v>2019</v>
      </c>
      <c r="BN37" s="780" t="n">
        <f aca="false">AZ37</f>
        <v>2018</v>
      </c>
      <c r="BO37" s="780" t="n">
        <f aca="false">BA37</f>
        <v>2017</v>
      </c>
      <c r="BP37" s="780" t="n">
        <f aca="false">BB37</f>
        <v>2016</v>
      </c>
      <c r="BQ37" s="780" t="n">
        <f aca="false">BC37</f>
        <v>2015</v>
      </c>
      <c r="BR37" s="780" t="n">
        <f aca="false">BD37</f>
        <v>2014</v>
      </c>
      <c r="BS37" s="780" t="n">
        <f aca="false">BE37</f>
        <v>2013</v>
      </c>
      <c r="BT37" s="780" t="n">
        <f aca="false">BF37</f>
        <v>2012</v>
      </c>
      <c r="BX37" s="780" t="s">
        <v>298</v>
      </c>
      <c r="BY37" s="780" t="n">
        <f aca="false">D37</f>
        <v>2021</v>
      </c>
      <c r="BZ37" s="780" t="n">
        <f aca="false">BY37-1</f>
        <v>2020</v>
      </c>
      <c r="CA37" s="780" t="n">
        <f aca="false">BZ37-1</f>
        <v>2019</v>
      </c>
      <c r="CB37" s="780" t="n">
        <f aca="false">CA37-1</f>
        <v>2018</v>
      </c>
      <c r="CC37" s="780" t="n">
        <f aca="false">CB37-1</f>
        <v>2017</v>
      </c>
      <c r="CD37" s="780" t="n">
        <f aca="false">CC37-1</f>
        <v>2016</v>
      </c>
      <c r="CE37" s="780" t="n">
        <f aca="false">CD37-1</f>
        <v>2015</v>
      </c>
      <c r="CF37" s="780" t="n">
        <f aca="false">CE37-1</f>
        <v>2014</v>
      </c>
      <c r="CG37" s="780" t="n">
        <f aca="false">CF37-1</f>
        <v>2013</v>
      </c>
      <c r="CH37" s="780" t="n">
        <f aca="false">CG37-1</f>
        <v>2012</v>
      </c>
      <c r="CI37" s="780"/>
      <c r="CJ37" s="783"/>
      <c r="CK37" s="775"/>
      <c r="CL37" s="775"/>
      <c r="CM37" s="775"/>
      <c r="CN37" s="775"/>
    </row>
    <row r="38" customFormat="false" ht="13.5" hidden="false" customHeight="false" outlineLevel="0" collapsed="false">
      <c r="B38" s="770"/>
      <c r="C38" s="786" t="n">
        <v>45</v>
      </c>
      <c r="D38" s="790" t="n">
        <f aca="false">'7.1 Dealer area'!I39</f>
        <v>0</v>
      </c>
      <c r="E38" s="825" t="n">
        <f aca="false">D28</f>
        <v>0</v>
      </c>
      <c r="F38" s="825" t="n">
        <f aca="false">E28</f>
        <v>0</v>
      </c>
      <c r="G38" s="825" t="n">
        <f aca="false">F28</f>
        <v>0</v>
      </c>
      <c r="H38" s="825" t="n">
        <f aca="false">G28</f>
        <v>0</v>
      </c>
      <c r="I38" s="825" t="n">
        <f aca="false">H28</f>
        <v>0</v>
      </c>
      <c r="J38" s="825" t="n">
        <f aca="false">I28</f>
        <v>0</v>
      </c>
      <c r="K38" s="825" t="n">
        <f aca="false">J28</f>
        <v>0</v>
      </c>
      <c r="L38" s="825" t="n">
        <f aca="false">K28</f>
        <v>0</v>
      </c>
      <c r="M38" s="825" t="n">
        <f aca="false">L28</f>
        <v>0</v>
      </c>
      <c r="N38" s="826" t="n">
        <f aca="false">SUM(D38:M38)</f>
        <v>0</v>
      </c>
      <c r="Q38" s="774" t="n">
        <v>45</v>
      </c>
      <c r="R38" s="793" t="n">
        <f aca="false">('DAF Oil CPV (short)'!E7)/(1)*((1-'5.1 DAF Vehicle Parc Input'!$H$56)/(1-'Calculation (short)'!$O$1))*(1+$I$1)</f>
        <v>113.728421052632</v>
      </c>
      <c r="S38" s="793" t="n">
        <f aca="false">('DAF Oil CPV (short)'!F7)/(1)*((1-'5.1 DAF Vehicle Parc Input'!$H$56)/(1-'Calculation (short)'!$O$1))*(1+$I$1)</f>
        <v>167.459368421053</v>
      </c>
      <c r="T38" s="793" t="n">
        <f aca="false">('DAF Oil CPV (short)'!G7)/(1)*((1-'5.1 DAF Vehicle Parc Input'!$H$56)/(1-'Calculation (short)'!$O$1))*(1+$I$1)</f>
        <v>143.213052631579</v>
      </c>
      <c r="U38" s="793" t="n">
        <f aca="false">('DAF Oil CPV (short)'!H7)/(1)*((1-'5.1 DAF Vehicle Parc Input'!$H$56)/(1-'Calculation (short)'!$O$1))*(1+$I$1)</f>
        <v>162.485052631579</v>
      </c>
      <c r="V38" s="793" t="n">
        <f aca="false">('DAF Oil CPV (short)'!I7)/(1)*((1-'5.1 DAF Vehicle Parc Input'!$H$56)/(1-'Calculation (short)'!$O$1))*(1+$I$1)</f>
        <v>160.956631578947</v>
      </c>
      <c r="W38" s="793" t="n">
        <f aca="false">('DAF Oil CPV (short)'!J7)/(1)*((1-'5.1 DAF Vehicle Parc Input'!$H$56)/(1-'Calculation (short)'!$O$1))*(1+$I$1)</f>
        <v>144.366315789474</v>
      </c>
      <c r="X38" s="793" t="n">
        <f aca="false">('DAF Oil CPV (short)'!K7)/(1)*((1-'5.1 DAF Vehicle Parc Input'!$H$56)/(1-'Calculation (short)'!$O$1))*(1+$I$1)</f>
        <v>153.389210526316</v>
      </c>
      <c r="Y38" s="793" t="n">
        <f aca="false">('DAF Oil CPV (short)'!L7)/(1)*((1-'5.1 DAF Vehicle Parc Input'!$H$56)/(1-'Calculation (short)'!$O$1))*(1+$I$1)</f>
        <v>162.412105263158</v>
      </c>
      <c r="Z38" s="793" t="n">
        <f aca="false">('DAF Oil CPV (short)'!M7)/(1)*((1-'5.1 DAF Vehicle Parc Input'!$H$56)/(1-'Calculation (short)'!$O$1))*(1+$I$1)</f>
        <v>171.435</v>
      </c>
      <c r="AA38" s="793" t="n">
        <f aca="false">('DAF Oil CPV (short)'!N7)/(1)*((1-'5.1 DAF Vehicle Parc Input'!$H$56)/(1-'Calculation (short)'!$O$1))*(1+$I$1)</f>
        <v>180.457894736842</v>
      </c>
      <c r="AB38" s="793" t="n">
        <f aca="false">('DAF Oil CPV (short)'!O7)/(1)*((1-'5.1 DAF Vehicle Parc Input'!$H$56)/(1-'Calculation (short)'!$O$1))*(1+$I$1)</f>
        <v>173.239578947368</v>
      </c>
      <c r="AC38" s="793" t="n">
        <f aca="false">('DAF Oil CPV (short)'!P7)/(1)*((1-'5.1 DAF Vehicle Parc Input'!$H$56)/(1-'Calculation (short)'!$O$1))*(1+$I$1)</f>
        <v>166.021263157895</v>
      </c>
      <c r="AD38" s="793" t="n">
        <f aca="false">('DAF Oil CPV (short)'!Q7)/(1)*((1-'5.1 DAF Vehicle Parc Input'!$H$56)/(1-'Calculation (short)'!$O$1))*(1+$I$1)</f>
        <v>158.802947368421</v>
      </c>
      <c r="AE38" s="793" t="n">
        <f aca="false">('DAF Oil CPV (short)'!R7)/(1)*((1-'5.1 DAF Vehicle Parc Input'!$H$56)/(1-'Calculation (short)'!$O$1))*(1+$I$1)</f>
        <v>151.584631578947</v>
      </c>
      <c r="AF38" s="793" t="n">
        <f aca="false">('DAF Oil CPV (short)'!S7)/(1)*((1-'5.1 DAF Vehicle Parc Input'!$H$56)/(1-'Calculation (short)'!$O$1))*(1+$I$1)</f>
        <v>144.366315789474</v>
      </c>
      <c r="AG38" s="794" t="n">
        <f aca="false">SUM(R38:AF38)</f>
        <v>2353.91778947368</v>
      </c>
      <c r="AH38" s="795" t="n">
        <f aca="false">AG38</f>
        <v>2353.91778947368</v>
      </c>
      <c r="AV38" s="774" t="n">
        <v>45</v>
      </c>
      <c r="AW38" s="793" t="n">
        <f aca="false">D38*R7*AK7</f>
        <v>0</v>
      </c>
      <c r="AX38" s="793" t="n">
        <f aca="false">E38*S7*AL7</f>
        <v>0</v>
      </c>
      <c r="AY38" s="793" t="n">
        <f aca="false">F38*T7*AM7</f>
        <v>0</v>
      </c>
      <c r="AZ38" s="793" t="n">
        <f aca="false">G38*U7*AN7</f>
        <v>0</v>
      </c>
      <c r="BA38" s="793" t="n">
        <f aca="false">H38*V7*AO7</f>
        <v>0</v>
      </c>
      <c r="BB38" s="793" t="n">
        <f aca="false">I38*W7*AP7</f>
        <v>0</v>
      </c>
      <c r="BC38" s="793" t="n">
        <f aca="false">J38*X7*AQ7</f>
        <v>0</v>
      </c>
      <c r="BD38" s="793" t="n">
        <f aca="false">K38*Y7*AR7</f>
        <v>0</v>
      </c>
      <c r="BE38" s="793" t="n">
        <f aca="false">L38*Z7*AS7</f>
        <v>0</v>
      </c>
      <c r="BF38" s="793" t="n">
        <f aca="false">M38*AA7*AT7</f>
        <v>0</v>
      </c>
      <c r="BG38" s="799" t="n">
        <f aca="false">SUM(AW38:BF38)</f>
        <v>0</v>
      </c>
      <c r="BH38" s="800" t="n">
        <f aca="false">BG38</f>
        <v>0</v>
      </c>
      <c r="BJ38" s="779" t="n">
        <v>45</v>
      </c>
      <c r="BK38" s="801" t="n">
        <f aca="false">R17*D38*AK7</f>
        <v>0</v>
      </c>
      <c r="BL38" s="801" t="n">
        <f aca="false">S17*E38*AL7</f>
        <v>0</v>
      </c>
      <c r="BM38" s="801" t="n">
        <f aca="false">T17*F38*AM7</f>
        <v>0</v>
      </c>
      <c r="BN38" s="801" t="n">
        <f aca="false">U17*G38*AN7</f>
        <v>0</v>
      </c>
      <c r="BO38" s="801" t="n">
        <f aca="false">V17*H38*AO7</f>
        <v>0</v>
      </c>
      <c r="BP38" s="801" t="n">
        <f aca="false">W17*I38*AP7</f>
        <v>0</v>
      </c>
      <c r="BQ38" s="801" t="n">
        <f aca="false">X17*J38*AQ7</f>
        <v>0</v>
      </c>
      <c r="BR38" s="801" t="n">
        <f aca="false">Y17*K38*AR7</f>
        <v>0</v>
      </c>
      <c r="BS38" s="801" t="n">
        <f aca="false">Z17*L38*AS7</f>
        <v>0</v>
      </c>
      <c r="BT38" s="801" t="n">
        <f aca="false">AA17*M38*AT7</f>
        <v>0</v>
      </c>
      <c r="BU38" s="802" t="n">
        <f aca="false">SUM(BK38:BT38)</f>
        <v>0</v>
      </c>
      <c r="BV38" s="803" t="n">
        <f aca="false">BU38</f>
        <v>0</v>
      </c>
      <c r="BX38" s="779" t="n">
        <v>45</v>
      </c>
      <c r="BY38" s="804" t="n">
        <f aca="false">D38*R38*AK7</f>
        <v>0</v>
      </c>
      <c r="BZ38" s="804" t="n">
        <f aca="false">E38*S38*AL7</f>
        <v>0</v>
      </c>
      <c r="CA38" s="804" t="n">
        <f aca="false">F38*T38*AM7</f>
        <v>0</v>
      </c>
      <c r="CB38" s="804" t="n">
        <f aca="false">G38*U38*AN7</f>
        <v>0</v>
      </c>
      <c r="CC38" s="804" t="n">
        <f aca="false">H38*V38*AO7</f>
        <v>0</v>
      </c>
      <c r="CD38" s="804" t="n">
        <f aca="false">I38*W38*AP7</f>
        <v>0</v>
      </c>
      <c r="CE38" s="804" t="n">
        <f aca="false">J38*X38*AQ7</f>
        <v>0</v>
      </c>
      <c r="CF38" s="804" t="n">
        <f aca="false">K38*Y38*AR7</f>
        <v>0</v>
      </c>
      <c r="CG38" s="804" t="n">
        <f aca="false">L38*Z38*AS7</f>
        <v>0</v>
      </c>
      <c r="CH38" s="804" t="n">
        <f aca="false">M38*AA38*AT7</f>
        <v>0</v>
      </c>
      <c r="CI38" s="805" t="n">
        <f aca="false">SUM(BY38:CH38)</f>
        <v>0</v>
      </c>
      <c r="CJ38" s="806" t="n">
        <f aca="false">CI38</f>
        <v>0</v>
      </c>
    </row>
    <row r="39" customFormat="false" ht="13.5" hidden="false" customHeight="false" outlineLevel="0" collapsed="false">
      <c r="B39" s="770"/>
      <c r="C39" s="786" t="n">
        <v>55</v>
      </c>
      <c r="D39" s="790" t="n">
        <f aca="false">'7.1 Dealer area'!I40</f>
        <v>0</v>
      </c>
      <c r="E39" s="825" t="n">
        <f aca="false">D29</f>
        <v>0</v>
      </c>
      <c r="F39" s="825" t="n">
        <f aca="false">E29</f>
        <v>0</v>
      </c>
      <c r="G39" s="825" t="n">
        <f aca="false">F29</f>
        <v>0</v>
      </c>
      <c r="H39" s="825" t="n">
        <f aca="false">G29</f>
        <v>0</v>
      </c>
      <c r="I39" s="825" t="n">
        <f aca="false">H29</f>
        <v>0</v>
      </c>
      <c r="J39" s="825" t="n">
        <f aca="false">I29</f>
        <v>0</v>
      </c>
      <c r="K39" s="825" t="n">
        <f aca="false">J29</f>
        <v>0</v>
      </c>
      <c r="L39" s="825" t="n">
        <f aca="false">K29</f>
        <v>0</v>
      </c>
      <c r="M39" s="825" t="n">
        <f aca="false">L29</f>
        <v>0</v>
      </c>
      <c r="N39" s="826" t="n">
        <f aca="false">SUM(D39:M39)</f>
        <v>0</v>
      </c>
      <c r="Q39" s="774" t="n">
        <v>55</v>
      </c>
      <c r="R39" s="793" t="n">
        <f aca="false">('DAF Oil CPV (short)'!E8)/(1)*((1-'5.1 DAF Vehicle Parc Input'!$H$56)/(1-'Calculation (short)'!$O$1))*(1+$I$1)</f>
        <v>140.813823199138</v>
      </c>
      <c r="S39" s="793" t="n">
        <f aca="false">('DAF Oil CPV (short)'!F8)/(1)*((1-'5.1 DAF Vehicle Parc Input'!$H$56)/(1-'Calculation (short)'!$O$1))*(1+$I$1)</f>
        <v>189.398885766509</v>
      </c>
      <c r="T39" s="793" t="n">
        <f aca="false">('DAF Oil CPV (short)'!G8)/(1)*((1-'5.1 DAF Vehicle Parc Input'!$H$56)/(1-'Calculation (short)'!$O$1))*(1+$I$1)</f>
        <v>175.041811463655</v>
      </c>
      <c r="U39" s="793" t="n">
        <f aca="false">('DAF Oil CPV (short)'!H8)/(1)*((1-'5.1 DAF Vehicle Parc Input'!$H$56)/(1-'Calculation (short)'!$O$1))*(1+$I$1)</f>
        <v>180.314608951586</v>
      </c>
      <c r="V39" s="793" t="n">
        <f aca="false">('DAF Oil CPV (short)'!I8)/(1)*((1-'5.1 DAF Vehicle Parc Input'!$H$56)/(1-'Calculation (short)'!$O$1))*(1+$I$1)</f>
        <v>149.355755129587</v>
      </c>
      <c r="W39" s="793" t="n">
        <f aca="false">('DAF Oil CPV (short)'!J8)/(1)*((1-'5.1 DAF Vehicle Parc Input'!$H$56)/(1-'Calculation (short)'!$O$1))*(1+$I$1)</f>
        <v>179.079267825842</v>
      </c>
      <c r="X39" s="793" t="n">
        <f aca="false">('DAF Oil CPV (short)'!K8)/(1)*((1-'5.1 DAF Vehicle Parc Input'!$H$56)/(1-'Calculation (short)'!$O$1))*(1+$I$1)</f>
        <v>190.271722064958</v>
      </c>
      <c r="Y39" s="793" t="n">
        <f aca="false">('DAF Oil CPV (short)'!L8)/(1)*((1-'5.1 DAF Vehicle Parc Input'!$H$56)/(1-'Calculation (short)'!$O$1))*(1+$I$1)</f>
        <v>201.464176304073</v>
      </c>
      <c r="Z39" s="793" t="n">
        <f aca="false">('DAF Oil CPV (short)'!M8)/(1)*((1-'5.1 DAF Vehicle Parc Input'!$H$56)/(1-'Calculation (short)'!$O$1))*(1+$I$1)</f>
        <v>212.656630543188</v>
      </c>
      <c r="AA39" s="793" t="n">
        <f aca="false">('DAF Oil CPV (short)'!N8)/(1)*((1-'5.1 DAF Vehicle Parc Input'!$H$56)/(1-'Calculation (short)'!$O$1))*(1+$I$1)</f>
        <v>223.849084782303</v>
      </c>
      <c r="AB39" s="793" t="n">
        <f aca="false">('DAF Oil CPV (short)'!O8)/(1)*((1-'5.1 DAF Vehicle Parc Input'!$H$56)/(1-'Calculation (short)'!$O$1))*(1+$I$1)</f>
        <v>214.895121391011</v>
      </c>
      <c r="AC39" s="793" t="n">
        <f aca="false">('DAF Oil CPV (short)'!P8)/(1)*((1-'5.1 DAF Vehicle Parc Input'!$H$56)/(1-'Calculation (short)'!$O$1))*(1+$I$1)</f>
        <v>205.941157999719</v>
      </c>
      <c r="AD39" s="793" t="n">
        <f aca="false">('DAF Oil CPV (short)'!Q8)/(1)*((1-'5.1 DAF Vehicle Parc Input'!$H$56)/(1-'Calculation (short)'!$O$1))*(1+$I$1)</f>
        <v>196.987194608427</v>
      </c>
      <c r="AE39" s="793" t="n">
        <f aca="false">('DAF Oil CPV (short)'!R8)/(1)*((1-'5.1 DAF Vehicle Parc Input'!$H$56)/(1-'Calculation (short)'!$O$1))*(1+$I$1)</f>
        <v>188.033231217135</v>
      </c>
      <c r="AF39" s="793" t="n">
        <f aca="false">('DAF Oil CPV (short)'!S8)/(1)*((1-'5.1 DAF Vehicle Parc Input'!$H$56)/(1-'Calculation (short)'!$O$1))*(1+$I$1)</f>
        <v>179.079267825842</v>
      </c>
      <c r="AG39" s="794" t="n">
        <f aca="false">SUM(R39:AF39)</f>
        <v>2827.18173907297</v>
      </c>
      <c r="AH39" s="795" t="n">
        <f aca="false">AG39</f>
        <v>2827.18173907297</v>
      </c>
      <c r="AV39" s="774" t="n">
        <v>55</v>
      </c>
      <c r="AW39" s="793" t="n">
        <f aca="false">D39*R8*AK8</f>
        <v>0</v>
      </c>
      <c r="AX39" s="793" t="n">
        <f aca="false">E39*S8*AL8</f>
        <v>0</v>
      </c>
      <c r="AY39" s="793" t="n">
        <f aca="false">F39*T8*AM8</f>
        <v>0</v>
      </c>
      <c r="AZ39" s="793" t="n">
        <f aca="false">G39*U8*AN8</f>
        <v>0</v>
      </c>
      <c r="BA39" s="793" t="n">
        <f aca="false">H39*V8*AO8</f>
        <v>0</v>
      </c>
      <c r="BB39" s="793" t="n">
        <f aca="false">I39*W8*AP8</f>
        <v>0</v>
      </c>
      <c r="BC39" s="793" t="n">
        <f aca="false">J39*X8*AQ8</f>
        <v>0</v>
      </c>
      <c r="BD39" s="793" t="n">
        <f aca="false">K39*Y8*AR8</f>
        <v>0</v>
      </c>
      <c r="BE39" s="793" t="n">
        <f aca="false">L39*Z8*AS8</f>
        <v>0</v>
      </c>
      <c r="BF39" s="793" t="n">
        <f aca="false">M39*AA8*AT8</f>
        <v>0</v>
      </c>
      <c r="BG39" s="799" t="n">
        <f aca="false">SUM(AW39:BF39)</f>
        <v>0</v>
      </c>
      <c r="BH39" s="800" t="n">
        <f aca="false">BG39</f>
        <v>0</v>
      </c>
      <c r="BJ39" s="779" t="n">
        <v>55</v>
      </c>
      <c r="BK39" s="801" t="n">
        <f aca="false">R18*D39*AK8</f>
        <v>0</v>
      </c>
      <c r="BL39" s="801" t="n">
        <f aca="false">S18*E39*AL8</f>
        <v>0</v>
      </c>
      <c r="BM39" s="801" t="n">
        <f aca="false">T18*F39*AM8</f>
        <v>0</v>
      </c>
      <c r="BN39" s="801" t="n">
        <f aca="false">U18*G39*AN8</f>
        <v>0</v>
      </c>
      <c r="BO39" s="801" t="n">
        <f aca="false">V18*H39*AO8</f>
        <v>0</v>
      </c>
      <c r="BP39" s="801" t="n">
        <f aca="false">W18*I39*AP8</f>
        <v>0</v>
      </c>
      <c r="BQ39" s="801" t="n">
        <f aca="false">X18*J39*AQ8</f>
        <v>0</v>
      </c>
      <c r="BR39" s="801" t="n">
        <f aca="false">Y18*K39*AR8</f>
        <v>0</v>
      </c>
      <c r="BS39" s="801" t="n">
        <f aca="false">Z18*L39*AS8</f>
        <v>0</v>
      </c>
      <c r="BT39" s="801" t="n">
        <f aca="false">AA18*M39*AT8</f>
        <v>0</v>
      </c>
      <c r="BU39" s="802" t="n">
        <f aca="false">SUM(BK39:BT39)</f>
        <v>0</v>
      </c>
      <c r="BV39" s="803" t="n">
        <f aca="false">BU39</f>
        <v>0</v>
      </c>
      <c r="BX39" s="779" t="n">
        <v>55</v>
      </c>
      <c r="BY39" s="804" t="n">
        <f aca="false">D39*R39*AK8</f>
        <v>0</v>
      </c>
      <c r="BZ39" s="804" t="n">
        <f aca="false">E39*S39*AL8</f>
        <v>0</v>
      </c>
      <c r="CA39" s="804" t="n">
        <f aca="false">F39*T39*AM8</f>
        <v>0</v>
      </c>
      <c r="CB39" s="804" t="n">
        <f aca="false">G39*U39*AN8</f>
        <v>0</v>
      </c>
      <c r="CC39" s="804" t="n">
        <f aca="false">H39*V39*AO8</f>
        <v>0</v>
      </c>
      <c r="CD39" s="804" t="n">
        <f aca="false">I39*W39*AP8</f>
        <v>0</v>
      </c>
      <c r="CE39" s="804" t="n">
        <f aca="false">J39*X39*AQ8</f>
        <v>0</v>
      </c>
      <c r="CF39" s="804" t="n">
        <f aca="false">K39*Y39*AR8</f>
        <v>0</v>
      </c>
      <c r="CG39" s="804" t="n">
        <f aca="false">L39*Z39*AS8</f>
        <v>0</v>
      </c>
      <c r="CH39" s="804" t="n">
        <f aca="false">M39*AA39*AT8</f>
        <v>0</v>
      </c>
      <c r="CI39" s="805" t="n">
        <f aca="false">SUM(BY39:CH39)</f>
        <v>0</v>
      </c>
      <c r="CJ39" s="806" t="n">
        <f aca="false">CI39</f>
        <v>0</v>
      </c>
    </row>
    <row r="40" customFormat="false" ht="13.5" hidden="false" customHeight="false" outlineLevel="0" collapsed="false">
      <c r="B40" s="770"/>
      <c r="C40" s="786" t="n">
        <v>65</v>
      </c>
      <c r="D40" s="790" t="n">
        <f aca="false">'7.1 Dealer area'!I43</f>
        <v>0</v>
      </c>
      <c r="E40" s="825" t="n">
        <f aca="false">D30</f>
        <v>0</v>
      </c>
      <c r="F40" s="825" t="n">
        <f aca="false">E30</f>
        <v>0</v>
      </c>
      <c r="G40" s="825" t="n">
        <f aca="false">F30</f>
        <v>0</v>
      </c>
      <c r="H40" s="825" t="n">
        <f aca="false">G30</f>
        <v>0</v>
      </c>
      <c r="I40" s="825" t="n">
        <f aca="false">H30</f>
        <v>0</v>
      </c>
      <c r="J40" s="825" t="n">
        <f aca="false">I30</f>
        <v>0</v>
      </c>
      <c r="K40" s="825" t="n">
        <f aca="false">J30</f>
        <v>0</v>
      </c>
      <c r="L40" s="825" t="n">
        <f aca="false">K30</f>
        <v>0</v>
      </c>
      <c r="M40" s="825" t="n">
        <f aca="false">L30</f>
        <v>0</v>
      </c>
      <c r="N40" s="826" t="n">
        <f aca="false">SUM(D40:M40)</f>
        <v>0</v>
      </c>
      <c r="Q40" s="774" t="n">
        <v>65</v>
      </c>
      <c r="R40" s="793" t="n">
        <f aca="false">('DAF Oil CPV (short)'!E9)/(1)*((1-'5.1 DAF Vehicle Parc Input'!$H$56)/(1-'Calculation (short)'!$O$1))*(1+$I$1)</f>
        <v>214.742018981881</v>
      </c>
      <c r="S40" s="793" t="n">
        <f aca="false">('DAF Oil CPV (short)'!F9)/(1)*((1-'5.1 DAF Vehicle Parc Input'!$H$56)/(1-'Calculation (short)'!$O$1))*(1+$I$1)</f>
        <v>267.380855543113</v>
      </c>
      <c r="T40" s="793" t="n">
        <f aca="false">('DAF Oil CPV (short)'!G9)/(1)*((1-'5.1 DAF Vehicle Parc Input'!$H$56)/(1-'Calculation (short)'!$O$1))*(1+$I$1)</f>
        <v>255.260460881935</v>
      </c>
      <c r="U40" s="793" t="n">
        <f aca="false">('DAF Oil CPV (short)'!H9)/(1)*((1-'5.1 DAF Vehicle Parc Input'!$H$56)/(1-'Calculation (short)'!$O$1))*(1+$I$1)</f>
        <v>258.632571428571</v>
      </c>
      <c r="V40" s="793" t="n">
        <f aca="false">('DAF Oil CPV (short)'!I9)/(1)*((1-'5.1 DAF Vehicle Parc Input'!$H$56)/(1-'Calculation (short)'!$O$1))*(1+$I$1)</f>
        <v>296.539688326963</v>
      </c>
      <c r="W40" s="793" t="n">
        <f aca="false">('DAF Oil CPV (short)'!J9)/(1)*((1-'5.1 DAF Vehicle Parc Input'!$H$56)/(1-'Calculation (short)'!$O$1))*(1+$I$1)</f>
        <v>345.622455294864</v>
      </c>
      <c r="X40" s="793" t="n">
        <f aca="false">('DAF Oil CPV (short)'!K9)/(1)*((1-'5.1 DAF Vehicle Parc Input'!$H$56)/(1-'Calculation (short)'!$O$1))*(1+$I$1)</f>
        <v>367.223858750793</v>
      </c>
      <c r="Y40" s="793" t="n">
        <f aca="false">('DAF Oil CPV (short)'!L9)/(1)*((1-'5.1 DAF Vehicle Parc Input'!$H$56)/(1-'Calculation (short)'!$O$1))*(1+$I$1)</f>
        <v>388.825262206722</v>
      </c>
      <c r="Z40" s="793" t="n">
        <f aca="false">('DAF Oil CPV (short)'!M9)/(1)*((1-'5.1 DAF Vehicle Parc Input'!$H$56)/(1-'Calculation (short)'!$O$1))*(1+$I$1)</f>
        <v>410.426665662651</v>
      </c>
      <c r="AA40" s="793" t="n">
        <f aca="false">('DAF Oil CPV (short)'!N9)/(1)*((1-'5.1 DAF Vehicle Parc Input'!$H$56)/(1-'Calculation (short)'!$O$1))*(1+$I$1)</f>
        <v>432.02806911858</v>
      </c>
      <c r="AB40" s="793" t="n">
        <f aca="false">('DAF Oil CPV (short)'!O9)/(1)*((1-'5.1 DAF Vehicle Parc Input'!$H$56)/(1-'Calculation (short)'!$O$1))*(1+$I$1)</f>
        <v>414.746946353836</v>
      </c>
      <c r="AC40" s="793" t="n">
        <f aca="false">('DAF Oil CPV (short)'!P9)/(1)*((1-'5.1 DAF Vehicle Parc Input'!$H$56)/(1-'Calculation (short)'!$O$1))*(1+$I$1)</f>
        <v>397.465823589093</v>
      </c>
      <c r="AD40" s="793" t="n">
        <f aca="false">('DAF Oil CPV (short)'!Q9)/(1)*((1-'5.1 DAF Vehicle Parc Input'!$H$56)/(1-'Calculation (short)'!$O$1))*(1+$I$1)</f>
        <v>380.18470082435</v>
      </c>
      <c r="AE40" s="793" t="n">
        <f aca="false">('DAF Oil CPV (short)'!R9)/(1)*((1-'5.1 DAF Vehicle Parc Input'!$H$56)/(1-'Calculation (short)'!$O$1))*(1+$I$1)</f>
        <v>362.903578059607</v>
      </c>
      <c r="AF40" s="793" t="n">
        <f aca="false">('DAF Oil CPV (short)'!S9)/(1)*((1-'5.1 DAF Vehicle Parc Input'!$H$56)/(1-'Calculation (short)'!$O$1))*(1+$I$1)</f>
        <v>345.622455294864</v>
      </c>
      <c r="AG40" s="794" t="n">
        <f aca="false">SUM(R40:AF40)</f>
        <v>5137.60541031782</v>
      </c>
      <c r="AH40" s="795" t="n">
        <f aca="false">AG40</f>
        <v>5137.60541031782</v>
      </c>
      <c r="AV40" s="774" t="n">
        <v>65</v>
      </c>
      <c r="AW40" s="793" t="n">
        <f aca="false">D40*R9*AK9</f>
        <v>0</v>
      </c>
      <c r="AX40" s="793" t="n">
        <f aca="false">E40*S9*AL9</f>
        <v>0</v>
      </c>
      <c r="AY40" s="793" t="n">
        <f aca="false">F40*T9*AM9</f>
        <v>0</v>
      </c>
      <c r="AZ40" s="793" t="n">
        <f aca="false">G40*U9*AN9</f>
        <v>0</v>
      </c>
      <c r="BA40" s="793" t="n">
        <f aca="false">H40*V9*AO9</f>
        <v>0</v>
      </c>
      <c r="BB40" s="793" t="n">
        <f aca="false">I40*W9*AP9</f>
        <v>0</v>
      </c>
      <c r="BC40" s="793" t="n">
        <f aca="false">J40*X9*AQ9</f>
        <v>0</v>
      </c>
      <c r="BD40" s="793" t="n">
        <f aca="false">K40*Y9*AR9</f>
        <v>0</v>
      </c>
      <c r="BE40" s="793" t="n">
        <f aca="false">L40*Z9*AS9</f>
        <v>0</v>
      </c>
      <c r="BF40" s="793" t="n">
        <f aca="false">M40*AA9*AT9</f>
        <v>0</v>
      </c>
      <c r="BG40" s="799" t="n">
        <f aca="false">SUM(AW40:BF40)</f>
        <v>0</v>
      </c>
      <c r="BH40" s="800" t="n">
        <f aca="false">BG40</f>
        <v>0</v>
      </c>
      <c r="BJ40" s="779" t="n">
        <v>65</v>
      </c>
      <c r="BK40" s="801" t="n">
        <f aca="false">R19*D40*AK9</f>
        <v>0</v>
      </c>
      <c r="BL40" s="801" t="n">
        <f aca="false">S19*E40*AL9</f>
        <v>0</v>
      </c>
      <c r="BM40" s="801" t="n">
        <f aca="false">T19*F40*AM9</f>
        <v>0</v>
      </c>
      <c r="BN40" s="801" t="n">
        <f aca="false">U19*G40*AN9</f>
        <v>0</v>
      </c>
      <c r="BO40" s="801" t="n">
        <f aca="false">V19*H40*AO9</f>
        <v>0</v>
      </c>
      <c r="BP40" s="801" t="n">
        <f aca="false">W19*I40*AP9</f>
        <v>0</v>
      </c>
      <c r="BQ40" s="801" t="n">
        <f aca="false">X19*J40*AQ9</f>
        <v>0</v>
      </c>
      <c r="BR40" s="801" t="n">
        <f aca="false">Y19*K40*AR9</f>
        <v>0</v>
      </c>
      <c r="BS40" s="801" t="n">
        <f aca="false">Z19*L40*AS9</f>
        <v>0</v>
      </c>
      <c r="BT40" s="801" t="n">
        <f aca="false">AA19*M40*AT9</f>
        <v>0</v>
      </c>
      <c r="BU40" s="802" t="n">
        <f aca="false">SUM(BK40:BT40)</f>
        <v>0</v>
      </c>
      <c r="BV40" s="803" t="n">
        <f aca="false">BU40</f>
        <v>0</v>
      </c>
      <c r="BX40" s="779" t="n">
        <v>65</v>
      </c>
      <c r="BY40" s="804" t="n">
        <f aca="false">D40*R40*AK9</f>
        <v>0</v>
      </c>
      <c r="BZ40" s="804" t="n">
        <f aca="false">E40*S40*AL9</f>
        <v>0</v>
      </c>
      <c r="CA40" s="804" t="n">
        <f aca="false">F40*T40*AM9</f>
        <v>0</v>
      </c>
      <c r="CB40" s="804" t="n">
        <f aca="false">G40*U40*AN9</f>
        <v>0</v>
      </c>
      <c r="CC40" s="804" t="n">
        <f aca="false">H40*V40*AO9</f>
        <v>0</v>
      </c>
      <c r="CD40" s="804" t="n">
        <f aca="false">I40*W40*AP9</f>
        <v>0</v>
      </c>
      <c r="CE40" s="804" t="n">
        <f aca="false">J40*X40*AQ9</f>
        <v>0</v>
      </c>
      <c r="CF40" s="804" t="n">
        <f aca="false">K40*Y40*AR9</f>
        <v>0</v>
      </c>
      <c r="CG40" s="804" t="n">
        <f aca="false">L40*Z40*AS9</f>
        <v>0</v>
      </c>
      <c r="CH40" s="804" t="n">
        <f aca="false">M40*AA40*AT9</f>
        <v>0</v>
      </c>
      <c r="CI40" s="805" t="n">
        <f aca="false">SUM(BY40:CH40)</f>
        <v>0</v>
      </c>
      <c r="CJ40" s="806" t="n">
        <f aca="false">CI40</f>
        <v>0</v>
      </c>
    </row>
    <row r="41" customFormat="false" ht="13.5" hidden="false" customHeight="false" outlineLevel="0" collapsed="false">
      <c r="B41" s="770"/>
      <c r="C41" s="786" t="n">
        <v>75</v>
      </c>
      <c r="D41" s="790" t="n">
        <f aca="false">'7.1 Dealer area'!I44</f>
        <v>0</v>
      </c>
      <c r="E41" s="825" t="n">
        <f aca="false">D31</f>
        <v>0</v>
      </c>
      <c r="F41" s="825" t="n">
        <f aca="false">E31</f>
        <v>0</v>
      </c>
      <c r="G41" s="825" t="n">
        <f aca="false">F31</f>
        <v>0</v>
      </c>
      <c r="H41" s="825" t="n">
        <f aca="false">G31</f>
        <v>0</v>
      </c>
      <c r="I41" s="825" t="n">
        <f aca="false">H31</f>
        <v>0</v>
      </c>
      <c r="J41" s="825" t="n">
        <f aca="false">I31</f>
        <v>0</v>
      </c>
      <c r="K41" s="825" t="n">
        <f aca="false">J31</f>
        <v>0</v>
      </c>
      <c r="L41" s="825" t="n">
        <f aca="false">K31</f>
        <v>0</v>
      </c>
      <c r="M41" s="825" t="n">
        <f aca="false">L31</f>
        <v>0</v>
      </c>
      <c r="N41" s="826" t="n">
        <f aca="false">SUM(D41:M41)</f>
        <v>0</v>
      </c>
      <c r="Q41" s="774" t="n">
        <v>75</v>
      </c>
      <c r="R41" s="793" t="n">
        <f aca="false">('DAF Oil CPV (short)'!E10)/(1)*((1-'5.1 DAF Vehicle Parc Input'!$H$56)/(1-'Calculation (short)'!$O$1))*(1+$I$1)</f>
        <v>315.359578947368</v>
      </c>
      <c r="S41" s="793" t="n">
        <f aca="false">('DAF Oil CPV (short)'!F10)/(1)*((1-'5.1 DAF Vehicle Parc Input'!$H$56)/(1-'Calculation (short)'!$O$1))*(1+$I$1)</f>
        <v>297.361263157895</v>
      </c>
      <c r="T41" s="793" t="n">
        <f aca="false">('DAF Oil CPV (short)'!G10)/(1)*((1-'5.1 DAF Vehicle Parc Input'!$H$56)/(1-'Calculation (short)'!$O$1))*(1+$I$1)</f>
        <v>310.010105263158</v>
      </c>
      <c r="U41" s="793" t="n">
        <f aca="false">('DAF Oil CPV (short)'!H10)/(1)*((1-'5.1 DAF Vehicle Parc Input'!$H$56)/(1-'Calculation (short)'!$O$1))*(1+$I$1)</f>
        <v>319.352</v>
      </c>
      <c r="V41" s="793" t="n">
        <f aca="false">('DAF Oil CPV (short)'!I10)/(1)*((1-'5.1 DAF Vehicle Parc Input'!$H$56)/(1-'Calculation (short)'!$O$1))*(1+$I$1)</f>
        <v>350.263157894737</v>
      </c>
      <c r="W41" s="793" t="n">
        <f aca="false">('DAF Oil CPV (short)'!J10)/(1)*((1-'5.1 DAF Vehicle Parc Input'!$H$56)/(1-'Calculation (short)'!$O$1))*(1+$I$1)</f>
        <v>393.123789473684</v>
      </c>
      <c r="X41" s="793" t="n">
        <f aca="false">('DAF Oil CPV (short)'!K10)/(1)*((1-'5.1 DAF Vehicle Parc Input'!$H$56)/(1-'Calculation (short)'!$O$1))*(1+$I$1)</f>
        <v>417.69402631579</v>
      </c>
      <c r="Y41" s="793" t="n">
        <f aca="false">('DAF Oil CPV (short)'!L10)/(1)*((1-'5.1 DAF Vehicle Parc Input'!$H$56)/(1-'Calculation (short)'!$O$1))*(1+$I$1)</f>
        <v>442.264263157895</v>
      </c>
      <c r="Z41" s="793" t="n">
        <f aca="false">('DAF Oil CPV (short)'!M10)/(1)*((1-'5.1 DAF Vehicle Parc Input'!$H$56)/(1-'Calculation (short)'!$O$1))*(1+$I$1)</f>
        <v>466.8345</v>
      </c>
      <c r="AA41" s="793" t="n">
        <f aca="false">('DAF Oil CPV (short)'!N10)/(1)*((1-'5.1 DAF Vehicle Parc Input'!$H$56)/(1-'Calculation (short)'!$O$1))*(1+$I$1)</f>
        <v>491.404736842105</v>
      </c>
      <c r="AB41" s="793" t="n">
        <f aca="false">('DAF Oil CPV (short)'!O10)/(1)*((1-'5.1 DAF Vehicle Parc Input'!$H$56)/(1-'Calculation (short)'!$O$1))*(1+$I$1)</f>
        <v>471.748547368421</v>
      </c>
      <c r="AC41" s="793" t="n">
        <f aca="false">('DAF Oil CPV (short)'!P10)/(1)*((1-'5.1 DAF Vehicle Parc Input'!$H$56)/(1-'Calculation (short)'!$O$1))*(1+$I$1)</f>
        <v>452.092357894737</v>
      </c>
      <c r="AD41" s="793" t="n">
        <f aca="false">('DAF Oil CPV (short)'!Q10)/(1)*((1-'5.1 DAF Vehicle Parc Input'!$H$56)/(1-'Calculation (short)'!$O$1))*(1+$I$1)</f>
        <v>432.436168421053</v>
      </c>
      <c r="AE41" s="793" t="n">
        <f aca="false">('DAF Oil CPV (short)'!R10)/(1)*((1-'5.1 DAF Vehicle Parc Input'!$H$56)/(1-'Calculation (short)'!$O$1))*(1+$I$1)</f>
        <v>412.779978947368</v>
      </c>
      <c r="AF41" s="793" t="n">
        <f aca="false">('DAF Oil CPV (short)'!S10)/(1)*((1-'5.1 DAF Vehicle Parc Input'!$H$56)/(1-'Calculation (short)'!$O$1))*(1+$I$1)</f>
        <v>393.123789473684</v>
      </c>
      <c r="AG41" s="794" t="n">
        <f aca="false">SUM(R41:AF41)</f>
        <v>5965.8482631579</v>
      </c>
      <c r="AH41" s="795" t="n">
        <f aca="false">AG41</f>
        <v>5965.8482631579</v>
      </c>
      <c r="AV41" s="774" t="n">
        <v>75</v>
      </c>
      <c r="AW41" s="793" t="n">
        <f aca="false">D41*R10*AK10</f>
        <v>0</v>
      </c>
      <c r="AX41" s="793" t="n">
        <f aca="false">E41*S10*AL10</f>
        <v>0</v>
      </c>
      <c r="AY41" s="793" t="n">
        <f aca="false">F41*T10*AM10</f>
        <v>0</v>
      </c>
      <c r="AZ41" s="793" t="n">
        <f aca="false">G41*U10*AN10</f>
        <v>0</v>
      </c>
      <c r="BA41" s="793" t="n">
        <f aca="false">H41*V10*AO10</f>
        <v>0</v>
      </c>
      <c r="BB41" s="793" t="n">
        <f aca="false">I41*W10*AP10</f>
        <v>0</v>
      </c>
      <c r="BC41" s="793" t="n">
        <f aca="false">J41*X10*AQ10</f>
        <v>0</v>
      </c>
      <c r="BD41" s="793" t="n">
        <f aca="false">K41*Y10*AR10</f>
        <v>0</v>
      </c>
      <c r="BE41" s="793" t="n">
        <f aca="false">L41*Z10*AS10</f>
        <v>0</v>
      </c>
      <c r="BF41" s="793" t="n">
        <f aca="false">M41*AA10*AT10</f>
        <v>0</v>
      </c>
      <c r="BG41" s="799" t="n">
        <f aca="false">SUM(AW41:BF41)</f>
        <v>0</v>
      </c>
      <c r="BH41" s="800" t="n">
        <f aca="false">BG41</f>
        <v>0</v>
      </c>
      <c r="BJ41" s="779" t="n">
        <v>75</v>
      </c>
      <c r="BK41" s="801" t="n">
        <f aca="false">R20*D41*AK10</f>
        <v>0</v>
      </c>
      <c r="BL41" s="801" t="n">
        <f aca="false">S20*E41*AL10</f>
        <v>0</v>
      </c>
      <c r="BM41" s="801" t="n">
        <f aca="false">T20*F41*AM10</f>
        <v>0</v>
      </c>
      <c r="BN41" s="801" t="n">
        <f aca="false">U20*G41*AN10</f>
        <v>0</v>
      </c>
      <c r="BO41" s="801" t="n">
        <f aca="false">V20*H41*AO10</f>
        <v>0</v>
      </c>
      <c r="BP41" s="801" t="n">
        <f aca="false">W20*I41*AP10</f>
        <v>0</v>
      </c>
      <c r="BQ41" s="801" t="n">
        <f aca="false">X20*J41*AQ10</f>
        <v>0</v>
      </c>
      <c r="BR41" s="801" t="n">
        <f aca="false">Y20*K41*AR10</f>
        <v>0</v>
      </c>
      <c r="BS41" s="801" t="n">
        <f aca="false">Z20*L41*AS10</f>
        <v>0</v>
      </c>
      <c r="BT41" s="801" t="n">
        <f aca="false">AA20*M41*AT10</f>
        <v>0</v>
      </c>
      <c r="BU41" s="802" t="n">
        <f aca="false">SUM(BK41:BT41)</f>
        <v>0</v>
      </c>
      <c r="BV41" s="803" t="n">
        <f aca="false">BU41</f>
        <v>0</v>
      </c>
      <c r="BX41" s="779" t="n">
        <v>75</v>
      </c>
      <c r="BY41" s="804" t="n">
        <f aca="false">D41*R41*AK10</f>
        <v>0</v>
      </c>
      <c r="BZ41" s="804" t="n">
        <f aca="false">E41*S41*AL10</f>
        <v>0</v>
      </c>
      <c r="CA41" s="804" t="n">
        <f aca="false">F41*T41*AM10</f>
        <v>0</v>
      </c>
      <c r="CB41" s="804" t="n">
        <f aca="false">G41*U41*AN10</f>
        <v>0</v>
      </c>
      <c r="CC41" s="804" t="n">
        <f aca="false">H41*V41*AO10</f>
        <v>0</v>
      </c>
      <c r="CD41" s="804" t="n">
        <f aca="false">I41*W41*AP10</f>
        <v>0</v>
      </c>
      <c r="CE41" s="804" t="n">
        <f aca="false">J41*X41*AQ10</f>
        <v>0</v>
      </c>
      <c r="CF41" s="804" t="n">
        <f aca="false">K41*Y41*AR10</f>
        <v>0</v>
      </c>
      <c r="CG41" s="804" t="n">
        <f aca="false">L41*Z41*AS10</f>
        <v>0</v>
      </c>
      <c r="CH41" s="804" t="n">
        <f aca="false">M41*AA41*AT10</f>
        <v>0</v>
      </c>
      <c r="CI41" s="805" t="n">
        <f aca="false">SUM(BY41:CH41)</f>
        <v>0</v>
      </c>
      <c r="CJ41" s="806" t="n">
        <f aca="false">CI41</f>
        <v>0</v>
      </c>
    </row>
    <row r="42" customFormat="false" ht="13.5" hidden="false" customHeight="false" outlineLevel="0" collapsed="false">
      <c r="B42" s="770"/>
      <c r="C42" s="786" t="n">
        <v>85</v>
      </c>
      <c r="D42" s="790" t="n">
        <f aca="false">'7.1 Dealer area'!I45</f>
        <v>0</v>
      </c>
      <c r="E42" s="825" t="n">
        <f aca="false">D32</f>
        <v>0</v>
      </c>
      <c r="F42" s="825" t="n">
        <f aca="false">E32</f>
        <v>0</v>
      </c>
      <c r="G42" s="825" t="n">
        <f aca="false">F32</f>
        <v>10</v>
      </c>
      <c r="H42" s="825" t="n">
        <f aca="false">G32</f>
        <v>0</v>
      </c>
      <c r="I42" s="825" t="n">
        <f aca="false">H32</f>
        <v>0</v>
      </c>
      <c r="J42" s="825" t="n">
        <f aca="false">I32</f>
        <v>0</v>
      </c>
      <c r="K42" s="825" t="n">
        <f aca="false">J32</f>
        <v>0</v>
      </c>
      <c r="L42" s="825" t="n">
        <f aca="false">K32</f>
        <v>0</v>
      </c>
      <c r="M42" s="825" t="n">
        <f aca="false">L32</f>
        <v>0</v>
      </c>
      <c r="N42" s="826" t="n">
        <f aca="false">SUM(D42:M42)</f>
        <v>10</v>
      </c>
      <c r="Q42" s="774" t="n">
        <v>85</v>
      </c>
      <c r="R42" s="793" t="n">
        <f aca="false">('DAF Oil CPV (short)'!E11)/(1)*((1-'5.1 DAF Vehicle Parc Input'!$H$56)/(1-'Calculation (short)'!$O$1))*(1+$I$1)</f>
        <v>464.091157894737</v>
      </c>
      <c r="S42" s="793" t="n">
        <f aca="false">('DAF Oil CPV (short)'!F11)/(1)*((1-'5.1 DAF Vehicle Parc Input'!$H$56)/(1-'Calculation (short)'!$O$1))*(1+$I$1)</f>
        <v>454.031368421053</v>
      </c>
      <c r="T42" s="793" t="n">
        <f aca="false">('DAF Oil CPV (short)'!G11)/(1)*((1-'5.1 DAF Vehicle Parc Input'!$H$56)/(1-'Calculation (short)'!$O$1))*(1+$I$1)</f>
        <v>388.736526315789</v>
      </c>
      <c r="U42" s="793" t="n">
        <f aca="false">('DAF Oil CPV (short)'!H11)/(1)*((1-'5.1 DAF Vehicle Parc Input'!$H$56)/(1-'Calculation (short)'!$O$1))*(1+$I$1)</f>
        <v>323.004</v>
      </c>
      <c r="V42" s="793" t="n">
        <f aca="false">('DAF Oil CPV (short)'!I11)/(1)*((1-'5.1 DAF Vehicle Parc Input'!$H$56)/(1-'Calculation (short)'!$O$1))*(1+$I$1)</f>
        <v>335.61</v>
      </c>
      <c r="W42" s="793" t="n">
        <f aca="false">('DAF Oil CPV (short)'!J11)/(1)*((1-'5.1 DAF Vehicle Parc Input'!$H$56)/(1-'Calculation (short)'!$O$1))*(1+$I$1)</f>
        <v>377.06147368421</v>
      </c>
      <c r="X42" s="793" t="n">
        <f aca="false">('DAF Oil CPV (short)'!K11)/(1)*((1-'5.1 DAF Vehicle Parc Input'!$H$56)/(1-'Calculation (short)'!$O$1))*(1+$I$1)</f>
        <v>400.627815789474</v>
      </c>
      <c r="Y42" s="793" t="n">
        <f aca="false">('DAF Oil CPV (short)'!L11)/(1)*((1-'5.1 DAF Vehicle Parc Input'!$H$56)/(1-'Calculation (short)'!$O$1))*(1+$I$1)</f>
        <v>424.194157894737</v>
      </c>
      <c r="Z42" s="793" t="n">
        <f aca="false">('DAF Oil CPV (short)'!M11)/(1)*((1-'5.1 DAF Vehicle Parc Input'!$H$56)/(1-'Calculation (short)'!$O$1))*(1+$I$1)</f>
        <v>447.7605</v>
      </c>
      <c r="AA42" s="793" t="n">
        <f aca="false">('DAF Oil CPV (short)'!N11)/(1)*((1-'5.1 DAF Vehicle Parc Input'!$H$56)/(1-'Calculation (short)'!$O$1))*(1+$I$1)</f>
        <v>471.326842105263</v>
      </c>
      <c r="AB42" s="793" t="n">
        <f aca="false">('DAF Oil CPV (short)'!O11)/(1)*((1-'5.1 DAF Vehicle Parc Input'!$H$56)/(1-'Calculation (short)'!$O$1))*(1+$I$1)</f>
        <v>452.473768421053</v>
      </c>
      <c r="AC42" s="793" t="n">
        <f aca="false">('DAF Oil CPV (short)'!P11)/(1)*((1-'5.1 DAF Vehicle Parc Input'!$H$56)/(1-'Calculation (short)'!$O$1))*(1+$I$1)</f>
        <v>433.620694736842</v>
      </c>
      <c r="AD42" s="793" t="n">
        <f aca="false">('DAF Oil CPV (short)'!Q11)/(1)*((1-'5.1 DAF Vehicle Parc Input'!$H$56)/(1-'Calculation (short)'!$O$1))*(1+$I$1)</f>
        <v>414.767621052632</v>
      </c>
      <c r="AE42" s="793" t="n">
        <f aca="false">('DAF Oil CPV (short)'!R11)/(1)*((1-'5.1 DAF Vehicle Parc Input'!$H$56)/(1-'Calculation (short)'!$O$1))*(1+$I$1)</f>
        <v>395.914547368421</v>
      </c>
      <c r="AF42" s="793" t="n">
        <f aca="false">('DAF Oil CPV (short)'!S11)/(1)*((1-'5.1 DAF Vehicle Parc Input'!$H$56)/(1-'Calculation (short)'!$O$1))*(1+$I$1)</f>
        <v>377.06147368421</v>
      </c>
      <c r="AG42" s="794" t="n">
        <f aca="false">SUM(R42:AF42)</f>
        <v>6160.28194736842</v>
      </c>
      <c r="AH42" s="795" t="n">
        <f aca="false">AG42</f>
        <v>6160.28194736842</v>
      </c>
      <c r="AV42" s="774" t="n">
        <v>85</v>
      </c>
      <c r="AW42" s="793" t="n">
        <f aca="false">D42*R11*AK11</f>
        <v>0</v>
      </c>
      <c r="AX42" s="793" t="n">
        <f aca="false">E42*S11*AL11</f>
        <v>0</v>
      </c>
      <c r="AY42" s="793" t="n">
        <f aca="false">F42*T11*AM11</f>
        <v>0</v>
      </c>
      <c r="AZ42" s="793" t="n">
        <f aca="false">G42*U11*AN11</f>
        <v>30593.5082180756</v>
      </c>
      <c r="BA42" s="793" t="n">
        <f aca="false">H42*V11*AO11</f>
        <v>0</v>
      </c>
      <c r="BB42" s="793" t="n">
        <f aca="false">I42*W11*AP11</f>
        <v>0</v>
      </c>
      <c r="BC42" s="793" t="n">
        <f aca="false">J42*X11*AQ11</f>
        <v>0</v>
      </c>
      <c r="BD42" s="793" t="n">
        <f aca="false">K42*Y11*AR11</f>
        <v>0</v>
      </c>
      <c r="BE42" s="793" t="n">
        <f aca="false">L42*Z11*AS11</f>
        <v>0</v>
      </c>
      <c r="BF42" s="793" t="n">
        <f aca="false">M42*AA11*AT11</f>
        <v>0</v>
      </c>
      <c r="BG42" s="799" t="n">
        <f aca="false">SUM(AW42:BF42)</f>
        <v>30593.5082180756</v>
      </c>
      <c r="BH42" s="800" t="n">
        <f aca="false">BG42</f>
        <v>30593.5082180756</v>
      </c>
      <c r="BJ42" s="779" t="n">
        <v>85</v>
      </c>
      <c r="BK42" s="801" t="n">
        <f aca="false">R21*D42*AK11</f>
        <v>0</v>
      </c>
      <c r="BL42" s="801" t="n">
        <f aca="false">S21*E42*AL11</f>
        <v>0</v>
      </c>
      <c r="BM42" s="801" t="n">
        <f aca="false">T21*F42*AM11</f>
        <v>0</v>
      </c>
      <c r="BN42" s="801" t="n">
        <f aca="false">U21*G42*AN11</f>
        <v>360.934664288152</v>
      </c>
      <c r="BO42" s="801" t="n">
        <f aca="false">V21*H42*AO11</f>
        <v>0</v>
      </c>
      <c r="BP42" s="801" t="n">
        <f aca="false">W21*I42*AP11</f>
        <v>0</v>
      </c>
      <c r="BQ42" s="801" t="n">
        <f aca="false">X21*J42*AQ11</f>
        <v>0</v>
      </c>
      <c r="BR42" s="801" t="n">
        <f aca="false">Y21*K42*AR11</f>
        <v>0</v>
      </c>
      <c r="BS42" s="801" t="n">
        <f aca="false">Z21*L42*AS11</f>
        <v>0</v>
      </c>
      <c r="BT42" s="801" t="n">
        <f aca="false">AA21*M42*AT11</f>
        <v>0</v>
      </c>
      <c r="BU42" s="802" t="n">
        <f aca="false">SUM(BK42:BT42)</f>
        <v>360.934664288152</v>
      </c>
      <c r="BV42" s="803" t="n">
        <f aca="false">BU42</f>
        <v>360.934664288152</v>
      </c>
      <c r="BX42" s="779" t="n">
        <v>85</v>
      </c>
      <c r="BY42" s="804" t="n">
        <f aca="false">D42*R42*AK11</f>
        <v>0</v>
      </c>
      <c r="BZ42" s="804" t="n">
        <f aca="false">E42*S42*AL11</f>
        <v>0</v>
      </c>
      <c r="CA42" s="804" t="n">
        <f aca="false">F42*T42*AM11</f>
        <v>0</v>
      </c>
      <c r="CB42" s="804" t="n">
        <f aca="false">G42*U42*AN11</f>
        <v>3230.04</v>
      </c>
      <c r="CC42" s="804" t="n">
        <f aca="false">H42*V42*AO11</f>
        <v>0</v>
      </c>
      <c r="CD42" s="804" t="n">
        <f aca="false">I42*W42*AP11</f>
        <v>0</v>
      </c>
      <c r="CE42" s="804" t="n">
        <f aca="false">J42*X42*AQ11</f>
        <v>0</v>
      </c>
      <c r="CF42" s="804" t="n">
        <f aca="false">K42*Y42*AR11</f>
        <v>0</v>
      </c>
      <c r="CG42" s="804" t="n">
        <f aca="false">L42*Z42*AS11</f>
        <v>0</v>
      </c>
      <c r="CH42" s="804" t="n">
        <f aca="false">M42*AA42*AT11</f>
        <v>0</v>
      </c>
      <c r="CI42" s="805" t="n">
        <f aca="false">SUM(BY42:CH42)</f>
        <v>3230.04</v>
      </c>
      <c r="CJ42" s="806" t="n">
        <f aca="false">CI42</f>
        <v>3230.04</v>
      </c>
    </row>
    <row r="43" customFormat="false" ht="13.5" hidden="false" customHeight="false" outlineLevel="0" collapsed="false">
      <c r="B43" s="770"/>
      <c r="C43" s="786" t="n">
        <v>95</v>
      </c>
      <c r="D43" s="790" t="n">
        <v>0</v>
      </c>
      <c r="E43" s="825" t="n">
        <f aca="false">D33</f>
        <v>0</v>
      </c>
      <c r="F43" s="825" t="n">
        <f aca="false">E33</f>
        <v>0</v>
      </c>
      <c r="G43" s="825" t="n">
        <f aca="false">F33</f>
        <v>0</v>
      </c>
      <c r="H43" s="825" t="n">
        <f aca="false">G33</f>
        <v>0</v>
      </c>
      <c r="I43" s="825" t="n">
        <f aca="false">H33</f>
        <v>0</v>
      </c>
      <c r="J43" s="825" t="n">
        <f aca="false">I33</f>
        <v>0</v>
      </c>
      <c r="K43" s="825" t="n">
        <f aca="false">J33</f>
        <v>0</v>
      </c>
      <c r="L43" s="825" t="n">
        <f aca="false">K33</f>
        <v>0</v>
      </c>
      <c r="M43" s="825" t="n">
        <f aca="false">L33</f>
        <v>0</v>
      </c>
      <c r="N43" s="826" t="n">
        <f aca="false">SUM(D43:M43)</f>
        <v>0</v>
      </c>
      <c r="Q43" s="774" t="n">
        <v>95</v>
      </c>
      <c r="R43" s="793" t="n">
        <f aca="false">('DAF Oil CPV (short)'!E12)/(1)*((1-'5.1 DAF Vehicle Parc Input'!$H$56)/(1-'Calculation (short)'!$O$1))*(1+$I$1)</f>
        <v>454.430842105263</v>
      </c>
      <c r="S43" s="793" t="n">
        <f aca="false">('DAF Oil CPV (short)'!F12)/(1)*((1-'5.1 DAF Vehicle Parc Input'!$H$56)/(1-'Calculation (short)'!$O$1))*(1+$I$1)</f>
        <v>424.056947368421</v>
      </c>
      <c r="T43" s="793" t="n">
        <f aca="false">('DAF Oil CPV (short)'!G12)/(1)*((1-'5.1 DAF Vehicle Parc Input'!$H$56)/(1-'Calculation (short)'!$O$1))*(1+$I$1)</f>
        <v>399.942631578947</v>
      </c>
      <c r="U43" s="793" t="n">
        <f aca="false">('DAF Oil CPV (short)'!H12)/(1)*((1-'5.1 DAF Vehicle Parc Input'!$H$56)/(1-'Calculation (short)'!$O$1))*(1+$I$1)</f>
        <v>387.437368421053</v>
      </c>
      <c r="V43" s="793" t="n">
        <f aca="false">('DAF Oil CPV (short)'!I12)/(1)*((1-'5.1 DAF Vehicle Parc Input'!$H$56)/(1-'Calculation (short)'!$O$1))*(1+$I$1)</f>
        <v>336.32402649588</v>
      </c>
      <c r="W43" s="793" t="n">
        <f aca="false">('DAF Oil CPV (short)'!J12)/(1)*((1-'5.1 DAF Vehicle Parc Input'!$H$56)/(1-'Calculation (short)'!$O$1))*(1+$I$1)</f>
        <v>304.163323481091</v>
      </c>
      <c r="X43" s="793" t="n">
        <f aca="false">('DAF Oil CPV (short)'!K12)/(1)*((1-'5.1 DAF Vehicle Parc Input'!$H$56)/(1-'Calculation (short)'!$O$1))*(1+$I$1)</f>
        <v>323.17353119866</v>
      </c>
      <c r="Y43" s="793" t="n">
        <f aca="false">('DAF Oil CPV (short)'!L12)/(1)*((1-'5.1 DAF Vehicle Parc Input'!$H$56)/(1-'Calculation (short)'!$O$1))*(1+$I$1)</f>
        <v>342.183738916228</v>
      </c>
      <c r="Z43" s="793" t="n">
        <f aca="false">('DAF Oil CPV (short)'!M12)/(1)*((1-'5.1 DAF Vehicle Parc Input'!$H$56)/(1-'Calculation (short)'!$O$1))*(1+$I$1)</f>
        <v>361.193946633796</v>
      </c>
      <c r="AA43" s="793" t="n">
        <f aca="false">('DAF Oil CPV (short)'!N12)/(1)*((1-'5.1 DAF Vehicle Parc Input'!$H$56)/(1-'Calculation (short)'!$O$1))*(1+$I$1)</f>
        <v>380.204154351364</v>
      </c>
      <c r="AB43" s="793" t="n">
        <f aca="false">('DAF Oil CPV (short)'!O12)/(1)*((1-'5.1 DAF Vehicle Parc Input'!$H$56)/(1-'Calculation (short)'!$O$1))*(1+$I$1)</f>
        <v>364.99598817731</v>
      </c>
      <c r="AC43" s="793" t="n">
        <f aca="false">('DAF Oil CPV (short)'!P12)/(1)*((1-'5.1 DAF Vehicle Parc Input'!$H$56)/(1-'Calculation (short)'!$O$1))*(1+$I$1)</f>
        <v>349.787822003255</v>
      </c>
      <c r="AD43" s="793" t="n">
        <f aca="false">('DAF Oil CPV (short)'!Q12)/(1)*((1-'5.1 DAF Vehicle Parc Input'!$H$56)/(1-'Calculation (short)'!$O$1))*(1+$I$1)</f>
        <v>334.579655829201</v>
      </c>
      <c r="AE43" s="793" t="n">
        <f aca="false">('DAF Oil CPV (short)'!R12)/(1)*((1-'5.1 DAF Vehicle Parc Input'!$H$56)/(1-'Calculation (short)'!$O$1))*(1+$I$1)</f>
        <v>319.371489655146</v>
      </c>
      <c r="AF43" s="793" t="n">
        <f aca="false">('DAF Oil CPV (short)'!S12)/(1)*((1-'5.1 DAF Vehicle Parc Input'!$H$56)/(1-'Calculation (short)'!$O$1))*(1+$I$1)</f>
        <v>304.163323481091</v>
      </c>
      <c r="AG43" s="794" t="n">
        <f aca="false">SUM(R43:AF43)</f>
        <v>5386.00878969671</v>
      </c>
      <c r="AH43" s="795" t="n">
        <f aca="false">AG43</f>
        <v>5386.00878969671</v>
      </c>
      <c r="AV43" s="774" t="n">
        <v>95</v>
      </c>
      <c r="AW43" s="793" t="n">
        <f aca="false">D43*R12*AK12</f>
        <v>0</v>
      </c>
      <c r="AX43" s="793" t="n">
        <f aca="false">E43*S12*AL12</f>
        <v>0</v>
      </c>
      <c r="AY43" s="793" t="n">
        <f aca="false">F43*T12*AM12</f>
        <v>0</v>
      </c>
      <c r="AZ43" s="793" t="n">
        <f aca="false">G43*U12*AN12</f>
        <v>0</v>
      </c>
      <c r="BA43" s="793" t="n">
        <f aca="false">H43*V12*AO12</f>
        <v>0</v>
      </c>
      <c r="BB43" s="793" t="n">
        <f aca="false">I43*W12*AP12</f>
        <v>0</v>
      </c>
      <c r="BC43" s="793" t="n">
        <f aca="false">J43*X12*AQ12</f>
        <v>0</v>
      </c>
      <c r="BD43" s="793" t="n">
        <f aca="false">K43*Y12*AR12</f>
        <v>0</v>
      </c>
      <c r="BE43" s="793" t="n">
        <f aca="false">L43*Z12*AS12</f>
        <v>0</v>
      </c>
      <c r="BF43" s="793" t="n">
        <f aca="false">M43*AA12*AT12</f>
        <v>0</v>
      </c>
      <c r="BG43" s="799" t="n">
        <f aca="false">SUM(AW43:BF43)</f>
        <v>0</v>
      </c>
      <c r="BH43" s="800" t="n">
        <f aca="false">BG43</f>
        <v>0</v>
      </c>
      <c r="BJ43" s="779" t="n">
        <v>95</v>
      </c>
      <c r="BK43" s="801" t="n">
        <f aca="false">R22*D43*AK12</f>
        <v>0</v>
      </c>
      <c r="BL43" s="801" t="n">
        <f aca="false">S22*E43*AL12</f>
        <v>0</v>
      </c>
      <c r="BM43" s="801" t="n">
        <f aca="false">T22*F43*AM12</f>
        <v>0</v>
      </c>
      <c r="BN43" s="801" t="n">
        <f aca="false">U22*G43*AN12</f>
        <v>0</v>
      </c>
      <c r="BO43" s="801" t="n">
        <f aca="false">V22*H43*AO12</f>
        <v>0</v>
      </c>
      <c r="BP43" s="801" t="n">
        <f aca="false">W22*I43*AP12</f>
        <v>0</v>
      </c>
      <c r="BQ43" s="801" t="n">
        <f aca="false">X22*J43*AQ12</f>
        <v>0</v>
      </c>
      <c r="BR43" s="801" t="n">
        <f aca="false">Y22*K43*AR12</f>
        <v>0</v>
      </c>
      <c r="BS43" s="801" t="n">
        <f aca="false">Z22*L43*AS12</f>
        <v>0</v>
      </c>
      <c r="BT43" s="801" t="n">
        <f aca="false">AA22*M43*AT12</f>
        <v>0</v>
      </c>
      <c r="BU43" s="802" t="n">
        <f aca="false">SUM(BK43:BT43)</f>
        <v>0</v>
      </c>
      <c r="BV43" s="803" t="n">
        <f aca="false">BU43</f>
        <v>0</v>
      </c>
      <c r="BX43" s="779" t="n">
        <v>95</v>
      </c>
      <c r="BY43" s="804" t="n">
        <f aca="false">D43*R43*AK12</f>
        <v>0</v>
      </c>
      <c r="BZ43" s="804" t="n">
        <f aca="false">E43*S43*AL12</f>
        <v>0</v>
      </c>
      <c r="CA43" s="804" t="n">
        <f aca="false">F43*T43*AM12</f>
        <v>0</v>
      </c>
      <c r="CB43" s="804" t="n">
        <f aca="false">G43*U43*AN12</f>
        <v>0</v>
      </c>
      <c r="CC43" s="804" t="n">
        <f aca="false">H43*V43*AO12</f>
        <v>0</v>
      </c>
      <c r="CD43" s="804" t="n">
        <f aca="false">I43*W43*AP12</f>
        <v>0</v>
      </c>
      <c r="CE43" s="804" t="n">
        <f aca="false">J43*X43*AQ12</f>
        <v>0</v>
      </c>
      <c r="CF43" s="804" t="n">
        <f aca="false">K43*Y43*AR12</f>
        <v>0</v>
      </c>
      <c r="CG43" s="804" t="n">
        <f aca="false">L43*Z43*AS12</f>
        <v>0</v>
      </c>
      <c r="CH43" s="804" t="n">
        <f aca="false">M43*AA43*AT12</f>
        <v>0</v>
      </c>
      <c r="CI43" s="805" t="n">
        <f aca="false">SUM(BY43:CH43)</f>
        <v>0</v>
      </c>
      <c r="CJ43" s="806" t="n">
        <f aca="false">CI43</f>
        <v>0</v>
      </c>
    </row>
    <row r="44" customFormat="false" ht="13.5" hidden="false" customHeight="false" outlineLevel="0" collapsed="false">
      <c r="B44" s="770"/>
      <c r="C44" s="786" t="n">
        <v>105</v>
      </c>
      <c r="D44" s="790" t="n">
        <f aca="false">'7.1 Dealer area'!I46</f>
        <v>0</v>
      </c>
      <c r="E44" s="825" t="n">
        <f aca="false">D34</f>
        <v>0</v>
      </c>
      <c r="F44" s="825" t="n">
        <f aca="false">E34</f>
        <v>0</v>
      </c>
      <c r="G44" s="825" t="n">
        <f aca="false">F34</f>
        <v>0</v>
      </c>
      <c r="H44" s="825" t="n">
        <f aca="false">G34</f>
        <v>0</v>
      </c>
      <c r="I44" s="825" t="n">
        <f aca="false">H34</f>
        <v>0</v>
      </c>
      <c r="J44" s="825" t="n">
        <f aca="false">I34</f>
        <v>0</v>
      </c>
      <c r="K44" s="825" t="n">
        <f aca="false">J34</f>
        <v>0</v>
      </c>
      <c r="L44" s="825" t="n">
        <f aca="false">K34</f>
        <v>0</v>
      </c>
      <c r="M44" s="825" t="n">
        <f aca="false">L34</f>
        <v>0</v>
      </c>
      <c r="N44" s="826" t="n">
        <f aca="false">SUM(D44:M44)</f>
        <v>0</v>
      </c>
      <c r="Q44" s="774" t="n">
        <v>105</v>
      </c>
      <c r="R44" s="793" t="n">
        <f aca="false">('DAF Oil CPV (short)'!E13)/(1)*((1-'5.1 DAF Vehicle Parc Input'!$H$56)/(1-'Calculation (short)'!$O$1))*(1+$I$1)</f>
        <v>298.601368421053</v>
      </c>
      <c r="S44" s="793" t="n">
        <f aca="false">('DAF Oil CPV (short)'!F13)/(1)*((1-'5.1 DAF Vehicle Parc Input'!$H$56)/(1-'Calculation (short)'!$O$1))*(1+$I$1)</f>
        <v>277.245157894737</v>
      </c>
      <c r="T44" s="793" t="n">
        <f aca="false">('DAF Oil CPV (short)'!G13)/(1)*((1-'5.1 DAF Vehicle Parc Input'!$H$56)/(1-'Calculation (short)'!$O$1))*(1+$I$1)</f>
        <v>220.836890036074</v>
      </c>
      <c r="U44" s="793" t="n">
        <f aca="false">('DAF Oil CPV (short)'!H13)/(1)*((1-'5.1 DAF Vehicle Parc Input'!$H$56)/(1-'Calculation (short)'!$O$1))*(1+$I$1)</f>
        <v>387.437368421053</v>
      </c>
      <c r="V44" s="793" t="n">
        <f aca="false">('DAF Oil CPV (short)'!I13)/(1)*((1-'5.1 DAF Vehicle Parc Input'!$H$56)/(1-'Calculation (short)'!$O$1))*(1+$I$1)</f>
        <v>336.32402649588</v>
      </c>
      <c r="W44" s="793" t="n">
        <f aca="false">('DAF Oil CPV (short)'!J13)/(1)*((1-'5.1 DAF Vehicle Parc Input'!$H$56)/(1-'Calculation (short)'!$O$1))*(1+$I$1)</f>
        <v>304.163323481091</v>
      </c>
      <c r="X44" s="793" t="n">
        <f aca="false">('DAF Oil CPV (short)'!K13)/(1)*((1-'5.1 DAF Vehicle Parc Input'!$H$56)/(1-'Calculation (short)'!$O$1))*(1+$I$1)</f>
        <v>323.17353119866</v>
      </c>
      <c r="Y44" s="793" t="n">
        <f aca="false">('DAF Oil CPV (short)'!L13)/(1)*((1-'5.1 DAF Vehicle Parc Input'!$H$56)/(1-'Calculation (short)'!$O$1))*(1+$I$1)</f>
        <v>342.183738916228</v>
      </c>
      <c r="Z44" s="793" t="n">
        <f aca="false">('DAF Oil CPV (short)'!M13)/(1)*((1-'5.1 DAF Vehicle Parc Input'!$H$56)/(1-'Calculation (short)'!$O$1))*(1+$I$1)</f>
        <v>361.193946633796</v>
      </c>
      <c r="AA44" s="793" t="n">
        <f aca="false">('DAF Oil CPV (short)'!N13)/(1)*((1-'5.1 DAF Vehicle Parc Input'!$H$56)/(1-'Calculation (short)'!$O$1))*(1+$I$1)</f>
        <v>380.204154351364</v>
      </c>
      <c r="AB44" s="793" t="n">
        <f aca="false">('DAF Oil CPV (short)'!O13)/(1)*((1-'5.1 DAF Vehicle Parc Input'!$H$56)/(1-'Calculation (short)'!$O$1))*(1+$I$1)</f>
        <v>364.99598817731</v>
      </c>
      <c r="AC44" s="793" t="n">
        <f aca="false">('DAF Oil CPV (short)'!P13)/(1)*((1-'5.1 DAF Vehicle Parc Input'!$H$56)/(1-'Calculation (short)'!$O$1))*(1+$I$1)</f>
        <v>349.787822003255</v>
      </c>
      <c r="AD44" s="793" t="n">
        <f aca="false">('DAF Oil CPV (short)'!Q13)/(1)*((1-'5.1 DAF Vehicle Parc Input'!$H$56)/(1-'Calculation (short)'!$O$1))*(1+$I$1)</f>
        <v>334.579655829201</v>
      </c>
      <c r="AE44" s="793" t="n">
        <f aca="false">('DAF Oil CPV (short)'!R13)/(1)*((1-'5.1 DAF Vehicle Parc Input'!$H$56)/(1-'Calculation (short)'!$O$1))*(1+$I$1)</f>
        <v>319.371489655146</v>
      </c>
      <c r="AF44" s="793" t="n">
        <f aca="false">('DAF Oil CPV (short)'!S13)/(1)*((1-'5.1 DAF Vehicle Parc Input'!$H$56)/(1-'Calculation (short)'!$O$1))*(1+$I$1)</f>
        <v>304.163323481091</v>
      </c>
      <c r="AG44" s="794" t="n">
        <f aca="false">SUM(R44:AF44)</f>
        <v>4904.26178499594</v>
      </c>
      <c r="AH44" s="795" t="n">
        <f aca="false">AG44</f>
        <v>4904.26178499594</v>
      </c>
      <c r="AV44" s="774" t="n">
        <v>105</v>
      </c>
      <c r="AW44" s="793" t="n">
        <f aca="false">D44*R13*AK13</f>
        <v>0</v>
      </c>
      <c r="AX44" s="793" t="n">
        <f aca="false">E44*S13*AL13</f>
        <v>0</v>
      </c>
      <c r="AY44" s="793" t="n">
        <f aca="false">F44*T13*AM13</f>
        <v>0</v>
      </c>
      <c r="AZ44" s="793" t="n">
        <f aca="false">G44*U13*AN13</f>
        <v>0</v>
      </c>
      <c r="BA44" s="793" t="n">
        <f aca="false">H44*V13*AO13</f>
        <v>0</v>
      </c>
      <c r="BB44" s="793" t="n">
        <f aca="false">I44*W13*AP13</f>
        <v>0</v>
      </c>
      <c r="BC44" s="793" t="n">
        <f aca="false">J44*X13*AQ13</f>
        <v>0</v>
      </c>
      <c r="BD44" s="793" t="n">
        <f aca="false">K44*Y13*AR13</f>
        <v>0</v>
      </c>
      <c r="BE44" s="793" t="n">
        <f aca="false">L44*Z13*AS13</f>
        <v>0</v>
      </c>
      <c r="BF44" s="793" t="n">
        <f aca="false">M44*AA13*AT13</f>
        <v>0</v>
      </c>
      <c r="BG44" s="799" t="n">
        <f aca="false">SUM(AW44:BF44)</f>
        <v>0</v>
      </c>
      <c r="BH44" s="800" t="n">
        <f aca="false">BG44</f>
        <v>0</v>
      </c>
      <c r="BJ44" s="779" t="n">
        <v>105</v>
      </c>
      <c r="BK44" s="801" t="n">
        <f aca="false">R23*D44*AK13</f>
        <v>0</v>
      </c>
      <c r="BL44" s="801" t="n">
        <f aca="false">S23*E44*AL13</f>
        <v>0</v>
      </c>
      <c r="BM44" s="801" t="n">
        <f aca="false">T23*F44*AM13</f>
        <v>0</v>
      </c>
      <c r="BN44" s="801" t="n">
        <f aca="false">U23*G44*AN13</f>
        <v>0</v>
      </c>
      <c r="BO44" s="801" t="n">
        <f aca="false">V23*H44*AO13</f>
        <v>0</v>
      </c>
      <c r="BP44" s="801" t="n">
        <f aca="false">W23*I44*AP13</f>
        <v>0</v>
      </c>
      <c r="BQ44" s="801" t="n">
        <f aca="false">X23*J44*AQ13</f>
        <v>0</v>
      </c>
      <c r="BR44" s="801" t="n">
        <f aca="false">Y23*K44*AR13</f>
        <v>0</v>
      </c>
      <c r="BS44" s="801" t="n">
        <f aca="false">Z23*L44*AS13</f>
        <v>0</v>
      </c>
      <c r="BT44" s="801" t="n">
        <f aca="false">AA23*M44*AT13</f>
        <v>0</v>
      </c>
      <c r="BU44" s="802" t="n">
        <f aca="false">SUM(BK44:BT44)</f>
        <v>0</v>
      </c>
      <c r="BV44" s="803" t="n">
        <f aca="false">BU44</f>
        <v>0</v>
      </c>
      <c r="BX44" s="779" t="n">
        <v>105</v>
      </c>
      <c r="BY44" s="804" t="n">
        <f aca="false">D44*R44*AK13</f>
        <v>0</v>
      </c>
      <c r="BZ44" s="804" t="n">
        <f aca="false">E44*S44*AL13</f>
        <v>0</v>
      </c>
      <c r="CA44" s="804" t="n">
        <f aca="false">F44*T44*AM13</f>
        <v>0</v>
      </c>
      <c r="CB44" s="804" t="n">
        <f aca="false">G44*U44*AN13</f>
        <v>0</v>
      </c>
      <c r="CC44" s="804" t="n">
        <f aca="false">H44*V44*AO13</f>
        <v>0</v>
      </c>
      <c r="CD44" s="804" t="n">
        <f aca="false">I44*W44*AP13</f>
        <v>0</v>
      </c>
      <c r="CE44" s="804" t="n">
        <f aca="false">J44*X44*AQ13</f>
        <v>0</v>
      </c>
      <c r="CF44" s="804" t="n">
        <f aca="false">K44*Y44*AR13</f>
        <v>0</v>
      </c>
      <c r="CG44" s="804" t="n">
        <f aca="false">L44*Z44*AS13</f>
        <v>0</v>
      </c>
      <c r="CH44" s="804" t="n">
        <f aca="false">M44*AA44*AT13</f>
        <v>0</v>
      </c>
      <c r="CI44" s="805" t="n">
        <f aca="false">SUM(BY44:CH44)</f>
        <v>0</v>
      </c>
      <c r="CJ44" s="806" t="n">
        <f aca="false">CI44</f>
        <v>0</v>
      </c>
    </row>
    <row r="45" customFormat="false" ht="13.5" hidden="false" customHeight="false" outlineLevel="0" collapsed="false">
      <c r="B45" s="767" t="s">
        <v>509</v>
      </c>
      <c r="C45" s="807"/>
      <c r="D45" s="826" t="n">
        <f aca="false">SUM(D38:D44)</f>
        <v>0</v>
      </c>
      <c r="E45" s="826" t="n">
        <f aca="false">SUM(E38:E44)</f>
        <v>0</v>
      </c>
      <c r="F45" s="826" t="n">
        <f aca="false">SUM(F38:F44)</f>
        <v>0</v>
      </c>
      <c r="G45" s="826" t="n">
        <f aca="false">SUM(G38:G44)</f>
        <v>10</v>
      </c>
      <c r="H45" s="826" t="n">
        <f aca="false">SUM(H38:H44)</f>
        <v>0</v>
      </c>
      <c r="I45" s="826" t="n">
        <f aca="false">SUM(I38:I44)</f>
        <v>0</v>
      </c>
      <c r="J45" s="826" t="n">
        <f aca="false">SUM(J38:J44)</f>
        <v>0</v>
      </c>
      <c r="K45" s="826" t="n">
        <f aca="false">SUM(K38:K44)</f>
        <v>0</v>
      </c>
      <c r="L45" s="826" t="n">
        <f aca="false">SUM(L38:L44)</f>
        <v>0</v>
      </c>
      <c r="M45" s="826" t="n">
        <f aca="false">SUM(M38:M44)</f>
        <v>0</v>
      </c>
      <c r="N45" s="826" t="n">
        <f aca="false">SUM(N38:N44)</f>
        <v>10</v>
      </c>
      <c r="Q45" s="809"/>
      <c r="R45" s="794"/>
      <c r="S45" s="794"/>
      <c r="T45" s="794"/>
      <c r="U45" s="794"/>
      <c r="V45" s="794"/>
      <c r="W45" s="794"/>
      <c r="X45" s="794"/>
      <c r="Y45" s="794"/>
      <c r="Z45" s="794"/>
      <c r="AA45" s="794"/>
      <c r="AB45" s="794"/>
      <c r="AC45" s="794"/>
      <c r="AD45" s="794"/>
      <c r="AE45" s="794"/>
      <c r="AF45" s="794"/>
      <c r="AG45" s="794"/>
      <c r="AH45" s="795" t="n">
        <f aca="false">SUM(AH38:AH44)</f>
        <v>32735.1057240834</v>
      </c>
      <c r="AV45" s="809"/>
      <c r="AW45" s="794"/>
      <c r="AX45" s="794"/>
      <c r="AY45" s="794"/>
      <c r="AZ45" s="794"/>
      <c r="BA45" s="794"/>
      <c r="BB45" s="794"/>
      <c r="BC45" s="794"/>
      <c r="BD45" s="794"/>
      <c r="BE45" s="794"/>
      <c r="BF45" s="794"/>
      <c r="BG45" s="799"/>
      <c r="BH45" s="800" t="n">
        <f aca="false">SUM(BH38:BH44)</f>
        <v>30593.5082180756</v>
      </c>
      <c r="BJ45" s="774"/>
      <c r="BK45" s="793"/>
      <c r="BL45" s="793"/>
      <c r="BM45" s="793"/>
      <c r="BN45" s="793"/>
      <c r="BO45" s="793"/>
      <c r="BP45" s="793"/>
      <c r="BQ45" s="793"/>
      <c r="BR45" s="793"/>
      <c r="BS45" s="793"/>
      <c r="BT45" s="793"/>
      <c r="BU45" s="805"/>
      <c r="BV45" s="806" t="n">
        <f aca="false">SUM(BV38:BV44)</f>
        <v>360.934664288152</v>
      </c>
      <c r="BX45" s="813"/>
      <c r="BY45" s="814"/>
      <c r="BZ45" s="814"/>
      <c r="CA45" s="814"/>
      <c r="CB45" s="814"/>
      <c r="CC45" s="814"/>
      <c r="CD45" s="814"/>
      <c r="CE45" s="814"/>
      <c r="CF45" s="814"/>
      <c r="CG45" s="814"/>
      <c r="CH45" s="814"/>
      <c r="CI45" s="805"/>
      <c r="CJ45" s="806" t="n">
        <f aca="false">SUM(CJ38:CJ44)</f>
        <v>3230.04</v>
      </c>
    </row>
    <row r="46" customFormat="false" ht="13.5" hidden="false" customHeight="false" outlineLevel="0" collapsed="false">
      <c r="B46" s="770" t="s">
        <v>500</v>
      </c>
      <c r="C46" s="815" t="n">
        <f aca="false">'Reference sheet'!C18+4</f>
        <v>2022</v>
      </c>
      <c r="D46" s="769"/>
      <c r="E46" s="770"/>
      <c r="F46" s="770"/>
      <c r="G46" s="770"/>
      <c r="H46" s="770"/>
      <c r="I46" s="770"/>
      <c r="J46" s="770"/>
      <c r="K46" s="770"/>
      <c r="L46" s="770"/>
      <c r="M46" s="770"/>
      <c r="N46" s="770"/>
      <c r="Q46" s="831"/>
      <c r="AH46" s="776"/>
      <c r="AV46" s="774" t="n">
        <f aca="false">AV36+1</f>
        <v>2022</v>
      </c>
      <c r="AW46" s="775" t="s">
        <v>501</v>
      </c>
      <c r="AX46" s="763"/>
      <c r="AY46" s="763"/>
      <c r="AZ46" s="763"/>
      <c r="BA46" s="763"/>
      <c r="BB46" s="763"/>
      <c r="BC46" s="763"/>
      <c r="BD46" s="763"/>
      <c r="BE46" s="763"/>
      <c r="BF46" s="763"/>
      <c r="BG46" s="816"/>
      <c r="BH46" s="800"/>
      <c r="BJ46" s="779" t="n">
        <f aca="false">AV46</f>
        <v>2022</v>
      </c>
      <c r="BK46" s="780" t="s">
        <v>502</v>
      </c>
      <c r="BL46" s="780"/>
      <c r="BM46" s="780"/>
      <c r="BN46" s="780"/>
      <c r="BO46" s="780"/>
      <c r="BP46" s="780"/>
      <c r="BQ46" s="780"/>
      <c r="BR46" s="780"/>
      <c r="BS46" s="780"/>
      <c r="BT46" s="780"/>
      <c r="BU46" s="762" t="n">
        <f aca="false">SUM(BK46:BT46)</f>
        <v>0</v>
      </c>
      <c r="BX46" s="779" t="s">
        <v>174</v>
      </c>
      <c r="BY46" s="783" t="s">
        <v>503</v>
      </c>
      <c r="BZ46" s="783"/>
      <c r="CA46" s="783"/>
      <c r="CB46" s="783"/>
      <c r="CC46" s="783"/>
      <c r="CD46" s="783"/>
      <c r="CE46" s="783"/>
      <c r="CF46" s="783"/>
      <c r="CG46" s="783"/>
      <c r="CH46" s="783"/>
      <c r="CI46" s="783"/>
      <c r="CJ46" s="783"/>
      <c r="CK46" s="783"/>
      <c r="CL46" s="783"/>
      <c r="CM46" s="783"/>
      <c r="CN46" s="763"/>
    </row>
    <row r="47" customFormat="false" ht="13.5" hidden="false" customHeight="false" outlineLevel="0" collapsed="false">
      <c r="B47" s="770"/>
      <c r="C47" s="784"/>
      <c r="D47" s="785" t="n">
        <f aca="false">D37+1</f>
        <v>2022</v>
      </c>
      <c r="E47" s="786" t="n">
        <f aca="false">D47-1</f>
        <v>2021</v>
      </c>
      <c r="F47" s="786" t="n">
        <f aca="false">E47-1</f>
        <v>2020</v>
      </c>
      <c r="G47" s="786" t="n">
        <f aca="false">F47-1</f>
        <v>2019</v>
      </c>
      <c r="H47" s="786" t="n">
        <f aca="false">G47-1</f>
        <v>2018</v>
      </c>
      <c r="I47" s="786" t="n">
        <f aca="false">H47-1</f>
        <v>2017</v>
      </c>
      <c r="J47" s="786" t="n">
        <f aca="false">I47-1</f>
        <v>2016</v>
      </c>
      <c r="K47" s="786" t="n">
        <f aca="false">J47-1</f>
        <v>2015</v>
      </c>
      <c r="L47" s="786" t="n">
        <f aca="false">K47-1</f>
        <v>2014</v>
      </c>
      <c r="M47" s="786" t="n">
        <f aca="false">L47-1</f>
        <v>2013</v>
      </c>
      <c r="N47" s="786" t="s">
        <v>507</v>
      </c>
      <c r="Q47" s="774"/>
      <c r="R47" s="775" t="s">
        <v>510</v>
      </c>
      <c r="S47" s="775"/>
      <c r="T47" s="775"/>
      <c r="U47" s="775"/>
      <c r="V47" s="775"/>
      <c r="W47" s="775"/>
      <c r="X47" s="775"/>
      <c r="Y47" s="775"/>
      <c r="Z47" s="775"/>
      <c r="AA47" s="775"/>
      <c r="AB47" s="775"/>
      <c r="AC47" s="775"/>
      <c r="AD47" s="775"/>
      <c r="AE47" s="775"/>
      <c r="AF47" s="775"/>
      <c r="AG47" s="763"/>
      <c r="AH47" s="776"/>
      <c r="AV47" s="787" t="s">
        <v>298</v>
      </c>
      <c r="AW47" s="775" t="n">
        <f aca="false">AW37+1</f>
        <v>2022</v>
      </c>
      <c r="AX47" s="775" t="n">
        <f aca="false">AW47-1</f>
        <v>2021</v>
      </c>
      <c r="AY47" s="775" t="n">
        <f aca="false">AX47-1</f>
        <v>2020</v>
      </c>
      <c r="AZ47" s="775" t="n">
        <f aca="false">AY47-1</f>
        <v>2019</v>
      </c>
      <c r="BA47" s="775" t="n">
        <f aca="false">AZ47-1</f>
        <v>2018</v>
      </c>
      <c r="BB47" s="775" t="n">
        <f aca="false">BA47-1</f>
        <v>2017</v>
      </c>
      <c r="BC47" s="775" t="n">
        <f aca="false">BB47-1</f>
        <v>2016</v>
      </c>
      <c r="BD47" s="775" t="n">
        <f aca="false">BC47-1</f>
        <v>2015</v>
      </c>
      <c r="BE47" s="775" t="n">
        <f aca="false">BD47-1</f>
        <v>2014</v>
      </c>
      <c r="BF47" s="775" t="n">
        <f aca="false">BE47-1</f>
        <v>2013</v>
      </c>
      <c r="BG47" s="817"/>
      <c r="BH47" s="800"/>
      <c r="BJ47" s="780" t="s">
        <v>298</v>
      </c>
      <c r="BK47" s="780" t="n">
        <f aca="false">AW47</f>
        <v>2022</v>
      </c>
      <c r="BL47" s="780" t="n">
        <f aca="false">AX47</f>
        <v>2021</v>
      </c>
      <c r="BM47" s="780" t="n">
        <f aca="false">AY47</f>
        <v>2020</v>
      </c>
      <c r="BN47" s="780" t="n">
        <f aca="false">AZ47</f>
        <v>2019</v>
      </c>
      <c r="BO47" s="780" t="n">
        <f aca="false">BA47</f>
        <v>2018</v>
      </c>
      <c r="BP47" s="780" t="n">
        <f aca="false">BB47</f>
        <v>2017</v>
      </c>
      <c r="BQ47" s="780" t="n">
        <f aca="false">BC47</f>
        <v>2016</v>
      </c>
      <c r="BR47" s="780" t="n">
        <f aca="false">BD47</f>
        <v>2015</v>
      </c>
      <c r="BS47" s="780" t="n">
        <f aca="false">BE47</f>
        <v>2014</v>
      </c>
      <c r="BT47" s="780" t="n">
        <f aca="false">BF47</f>
        <v>2013</v>
      </c>
      <c r="BX47" s="780" t="s">
        <v>298</v>
      </c>
      <c r="BY47" s="780" t="n">
        <f aca="false">D47</f>
        <v>2022</v>
      </c>
      <c r="BZ47" s="780" t="n">
        <f aca="false">BY47-1</f>
        <v>2021</v>
      </c>
      <c r="CA47" s="780" t="n">
        <f aca="false">BZ47-1</f>
        <v>2020</v>
      </c>
      <c r="CB47" s="780" t="n">
        <f aca="false">CA47-1</f>
        <v>2019</v>
      </c>
      <c r="CC47" s="780" t="n">
        <f aca="false">CB47-1</f>
        <v>2018</v>
      </c>
      <c r="CD47" s="780" t="n">
        <f aca="false">CC47-1</f>
        <v>2017</v>
      </c>
      <c r="CE47" s="780" t="n">
        <f aca="false">CD47-1</f>
        <v>2016</v>
      </c>
      <c r="CF47" s="780" t="n">
        <f aca="false">CE47-1</f>
        <v>2015</v>
      </c>
      <c r="CG47" s="780" t="n">
        <f aca="false">CF47-1</f>
        <v>2014</v>
      </c>
      <c r="CH47" s="780" t="n">
        <f aca="false">CG47-1</f>
        <v>2013</v>
      </c>
      <c r="CI47" s="780"/>
      <c r="CJ47" s="782"/>
    </row>
    <row r="48" customFormat="false" ht="13.5" hidden="false" customHeight="false" outlineLevel="0" collapsed="false">
      <c r="B48" s="770"/>
      <c r="C48" s="786" t="n">
        <v>45</v>
      </c>
      <c r="D48" s="790" t="n">
        <f aca="false">'7.1 Dealer area'!K39</f>
        <v>0</v>
      </c>
      <c r="E48" s="825" t="n">
        <f aca="false">D38</f>
        <v>0</v>
      </c>
      <c r="F48" s="825" t="n">
        <f aca="false">E38</f>
        <v>0</v>
      </c>
      <c r="G48" s="825" t="n">
        <f aca="false">F38</f>
        <v>0</v>
      </c>
      <c r="H48" s="825" t="n">
        <f aca="false">G38</f>
        <v>0</v>
      </c>
      <c r="I48" s="825" t="n">
        <f aca="false">H38</f>
        <v>0</v>
      </c>
      <c r="J48" s="825" t="n">
        <f aca="false">I38</f>
        <v>0</v>
      </c>
      <c r="K48" s="825" t="n">
        <f aca="false">J38</f>
        <v>0</v>
      </c>
      <c r="L48" s="825" t="n">
        <f aca="false">K38</f>
        <v>0</v>
      </c>
      <c r="M48" s="825" t="n">
        <f aca="false">L38</f>
        <v>0</v>
      </c>
      <c r="N48" s="826" t="n">
        <f aca="false">SUM(D48:M48)</f>
        <v>0</v>
      </c>
      <c r="Q48" s="787"/>
      <c r="R48" s="775" t="s">
        <v>299</v>
      </c>
      <c r="S48" s="775" t="s">
        <v>300</v>
      </c>
      <c r="T48" s="775" t="s">
        <v>301</v>
      </c>
      <c r="U48" s="775" t="s">
        <v>302</v>
      </c>
      <c r="V48" s="775" t="s">
        <v>303</v>
      </c>
      <c r="W48" s="775" t="s">
        <v>304</v>
      </c>
      <c r="X48" s="775" t="s">
        <v>305</v>
      </c>
      <c r="Y48" s="775" t="s">
        <v>306</v>
      </c>
      <c r="Z48" s="775" t="s">
        <v>307</v>
      </c>
      <c r="AA48" s="775" t="s">
        <v>308</v>
      </c>
      <c r="AB48" s="775" t="s">
        <v>309</v>
      </c>
      <c r="AC48" s="775" t="s">
        <v>310</v>
      </c>
      <c r="AD48" s="775" t="s">
        <v>311</v>
      </c>
      <c r="AE48" s="775" t="s">
        <v>312</v>
      </c>
      <c r="AF48" s="775" t="s">
        <v>313</v>
      </c>
      <c r="AG48" s="775"/>
      <c r="AH48" s="776"/>
      <c r="AV48" s="774" t="n">
        <v>45</v>
      </c>
      <c r="AW48" s="793" t="n">
        <f aca="false">D48*R7*AK7</f>
        <v>0</v>
      </c>
      <c r="AX48" s="793" t="n">
        <f aca="false">E48*S7*AL7</f>
        <v>0</v>
      </c>
      <c r="AY48" s="793" t="n">
        <f aca="false">F48*T7*AM7</f>
        <v>0</v>
      </c>
      <c r="AZ48" s="793" t="n">
        <f aca="false">G48*U7*AN7</f>
        <v>0</v>
      </c>
      <c r="BA48" s="793" t="n">
        <f aca="false">H48*V7*AO7</f>
        <v>0</v>
      </c>
      <c r="BB48" s="793" t="n">
        <f aca="false">I48*W7*AP7</f>
        <v>0</v>
      </c>
      <c r="BC48" s="793" t="n">
        <f aca="false">J48*X7*AQ7</f>
        <v>0</v>
      </c>
      <c r="BD48" s="793" t="n">
        <f aca="false">K48*Y7*AR7</f>
        <v>0</v>
      </c>
      <c r="BE48" s="793" t="n">
        <f aca="false">L48*Z7*AS7</f>
        <v>0</v>
      </c>
      <c r="BF48" s="793" t="n">
        <f aca="false">M48*AA7*AT7</f>
        <v>0</v>
      </c>
      <c r="BG48" s="799" t="n">
        <f aca="false">SUM(AW48:BF48)</f>
        <v>0</v>
      </c>
      <c r="BH48" s="800" t="n">
        <f aca="false">BG48</f>
        <v>0</v>
      </c>
      <c r="BJ48" s="779" t="n">
        <v>45</v>
      </c>
      <c r="BK48" s="801" t="n">
        <f aca="false">R17*D48*AK7</f>
        <v>0</v>
      </c>
      <c r="BL48" s="801" t="n">
        <f aca="false">S17*E48*AL7</f>
        <v>0</v>
      </c>
      <c r="BM48" s="801" t="n">
        <f aca="false">T17*F48*AM7</f>
        <v>0</v>
      </c>
      <c r="BN48" s="801" t="n">
        <f aca="false">U17*G48*AN7</f>
        <v>0</v>
      </c>
      <c r="BO48" s="801" t="n">
        <f aca="false">V17*H48*AO7</f>
        <v>0</v>
      </c>
      <c r="BP48" s="801" t="n">
        <f aca="false">W17*I48*AP7</f>
        <v>0</v>
      </c>
      <c r="BQ48" s="801" t="n">
        <f aca="false">X17*J48*AQ7</f>
        <v>0</v>
      </c>
      <c r="BR48" s="801" t="n">
        <f aca="false">Y17*K48*AR7</f>
        <v>0</v>
      </c>
      <c r="BS48" s="801" t="n">
        <f aca="false">Z17*L48*AS7</f>
        <v>0</v>
      </c>
      <c r="BT48" s="801" t="n">
        <f aca="false">AA17*M48*AT7</f>
        <v>0</v>
      </c>
      <c r="BU48" s="802" t="n">
        <f aca="false">SUM(BK48:BT48)</f>
        <v>0</v>
      </c>
      <c r="BV48" s="803" t="n">
        <f aca="false">BU48</f>
        <v>0</v>
      </c>
      <c r="BX48" s="779" t="n">
        <v>45</v>
      </c>
      <c r="BY48" s="804" t="n">
        <f aca="false">D48*R38*AK7</f>
        <v>0</v>
      </c>
      <c r="BZ48" s="804" t="n">
        <f aca="false">E48*S38*AL7</f>
        <v>0</v>
      </c>
      <c r="CA48" s="804" t="n">
        <f aca="false">F48*T38*AM7</f>
        <v>0</v>
      </c>
      <c r="CB48" s="804" t="n">
        <f aca="false">G48*U38*AN7</f>
        <v>0</v>
      </c>
      <c r="CC48" s="804" t="n">
        <f aca="false">H48*V38*AO7</f>
        <v>0</v>
      </c>
      <c r="CD48" s="804" t="n">
        <f aca="false">I48*W38*AP7</f>
        <v>0</v>
      </c>
      <c r="CE48" s="804" t="n">
        <f aca="false">J48*X38*AQ7</f>
        <v>0</v>
      </c>
      <c r="CF48" s="804" t="n">
        <f aca="false">K48*Y38*AR7</f>
        <v>0</v>
      </c>
      <c r="CG48" s="804" t="n">
        <f aca="false">L48*Z38*AS7</f>
        <v>0</v>
      </c>
      <c r="CH48" s="804" t="n">
        <f aca="false">M48*AA38*AT7</f>
        <v>0</v>
      </c>
      <c r="CI48" s="805" t="n">
        <f aca="false">SUM(BY48:CH48)</f>
        <v>0</v>
      </c>
      <c r="CJ48" s="806" t="n">
        <f aca="false">CI48</f>
        <v>0</v>
      </c>
    </row>
    <row r="49" customFormat="false" ht="13.5" hidden="false" customHeight="false" outlineLevel="0" collapsed="false">
      <c r="B49" s="770"/>
      <c r="C49" s="786" t="n">
        <v>55</v>
      </c>
      <c r="D49" s="790" t="n">
        <f aca="false">'7.1 Dealer area'!K40</f>
        <v>0</v>
      </c>
      <c r="E49" s="825" t="n">
        <f aca="false">D39</f>
        <v>0</v>
      </c>
      <c r="F49" s="825" t="n">
        <f aca="false">E39</f>
        <v>0</v>
      </c>
      <c r="G49" s="825" t="n">
        <f aca="false">F39</f>
        <v>0</v>
      </c>
      <c r="H49" s="825" t="n">
        <f aca="false">G39</f>
        <v>0</v>
      </c>
      <c r="I49" s="825" t="n">
        <f aca="false">H39</f>
        <v>0</v>
      </c>
      <c r="J49" s="825" t="n">
        <f aca="false">I39</f>
        <v>0</v>
      </c>
      <c r="K49" s="825" t="n">
        <f aca="false">J39</f>
        <v>0</v>
      </c>
      <c r="L49" s="825" t="n">
        <f aca="false">K39</f>
        <v>0</v>
      </c>
      <c r="M49" s="825" t="n">
        <f aca="false">L39</f>
        <v>0</v>
      </c>
      <c r="N49" s="826" t="n">
        <f aca="false">SUM(D49:M49)</f>
        <v>0</v>
      </c>
      <c r="Q49" s="774" t="s">
        <v>291</v>
      </c>
      <c r="R49" s="793" t="n">
        <f aca="false">(('5.1 DAF Vehicle Parc Input'!E62*'OM Parts CPV (short)'!F7)*((1-'5.1 DAF Vehicle Parc Input'!$H$56)/(1-'Calculation (short)'!$O$1)))*(1+$E$1)*(1+$I$1)</f>
        <v>0</v>
      </c>
      <c r="S49" s="793" t="n">
        <f aca="false">(('5.1 DAF Vehicle Parc Input'!F62*'OM Parts CPV (short)'!G7)*((1-'5.1 DAF Vehicle Parc Input'!$H$56)/(1-'Calculation (short)'!$O$1)))*(1+$E$1)*(1+$I$1)</f>
        <v>0</v>
      </c>
      <c r="T49" s="793" t="n">
        <f aca="false">(('5.1 DAF Vehicle Parc Input'!G62*'OM Parts CPV (short)'!H7)*((1-'5.1 DAF Vehicle Parc Input'!$H$56)/(1-'Calculation (short)'!$O$1)))*(1+$E$1)*(1+$I$1)</f>
        <v>0</v>
      </c>
      <c r="U49" s="793" t="n">
        <f aca="false">(('5.1 DAF Vehicle Parc Input'!H62*'OM Parts CPV (short)'!I7)*((1-'5.1 DAF Vehicle Parc Input'!$H$56)/(1-'Calculation (short)'!$O$1)))*(1+$E$1)*(1+$I$1)</f>
        <v>0</v>
      </c>
      <c r="V49" s="793" t="n">
        <f aca="false">(('5.1 DAF Vehicle Parc Input'!I62*'OM Parts CPV (short)'!J7)*((1-'5.1 DAF Vehicle Parc Input'!$H$56)/(1-'Calculation (short)'!$O$1)))*(1+$E$1)*(1+$I$1)</f>
        <v>0</v>
      </c>
      <c r="W49" s="793" t="n">
        <f aca="false">(('5.1 DAF Vehicle Parc Input'!J62*'OM Parts CPV (short)'!K7)*((1-'5.1 DAF Vehicle Parc Input'!$H$56)/(1-'Calculation (short)'!$O$1)))*(1+$E$1)*(1+$I$1)</f>
        <v>0</v>
      </c>
      <c r="X49" s="793" t="n">
        <f aca="false">(('5.1 DAF Vehicle Parc Input'!K62*'OM Parts CPV (short)'!L7)*((1-'5.1 DAF Vehicle Parc Input'!$H$56)/(1-'Calculation (short)'!$O$1)))*(1+$E$1)*(1+$I$1)</f>
        <v>0</v>
      </c>
      <c r="Y49" s="793" t="n">
        <f aca="false">(('5.1 DAF Vehicle Parc Input'!L62*'OM Parts CPV (short)'!M7)*((1-'5.1 DAF Vehicle Parc Input'!$H$56)/(1-'Calculation (short)'!$O$1)))*(1+$E$1)*(1+$I$1)</f>
        <v>0</v>
      </c>
      <c r="Z49" s="793" t="n">
        <f aca="false">(('5.1 DAF Vehicle Parc Input'!M62*'OM Parts CPV (short)'!N7)*((1-'5.1 DAF Vehicle Parc Input'!$H$56)/(1-'Calculation (short)'!$O$1)))*(1+$E$1)*(1+$I$1)</f>
        <v>0</v>
      </c>
      <c r="AA49" s="793" t="n">
        <f aca="false">(('5.1 DAF Vehicle Parc Input'!N62*'OM Parts CPV (short)'!O7)*((1-'5.1 DAF Vehicle Parc Input'!$H$56)/(1-'Calculation (short)'!$O$1)))*(1+$E$1)*(1+$I$1)</f>
        <v>0</v>
      </c>
      <c r="AB49" s="793" t="n">
        <f aca="false">(('5.1 DAF Vehicle Parc Input'!O62*'OM Parts CPV (short)'!P7)*((1-'5.1 DAF Vehicle Parc Input'!$H$56)/(1-'Calculation (short)'!$O$1)))*(1+$E$1)*(1+$I$1)</f>
        <v>0</v>
      </c>
      <c r="AC49" s="793" t="n">
        <f aca="false">(('5.1 DAF Vehicle Parc Input'!P62*'OM Parts CPV (short)'!Q7)*((1-'5.1 DAF Vehicle Parc Input'!$H$56)/(1-'Calculation (short)'!$O$1)))*(1+$E$1)*(1+$I$1)</f>
        <v>0</v>
      </c>
      <c r="AD49" s="793" t="n">
        <f aca="false">(('5.1 DAF Vehicle Parc Input'!Q62*'OM Parts CPV (short)'!R7)*((1-'5.1 DAF Vehicle Parc Input'!$H$56)/(1-'Calculation (short)'!$O$1)))*(1+$E$1)*(1+$I$1)</f>
        <v>0</v>
      </c>
      <c r="AE49" s="793" t="n">
        <f aca="false">(('5.1 DAF Vehicle Parc Input'!R62*'OM Parts CPV (short)'!S7)*((1-'5.1 DAF Vehicle Parc Input'!$H$56)/(1-'Calculation (short)'!$O$1)))*(1+$E$1)*(1+$I$1)</f>
        <v>0</v>
      </c>
      <c r="AF49" s="793" t="n">
        <f aca="false">(('5.1 DAF Vehicle Parc Input'!S62*'OM Parts CPV (short)'!T7)*((1-'5.1 DAF Vehicle Parc Input'!$H$56)/(1-'Calculation (short)'!$O$1)))*(1+$E$1)*(1+$I$1)</f>
        <v>0</v>
      </c>
      <c r="AG49" s="793" t="n">
        <f aca="false">(('5.1 DAF Vehicle Parc Input'!T62*'OM Parts CPV (short)'!U7)*((1-'5.1 DAF Vehicle Parc Input'!$H$56)/(1-'Calculation (short)'!$O$1)))*(1+$E$1)*(1+$I$1)</f>
        <v>0</v>
      </c>
      <c r="AH49" s="795" t="n">
        <f aca="false">AG49</f>
        <v>0</v>
      </c>
      <c r="AV49" s="774" t="n">
        <v>55</v>
      </c>
      <c r="AW49" s="793" t="n">
        <f aca="false">D49*R8*AK8</f>
        <v>0</v>
      </c>
      <c r="AX49" s="793" t="n">
        <f aca="false">E49*S8*AL8</f>
        <v>0</v>
      </c>
      <c r="AY49" s="793" t="n">
        <f aca="false">F49*T8*AM8</f>
        <v>0</v>
      </c>
      <c r="AZ49" s="793" t="n">
        <f aca="false">G49*U8*AN8</f>
        <v>0</v>
      </c>
      <c r="BA49" s="793" t="n">
        <f aca="false">H49*V8*AO8</f>
        <v>0</v>
      </c>
      <c r="BB49" s="793" t="n">
        <f aca="false">I49*W8*AP8</f>
        <v>0</v>
      </c>
      <c r="BC49" s="793" t="n">
        <f aca="false">J49*X8*AQ8</f>
        <v>0</v>
      </c>
      <c r="BD49" s="793" t="n">
        <f aca="false">K49*Y8*AR8</f>
        <v>0</v>
      </c>
      <c r="BE49" s="793" t="n">
        <f aca="false">L49*Z8*AS8</f>
        <v>0</v>
      </c>
      <c r="BF49" s="793" t="n">
        <f aca="false">M49*AA8*AT8</f>
        <v>0</v>
      </c>
      <c r="BG49" s="799" t="n">
        <f aca="false">SUM(AW49:BF49)</f>
        <v>0</v>
      </c>
      <c r="BH49" s="800" t="n">
        <f aca="false">BG49</f>
        <v>0</v>
      </c>
      <c r="BJ49" s="779" t="n">
        <v>55</v>
      </c>
      <c r="BK49" s="801" t="n">
        <f aca="false">R18*D49*AK8</f>
        <v>0</v>
      </c>
      <c r="BL49" s="801" t="n">
        <f aca="false">S18*E49*AL8</f>
        <v>0</v>
      </c>
      <c r="BM49" s="801" t="n">
        <f aca="false">T18*F49*AM8</f>
        <v>0</v>
      </c>
      <c r="BN49" s="801" t="n">
        <f aca="false">U18*G49*AN8</f>
        <v>0</v>
      </c>
      <c r="BO49" s="801" t="n">
        <f aca="false">V18*H49*AO8</f>
        <v>0</v>
      </c>
      <c r="BP49" s="801" t="n">
        <f aca="false">W18*I49*AP8</f>
        <v>0</v>
      </c>
      <c r="BQ49" s="801" t="n">
        <f aca="false">X18*J49*AQ8</f>
        <v>0</v>
      </c>
      <c r="BR49" s="801" t="n">
        <f aca="false">Y18*K49*AR8</f>
        <v>0</v>
      </c>
      <c r="BS49" s="801" t="n">
        <f aca="false">Z18*L49*AS8</f>
        <v>0</v>
      </c>
      <c r="BT49" s="801" t="n">
        <f aca="false">AA18*M49*AT8</f>
        <v>0</v>
      </c>
      <c r="BU49" s="802" t="n">
        <f aca="false">SUM(BK49:BT49)</f>
        <v>0</v>
      </c>
      <c r="BV49" s="803" t="n">
        <f aca="false">BU49</f>
        <v>0</v>
      </c>
      <c r="BX49" s="779" t="n">
        <v>55</v>
      </c>
      <c r="BY49" s="804" t="n">
        <f aca="false">D49*R39*AK8</f>
        <v>0</v>
      </c>
      <c r="BZ49" s="804" t="n">
        <f aca="false">E49*S39*AL8</f>
        <v>0</v>
      </c>
      <c r="CA49" s="804" t="n">
        <f aca="false">F49*T39*AM8</f>
        <v>0</v>
      </c>
      <c r="CB49" s="804" t="n">
        <f aca="false">G49*U39*AN8</f>
        <v>0</v>
      </c>
      <c r="CC49" s="804" t="n">
        <f aca="false">H49*V39*AO8</f>
        <v>0</v>
      </c>
      <c r="CD49" s="804" t="n">
        <f aca="false">I49*W39*AP8</f>
        <v>0</v>
      </c>
      <c r="CE49" s="804" t="n">
        <f aca="false">J49*X39*AQ8</f>
        <v>0</v>
      </c>
      <c r="CF49" s="804" t="n">
        <f aca="false">K49*Y39*AR8</f>
        <v>0</v>
      </c>
      <c r="CG49" s="804" t="n">
        <f aca="false">L49*Z39*AS8</f>
        <v>0</v>
      </c>
      <c r="CH49" s="804" t="n">
        <f aca="false">M49*AA39*AT8</f>
        <v>0</v>
      </c>
      <c r="CI49" s="805" t="n">
        <f aca="false">SUM(BY49:CH49)</f>
        <v>0</v>
      </c>
      <c r="CJ49" s="806" t="n">
        <f aca="false">CI49</f>
        <v>0</v>
      </c>
    </row>
    <row r="50" customFormat="false" ht="13.5" hidden="false" customHeight="false" outlineLevel="0" collapsed="false">
      <c r="B50" s="770"/>
      <c r="C50" s="786" t="n">
        <v>65</v>
      </c>
      <c r="D50" s="790" t="n">
        <f aca="false">'7.1 Dealer area'!K43</f>
        <v>0</v>
      </c>
      <c r="E50" s="825" t="n">
        <f aca="false">D40</f>
        <v>0</v>
      </c>
      <c r="F50" s="825" t="n">
        <f aca="false">E40</f>
        <v>0</v>
      </c>
      <c r="G50" s="825" t="n">
        <f aca="false">F40</f>
        <v>0</v>
      </c>
      <c r="H50" s="825" t="n">
        <f aca="false">G40</f>
        <v>0</v>
      </c>
      <c r="I50" s="825" t="n">
        <f aca="false">H40</f>
        <v>0</v>
      </c>
      <c r="J50" s="825" t="n">
        <f aca="false">I40</f>
        <v>0</v>
      </c>
      <c r="K50" s="825" t="n">
        <f aca="false">J40</f>
        <v>0</v>
      </c>
      <c r="L50" s="825" t="n">
        <f aca="false">K40</f>
        <v>0</v>
      </c>
      <c r="M50" s="825" t="n">
        <f aca="false">L40</f>
        <v>0</v>
      </c>
      <c r="N50" s="826" t="n">
        <f aca="false">SUM(D50:M50)</f>
        <v>0</v>
      </c>
      <c r="Q50" s="774" t="s">
        <v>292</v>
      </c>
      <c r="R50" s="793" t="n">
        <f aca="false">(('5.1 DAF Vehicle Parc Input'!E63*'OM Parts CPV (short)'!F8)*((1-'5.1 DAF Vehicle Parc Input'!$H$56)/(1-'Calculation (short)'!$O$1)))*(1+$E$1)*(1+$I$1)</f>
        <v>0</v>
      </c>
      <c r="S50" s="793" t="n">
        <f aca="false">(('5.1 DAF Vehicle Parc Input'!F63*'OM Parts CPV (short)'!G8)*((1-'5.1 DAF Vehicle Parc Input'!$H$56)/(1-'Calculation (short)'!$O$1)))*(1+$E$1)*(1+$I$1)</f>
        <v>0</v>
      </c>
      <c r="T50" s="793" t="n">
        <f aca="false">(('5.1 DAF Vehicle Parc Input'!G63*'OM Parts CPV (short)'!H8)*((1-'5.1 DAF Vehicle Parc Input'!$H$56)/(1-'Calculation (short)'!$O$1)))*(1+$E$1)*(1+$I$1)</f>
        <v>0</v>
      </c>
      <c r="U50" s="793" t="n">
        <f aca="false">(('5.1 DAF Vehicle Parc Input'!H63*'OM Parts CPV (short)'!I8)*((1-'5.1 DAF Vehicle Parc Input'!$H$56)/(1-'Calculation (short)'!$O$1)))*(1+$E$1)*(1+$I$1)</f>
        <v>0</v>
      </c>
      <c r="V50" s="793" t="n">
        <f aca="false">(('5.1 DAF Vehicle Parc Input'!I63*'OM Parts CPV (short)'!J8)*((1-'5.1 DAF Vehicle Parc Input'!$H$56)/(1-'Calculation (short)'!$O$1)))*(1+$E$1)*(1+$I$1)</f>
        <v>0</v>
      </c>
      <c r="W50" s="793" t="n">
        <f aca="false">(('5.1 DAF Vehicle Parc Input'!J63*'OM Parts CPV (short)'!K8)*((1-'5.1 DAF Vehicle Parc Input'!$H$56)/(1-'Calculation (short)'!$O$1)))*(1+$E$1)*(1+$I$1)</f>
        <v>0</v>
      </c>
      <c r="X50" s="793" t="n">
        <f aca="false">(('5.1 DAF Vehicle Parc Input'!K63*'OM Parts CPV (short)'!L8)*((1-'5.1 DAF Vehicle Parc Input'!$H$56)/(1-'Calculation (short)'!$O$1)))*(1+$E$1)*(1+$I$1)</f>
        <v>0</v>
      </c>
      <c r="Y50" s="793" t="n">
        <f aca="false">(('5.1 DAF Vehicle Parc Input'!L63*'OM Parts CPV (short)'!M8)*((1-'5.1 DAF Vehicle Parc Input'!$H$56)/(1-'Calculation (short)'!$O$1)))*(1+$E$1)*(1+$I$1)</f>
        <v>0</v>
      </c>
      <c r="Z50" s="793" t="n">
        <f aca="false">(('5.1 DAF Vehicle Parc Input'!M63*'OM Parts CPV (short)'!N8)*((1-'5.1 DAF Vehicle Parc Input'!$H$56)/(1-'Calculation (short)'!$O$1)))*(1+$E$1)*(1+$I$1)</f>
        <v>0</v>
      </c>
      <c r="AA50" s="793" t="n">
        <f aca="false">(('5.1 DAF Vehicle Parc Input'!N63*'OM Parts CPV (short)'!O8)*((1-'5.1 DAF Vehicle Parc Input'!$H$56)/(1-'Calculation (short)'!$O$1)))*(1+$E$1)*(1+$I$1)</f>
        <v>0</v>
      </c>
      <c r="AB50" s="793" t="n">
        <f aca="false">(('5.1 DAF Vehicle Parc Input'!O63*'OM Parts CPV (short)'!P8)*((1-'5.1 DAF Vehicle Parc Input'!$H$56)/(1-'Calculation (short)'!$O$1)))*(1+$E$1)*(1+$I$1)</f>
        <v>0</v>
      </c>
      <c r="AC50" s="793" t="n">
        <f aca="false">(('5.1 DAF Vehicle Parc Input'!P63*'OM Parts CPV (short)'!Q8)*((1-'5.1 DAF Vehicle Parc Input'!$H$56)/(1-'Calculation (short)'!$O$1)))*(1+$E$1)*(1+$I$1)</f>
        <v>0</v>
      </c>
      <c r="AD50" s="793" t="n">
        <f aca="false">(('5.1 DAF Vehicle Parc Input'!Q63*'OM Parts CPV (short)'!R8)*((1-'5.1 DAF Vehicle Parc Input'!$H$56)/(1-'Calculation (short)'!$O$1)))*(1+$E$1)*(1+$I$1)</f>
        <v>0</v>
      </c>
      <c r="AE50" s="793" t="n">
        <f aca="false">(('5.1 DAF Vehicle Parc Input'!R63*'OM Parts CPV (short)'!S8)*((1-'5.1 DAF Vehicle Parc Input'!$H$56)/(1-'Calculation (short)'!$O$1)))*(1+$E$1)*(1+$I$1)</f>
        <v>0</v>
      </c>
      <c r="AF50" s="793" t="n">
        <f aca="false">(('5.1 DAF Vehicle Parc Input'!S63*'OM Parts CPV (short)'!T8)*((1-'5.1 DAF Vehicle Parc Input'!$H$56)/(1-'Calculation (short)'!$O$1)))*(1+$E$1)*(1+$I$1)</f>
        <v>0</v>
      </c>
      <c r="AG50" s="793" t="n">
        <f aca="false">(('5.1 DAF Vehicle Parc Input'!T63*'OM Parts CPV (short)'!U8)*((1-'5.1 DAF Vehicle Parc Input'!$H$56)/(1-'Calculation (short)'!$O$1)))*(1+$E$1)*(1+$I$1)</f>
        <v>0</v>
      </c>
      <c r="AH50" s="795" t="n">
        <f aca="false">AG50</f>
        <v>0</v>
      </c>
      <c r="AV50" s="774" t="n">
        <v>65</v>
      </c>
      <c r="AW50" s="793" t="n">
        <f aca="false">D50*R9*AK9</f>
        <v>0</v>
      </c>
      <c r="AX50" s="793" t="n">
        <f aca="false">E50*S9*AL9</f>
        <v>0</v>
      </c>
      <c r="AY50" s="793" t="n">
        <f aca="false">F50*T9*AM9</f>
        <v>0</v>
      </c>
      <c r="AZ50" s="793" t="n">
        <f aca="false">G50*U9*AN9</f>
        <v>0</v>
      </c>
      <c r="BA50" s="793" t="n">
        <f aca="false">H50*V9*AO9</f>
        <v>0</v>
      </c>
      <c r="BB50" s="793" t="n">
        <f aca="false">I50*W9*AP9</f>
        <v>0</v>
      </c>
      <c r="BC50" s="793" t="n">
        <f aca="false">J50*X9*AQ9</f>
        <v>0</v>
      </c>
      <c r="BD50" s="793" t="n">
        <f aca="false">K50*Y9*AR9</f>
        <v>0</v>
      </c>
      <c r="BE50" s="793" t="n">
        <f aca="false">L50*Z9*AS9</f>
        <v>0</v>
      </c>
      <c r="BF50" s="793" t="n">
        <f aca="false">M50*AA9*AT9</f>
        <v>0</v>
      </c>
      <c r="BG50" s="799" t="n">
        <f aca="false">SUM(AW50:BF50)</f>
        <v>0</v>
      </c>
      <c r="BH50" s="800" t="n">
        <f aca="false">BG50</f>
        <v>0</v>
      </c>
      <c r="BJ50" s="779" t="n">
        <v>65</v>
      </c>
      <c r="BK50" s="801" t="n">
        <f aca="false">R19*D50*AK9</f>
        <v>0</v>
      </c>
      <c r="BL50" s="801" t="n">
        <f aca="false">S19*E50*AL9</f>
        <v>0</v>
      </c>
      <c r="BM50" s="801" t="n">
        <f aca="false">T19*F50*AM9</f>
        <v>0</v>
      </c>
      <c r="BN50" s="801" t="n">
        <f aca="false">U19*G50*AN9</f>
        <v>0</v>
      </c>
      <c r="BO50" s="801" t="n">
        <f aca="false">V19*H50*AO9</f>
        <v>0</v>
      </c>
      <c r="BP50" s="801" t="n">
        <f aca="false">W19*I50*AP9</f>
        <v>0</v>
      </c>
      <c r="BQ50" s="801" t="n">
        <f aca="false">X19*J50*AQ9</f>
        <v>0</v>
      </c>
      <c r="BR50" s="801" t="n">
        <f aca="false">Y19*K50*AR9</f>
        <v>0</v>
      </c>
      <c r="BS50" s="801" t="n">
        <f aca="false">Z19*L50*AS9</f>
        <v>0</v>
      </c>
      <c r="BT50" s="801" t="n">
        <f aca="false">AA19*M50*AT9</f>
        <v>0</v>
      </c>
      <c r="BU50" s="802" t="n">
        <f aca="false">SUM(BK50:BT50)</f>
        <v>0</v>
      </c>
      <c r="BV50" s="803" t="n">
        <f aca="false">BU50</f>
        <v>0</v>
      </c>
      <c r="BX50" s="779" t="n">
        <v>65</v>
      </c>
      <c r="BY50" s="804" t="n">
        <f aca="false">D50*R40*AK9</f>
        <v>0</v>
      </c>
      <c r="BZ50" s="804" t="n">
        <f aca="false">E50*S40*AL9</f>
        <v>0</v>
      </c>
      <c r="CA50" s="804" t="n">
        <f aca="false">F50*T40*AM9</f>
        <v>0</v>
      </c>
      <c r="CB50" s="804" t="n">
        <f aca="false">G50*U40*AN9</f>
        <v>0</v>
      </c>
      <c r="CC50" s="804" t="n">
        <f aca="false">H50*V40*AO9</f>
        <v>0</v>
      </c>
      <c r="CD50" s="804" t="n">
        <f aca="false">I50*W40*AP9</f>
        <v>0</v>
      </c>
      <c r="CE50" s="804" t="n">
        <f aca="false">J50*X40*AQ9</f>
        <v>0</v>
      </c>
      <c r="CF50" s="804" t="n">
        <f aca="false">K50*Y40*AR9</f>
        <v>0</v>
      </c>
      <c r="CG50" s="804" t="n">
        <f aca="false">L50*Z40*AS9</f>
        <v>0</v>
      </c>
      <c r="CH50" s="804" t="n">
        <f aca="false">M50*AA40*AT9</f>
        <v>0</v>
      </c>
      <c r="CI50" s="805" t="n">
        <f aca="false">SUM(BY50:CH50)</f>
        <v>0</v>
      </c>
      <c r="CJ50" s="806" t="n">
        <f aca="false">CI50</f>
        <v>0</v>
      </c>
    </row>
    <row r="51" customFormat="false" ht="13.5" hidden="false" customHeight="false" outlineLevel="0" collapsed="false">
      <c r="B51" s="770"/>
      <c r="C51" s="786" t="n">
        <v>75</v>
      </c>
      <c r="D51" s="790" t="n">
        <f aca="false">'7.1 Dealer area'!K44</f>
        <v>0</v>
      </c>
      <c r="E51" s="825" t="n">
        <f aca="false">D41</f>
        <v>0</v>
      </c>
      <c r="F51" s="825" t="n">
        <f aca="false">E41</f>
        <v>0</v>
      </c>
      <c r="G51" s="825" t="n">
        <f aca="false">F41</f>
        <v>0</v>
      </c>
      <c r="H51" s="825" t="n">
        <f aca="false">G41</f>
        <v>0</v>
      </c>
      <c r="I51" s="825" t="n">
        <f aca="false">H41</f>
        <v>0</v>
      </c>
      <c r="J51" s="825" t="n">
        <f aca="false">I41</f>
        <v>0</v>
      </c>
      <c r="K51" s="825" t="n">
        <f aca="false">J41</f>
        <v>0</v>
      </c>
      <c r="L51" s="825" t="n">
        <f aca="false">K41</f>
        <v>0</v>
      </c>
      <c r="M51" s="825" t="n">
        <f aca="false">L41</f>
        <v>0</v>
      </c>
      <c r="N51" s="826" t="n">
        <f aca="false">SUM(D51:M51)</f>
        <v>0</v>
      </c>
      <c r="Q51" s="774"/>
      <c r="R51" s="794"/>
      <c r="S51" s="794"/>
      <c r="T51" s="794"/>
      <c r="U51" s="794"/>
      <c r="V51" s="794"/>
      <c r="W51" s="794"/>
      <c r="X51" s="794"/>
      <c r="Y51" s="794"/>
      <c r="Z51" s="794"/>
      <c r="AA51" s="794"/>
      <c r="AB51" s="794"/>
      <c r="AC51" s="794"/>
      <c r="AD51" s="794"/>
      <c r="AE51" s="794"/>
      <c r="AF51" s="794"/>
      <c r="AG51" s="794"/>
      <c r="AH51" s="776" t="n">
        <f aca="false">SUM(AH49:AH50)</f>
        <v>0</v>
      </c>
      <c r="AV51" s="774" t="n">
        <v>75</v>
      </c>
      <c r="AW51" s="793" t="n">
        <f aca="false">D51*R10*AK10</f>
        <v>0</v>
      </c>
      <c r="AX51" s="793" t="n">
        <f aca="false">E51*S10*AL10</f>
        <v>0</v>
      </c>
      <c r="AY51" s="793" t="n">
        <f aca="false">F51*T10*AM10</f>
        <v>0</v>
      </c>
      <c r="AZ51" s="793" t="n">
        <f aca="false">G51*U10*AN10</f>
        <v>0</v>
      </c>
      <c r="BA51" s="793" t="n">
        <f aca="false">H51*V10*AO10</f>
        <v>0</v>
      </c>
      <c r="BB51" s="793" t="n">
        <f aca="false">I51*W10*AP10</f>
        <v>0</v>
      </c>
      <c r="BC51" s="793" t="n">
        <f aca="false">J51*X10*AQ10</f>
        <v>0</v>
      </c>
      <c r="BD51" s="793" t="n">
        <f aca="false">K51*Y10*AR10</f>
        <v>0</v>
      </c>
      <c r="BE51" s="793" t="n">
        <f aca="false">L51*Z10*AS10</f>
        <v>0</v>
      </c>
      <c r="BF51" s="793" t="n">
        <f aca="false">M51*AA10*AT10</f>
        <v>0</v>
      </c>
      <c r="BG51" s="799" t="n">
        <f aca="false">SUM(AW51:BF51)</f>
        <v>0</v>
      </c>
      <c r="BH51" s="800" t="n">
        <f aca="false">BG51</f>
        <v>0</v>
      </c>
      <c r="BJ51" s="779" t="n">
        <v>75</v>
      </c>
      <c r="BK51" s="801" t="n">
        <f aca="false">R20*D51*AK10</f>
        <v>0</v>
      </c>
      <c r="BL51" s="801" t="n">
        <f aca="false">S20*E51*AL10</f>
        <v>0</v>
      </c>
      <c r="BM51" s="801" t="n">
        <f aca="false">T20*F51*AM10</f>
        <v>0</v>
      </c>
      <c r="BN51" s="801" t="n">
        <f aca="false">U20*G51*AN10</f>
        <v>0</v>
      </c>
      <c r="BO51" s="801" t="n">
        <f aca="false">V20*H51*AO10</f>
        <v>0</v>
      </c>
      <c r="BP51" s="801" t="n">
        <f aca="false">W20*I51*AP10</f>
        <v>0</v>
      </c>
      <c r="BQ51" s="801" t="n">
        <f aca="false">X20*J51*AQ10</f>
        <v>0</v>
      </c>
      <c r="BR51" s="801" t="n">
        <f aca="false">Y20*K51*AR10</f>
        <v>0</v>
      </c>
      <c r="BS51" s="801" t="n">
        <f aca="false">Z20*L51*AS10</f>
        <v>0</v>
      </c>
      <c r="BT51" s="801" t="n">
        <f aca="false">AA20*M51*AT10</f>
        <v>0</v>
      </c>
      <c r="BU51" s="802" t="n">
        <f aca="false">SUM(BK51:BT51)</f>
        <v>0</v>
      </c>
      <c r="BV51" s="803" t="n">
        <f aca="false">BU51</f>
        <v>0</v>
      </c>
      <c r="BX51" s="779" t="n">
        <v>75</v>
      </c>
      <c r="BY51" s="804" t="n">
        <f aca="false">D51*R41*AK10</f>
        <v>0</v>
      </c>
      <c r="BZ51" s="804" t="n">
        <f aca="false">E51*S41*AL10</f>
        <v>0</v>
      </c>
      <c r="CA51" s="804" t="n">
        <f aca="false">F51*T41*AM10</f>
        <v>0</v>
      </c>
      <c r="CB51" s="804" t="n">
        <f aca="false">G51*U41*AN10</f>
        <v>0</v>
      </c>
      <c r="CC51" s="804" t="n">
        <f aca="false">H51*V41*AO10</f>
        <v>0</v>
      </c>
      <c r="CD51" s="804" t="n">
        <f aca="false">I51*W41*AP10</f>
        <v>0</v>
      </c>
      <c r="CE51" s="804" t="n">
        <f aca="false">J51*X41*AQ10</f>
        <v>0</v>
      </c>
      <c r="CF51" s="804" t="n">
        <f aca="false">K51*Y41*AR10</f>
        <v>0</v>
      </c>
      <c r="CG51" s="804" t="n">
        <f aca="false">L51*Z41*AS10</f>
        <v>0</v>
      </c>
      <c r="CH51" s="804" t="n">
        <f aca="false">M51*AA41*AT10</f>
        <v>0</v>
      </c>
      <c r="CI51" s="805" t="n">
        <f aca="false">SUM(BY51:CH51)</f>
        <v>0</v>
      </c>
      <c r="CJ51" s="806" t="n">
        <f aca="false">CI51</f>
        <v>0</v>
      </c>
    </row>
    <row r="52" customFormat="false" ht="13.5" hidden="false" customHeight="false" outlineLevel="0" collapsed="false">
      <c r="B52" s="770"/>
      <c r="C52" s="786" t="n">
        <v>85</v>
      </c>
      <c r="D52" s="790" t="n">
        <f aca="false">'7.1 Dealer area'!K45</f>
        <v>0</v>
      </c>
      <c r="E52" s="825" t="n">
        <f aca="false">D42</f>
        <v>0</v>
      </c>
      <c r="F52" s="825" t="n">
        <f aca="false">E42</f>
        <v>0</v>
      </c>
      <c r="G52" s="825" t="n">
        <f aca="false">F42</f>
        <v>0</v>
      </c>
      <c r="H52" s="825" t="n">
        <f aca="false">G42</f>
        <v>10</v>
      </c>
      <c r="I52" s="825" t="n">
        <f aca="false">H42</f>
        <v>0</v>
      </c>
      <c r="J52" s="825" t="n">
        <f aca="false">I42</f>
        <v>0</v>
      </c>
      <c r="K52" s="825" t="n">
        <f aca="false">J42</f>
        <v>0</v>
      </c>
      <c r="L52" s="825" t="n">
        <f aca="false">K42</f>
        <v>0</v>
      </c>
      <c r="M52" s="825" t="n">
        <f aca="false">L42</f>
        <v>0</v>
      </c>
      <c r="N52" s="826" t="n">
        <f aca="false">SUM(D52:M52)</f>
        <v>10</v>
      </c>
      <c r="Q52" s="774"/>
      <c r="R52" s="832"/>
      <c r="S52" s="832"/>
      <c r="T52" s="832"/>
      <c r="U52" s="832"/>
      <c r="V52" s="832"/>
      <c r="W52" s="832"/>
      <c r="X52" s="832"/>
      <c r="Y52" s="832"/>
      <c r="Z52" s="832"/>
      <c r="AA52" s="832"/>
      <c r="AB52" s="832"/>
      <c r="AC52" s="832"/>
      <c r="AD52" s="832"/>
      <c r="AE52" s="832"/>
      <c r="AF52" s="832"/>
      <c r="AH52" s="776"/>
      <c r="AV52" s="774" t="n">
        <v>85</v>
      </c>
      <c r="AW52" s="793" t="n">
        <f aca="false">D52*R11*AK11</f>
        <v>0</v>
      </c>
      <c r="AX52" s="793" t="n">
        <f aca="false">E52*S11*AL11</f>
        <v>0</v>
      </c>
      <c r="AY52" s="793" t="n">
        <f aca="false">F52*T11*AM11</f>
        <v>0</v>
      </c>
      <c r="AZ52" s="793" t="n">
        <f aca="false">G52*U11*AN11</f>
        <v>0</v>
      </c>
      <c r="BA52" s="793" t="n">
        <f aca="false">H52*V11*AO11</f>
        <v>34920.9654370044</v>
      </c>
      <c r="BB52" s="793" t="n">
        <f aca="false">I52*W11*AP11</f>
        <v>0</v>
      </c>
      <c r="BC52" s="793" t="n">
        <f aca="false">J52*X11*AQ11</f>
        <v>0</v>
      </c>
      <c r="BD52" s="793" t="n">
        <f aca="false">K52*Y11*AR11</f>
        <v>0</v>
      </c>
      <c r="BE52" s="793" t="n">
        <f aca="false">L52*Z11*AS11</f>
        <v>0</v>
      </c>
      <c r="BF52" s="793" t="n">
        <f aca="false">M52*AA11*AT11</f>
        <v>0</v>
      </c>
      <c r="BG52" s="799" t="n">
        <f aca="false">SUM(AW52:BF52)</f>
        <v>34920.9654370044</v>
      </c>
      <c r="BH52" s="800" t="n">
        <f aca="false">BG52</f>
        <v>34920.9654370044</v>
      </c>
      <c r="BJ52" s="779" t="n">
        <v>85</v>
      </c>
      <c r="BK52" s="801" t="n">
        <f aca="false">R21*D52*AK11</f>
        <v>0</v>
      </c>
      <c r="BL52" s="801" t="n">
        <f aca="false">S21*E52*AL11</f>
        <v>0</v>
      </c>
      <c r="BM52" s="801" t="n">
        <f aca="false">T21*F52*AM11</f>
        <v>0</v>
      </c>
      <c r="BN52" s="801" t="n">
        <f aca="false">U21*G52*AN11</f>
        <v>0</v>
      </c>
      <c r="BO52" s="801" t="n">
        <f aca="false">V21*H52*AO11</f>
        <v>416.725144526818</v>
      </c>
      <c r="BP52" s="801" t="n">
        <f aca="false">W21*I52*AP11</f>
        <v>0</v>
      </c>
      <c r="BQ52" s="801" t="n">
        <f aca="false">X21*J52*AQ11</f>
        <v>0</v>
      </c>
      <c r="BR52" s="801" t="n">
        <f aca="false">Y21*K52*AR11</f>
        <v>0</v>
      </c>
      <c r="BS52" s="801" t="n">
        <f aca="false">Z21*L52*AS11</f>
        <v>0</v>
      </c>
      <c r="BT52" s="801" t="n">
        <f aca="false">AA21*M52*AT11</f>
        <v>0</v>
      </c>
      <c r="BU52" s="802" t="n">
        <f aca="false">SUM(BK52:BT52)</f>
        <v>416.725144526818</v>
      </c>
      <c r="BV52" s="803" t="n">
        <f aca="false">BU52</f>
        <v>416.725144526818</v>
      </c>
      <c r="BX52" s="779" t="n">
        <v>85</v>
      </c>
      <c r="BY52" s="804" t="n">
        <f aca="false">D52*R42*AK11</f>
        <v>0</v>
      </c>
      <c r="BZ52" s="804" t="n">
        <f aca="false">E52*S42*AL11</f>
        <v>0</v>
      </c>
      <c r="CA52" s="804" t="n">
        <f aca="false">F52*T42*AM11</f>
        <v>0</v>
      </c>
      <c r="CB52" s="804" t="n">
        <f aca="false">G52*U42*AN11</f>
        <v>0</v>
      </c>
      <c r="CC52" s="804" t="n">
        <f aca="false">H52*V42*AO11</f>
        <v>3356.1</v>
      </c>
      <c r="CD52" s="804" t="n">
        <f aca="false">I52*W42*AP11</f>
        <v>0</v>
      </c>
      <c r="CE52" s="804" t="n">
        <f aca="false">J52*X42*AQ11</f>
        <v>0</v>
      </c>
      <c r="CF52" s="804" t="n">
        <f aca="false">K52*Y42*AR11</f>
        <v>0</v>
      </c>
      <c r="CG52" s="804" t="n">
        <f aca="false">L52*Z42*AS11</f>
        <v>0</v>
      </c>
      <c r="CH52" s="804" t="n">
        <f aca="false">M52*AA42*AT11</f>
        <v>0</v>
      </c>
      <c r="CI52" s="805" t="n">
        <f aca="false">SUM(BY52:CH52)</f>
        <v>3356.1</v>
      </c>
      <c r="CJ52" s="806" t="n">
        <f aca="false">CI52</f>
        <v>3356.1</v>
      </c>
    </row>
    <row r="53" s="762" customFormat="true" ht="13.5" hidden="false" customHeight="false" outlineLevel="0" collapsed="false">
      <c r="C53" s="786" t="n">
        <v>95</v>
      </c>
      <c r="D53" s="790" t="n">
        <v>0</v>
      </c>
      <c r="E53" s="825" t="n">
        <f aca="false">D43</f>
        <v>0</v>
      </c>
      <c r="F53" s="825" t="n">
        <f aca="false">E43</f>
        <v>0</v>
      </c>
      <c r="G53" s="825" t="n">
        <f aca="false">F43</f>
        <v>0</v>
      </c>
      <c r="H53" s="825" t="n">
        <f aca="false">G43</f>
        <v>0</v>
      </c>
      <c r="I53" s="825" t="n">
        <f aca="false">H43</f>
        <v>0</v>
      </c>
      <c r="J53" s="825" t="n">
        <f aca="false">I43</f>
        <v>0</v>
      </c>
      <c r="K53" s="825" t="n">
        <f aca="false">J43</f>
        <v>0</v>
      </c>
      <c r="L53" s="825" t="n">
        <f aca="false">K43</f>
        <v>0</v>
      </c>
      <c r="M53" s="825" t="n">
        <f aca="false">L43</f>
        <v>0</v>
      </c>
      <c r="N53" s="826" t="n">
        <f aca="false">SUM(D53:M53)</f>
        <v>0</v>
      </c>
      <c r="Q53" s="774"/>
      <c r="R53" s="832"/>
      <c r="S53" s="832"/>
      <c r="T53" s="832"/>
      <c r="U53" s="832"/>
      <c r="V53" s="832"/>
      <c r="W53" s="832"/>
      <c r="X53" s="832"/>
      <c r="Y53" s="832"/>
      <c r="Z53" s="832"/>
      <c r="AA53" s="832"/>
      <c r="AB53" s="832"/>
      <c r="AC53" s="832"/>
      <c r="AD53" s="832"/>
      <c r="AE53" s="832"/>
      <c r="AF53" s="832"/>
      <c r="AH53" s="776"/>
      <c r="AV53" s="774" t="n">
        <v>95</v>
      </c>
      <c r="AW53" s="793" t="n">
        <f aca="false">D53*R12*AK12</f>
        <v>0</v>
      </c>
      <c r="AX53" s="793" t="n">
        <f aca="false">E53*S12*AL12</f>
        <v>0</v>
      </c>
      <c r="AY53" s="793" t="n">
        <f aca="false">F53*T12*AM12</f>
        <v>0</v>
      </c>
      <c r="AZ53" s="793" t="n">
        <f aca="false">G53*U12*AN12</f>
        <v>0</v>
      </c>
      <c r="BA53" s="793" t="n">
        <f aca="false">H53*V12*AO12</f>
        <v>0</v>
      </c>
      <c r="BB53" s="793" t="n">
        <f aca="false">I53*W12*AP12</f>
        <v>0</v>
      </c>
      <c r="BC53" s="793" t="n">
        <f aca="false">J53*X12*AQ12</f>
        <v>0</v>
      </c>
      <c r="BD53" s="793" t="n">
        <f aca="false">K53*Y12*AR12</f>
        <v>0</v>
      </c>
      <c r="BE53" s="793" t="n">
        <f aca="false">L53*Z12*AS12</f>
        <v>0</v>
      </c>
      <c r="BF53" s="793" t="n">
        <f aca="false">M53*AA12*AT12</f>
        <v>0</v>
      </c>
      <c r="BG53" s="799" t="n">
        <f aca="false">SUM(AW53:BF53)</f>
        <v>0</v>
      </c>
      <c r="BH53" s="800" t="n">
        <f aca="false">BG53</f>
        <v>0</v>
      </c>
      <c r="BJ53" s="779" t="n">
        <v>95</v>
      </c>
      <c r="BK53" s="801" t="n">
        <f aca="false">R22*D53*AK12</f>
        <v>0</v>
      </c>
      <c r="BL53" s="801" t="n">
        <f aca="false">S22*E53*AL12</f>
        <v>0</v>
      </c>
      <c r="BM53" s="801" t="n">
        <f aca="false">T22*F53*AM12</f>
        <v>0</v>
      </c>
      <c r="BN53" s="801" t="n">
        <f aca="false">U22*G53*AN12</f>
        <v>0</v>
      </c>
      <c r="BO53" s="801" t="n">
        <f aca="false">V22*H53*AO12</f>
        <v>0</v>
      </c>
      <c r="BP53" s="801" t="n">
        <f aca="false">W22*I53*AP12</f>
        <v>0</v>
      </c>
      <c r="BQ53" s="801" t="n">
        <f aca="false">X22*J53*AQ12</f>
        <v>0</v>
      </c>
      <c r="BR53" s="801" t="n">
        <f aca="false">Y22*K53*AR12</f>
        <v>0</v>
      </c>
      <c r="BS53" s="801" t="n">
        <f aca="false">Z22*L53*AS12</f>
        <v>0</v>
      </c>
      <c r="BT53" s="801" t="n">
        <f aca="false">AA22*M53*AT12</f>
        <v>0</v>
      </c>
      <c r="BU53" s="802" t="n">
        <f aca="false">SUM(BK53:BT53)</f>
        <v>0</v>
      </c>
      <c r="BV53" s="803" t="n">
        <f aca="false">BU53</f>
        <v>0</v>
      </c>
      <c r="BX53" s="779" t="n">
        <v>95</v>
      </c>
      <c r="BY53" s="804" t="n">
        <f aca="false">D53*R43*AK12</f>
        <v>0</v>
      </c>
      <c r="BZ53" s="804" t="n">
        <f aca="false">E53*S43*AL12</f>
        <v>0</v>
      </c>
      <c r="CA53" s="804" t="n">
        <f aca="false">F53*T43*AM12</f>
        <v>0</v>
      </c>
      <c r="CB53" s="804" t="n">
        <f aca="false">G53*U43*AN12</f>
        <v>0</v>
      </c>
      <c r="CC53" s="804" t="n">
        <f aca="false">H53*V43*AO12</f>
        <v>0</v>
      </c>
      <c r="CD53" s="804" t="n">
        <f aca="false">I53*W43*AP12</f>
        <v>0</v>
      </c>
      <c r="CE53" s="804" t="n">
        <f aca="false">J53*X43*AQ12</f>
        <v>0</v>
      </c>
      <c r="CF53" s="804" t="n">
        <f aca="false">K53*Y43*AR12</f>
        <v>0</v>
      </c>
      <c r="CG53" s="804" t="n">
        <f aca="false">L53*Z43*AS12</f>
        <v>0</v>
      </c>
      <c r="CH53" s="804" t="n">
        <f aca="false">M53*AA43*AT12</f>
        <v>0</v>
      </c>
      <c r="CI53" s="805" t="n">
        <f aca="false">SUM(BY53:CH53)</f>
        <v>0</v>
      </c>
      <c r="CJ53" s="806" t="n">
        <f aca="false">CI53</f>
        <v>0</v>
      </c>
    </row>
    <row r="54" s="762" customFormat="true" ht="13.5" hidden="false" customHeight="false" outlineLevel="0" collapsed="false">
      <c r="C54" s="786" t="n">
        <v>105</v>
      </c>
      <c r="D54" s="790" t="n">
        <f aca="false">'7.1 Dealer area'!K46</f>
        <v>0</v>
      </c>
      <c r="E54" s="825" t="n">
        <f aca="false">D44</f>
        <v>0</v>
      </c>
      <c r="F54" s="825" t="n">
        <f aca="false">E44</f>
        <v>0</v>
      </c>
      <c r="G54" s="825" t="n">
        <f aca="false">F44</f>
        <v>0</v>
      </c>
      <c r="H54" s="825" t="n">
        <f aca="false">G44</f>
        <v>0</v>
      </c>
      <c r="I54" s="825" t="n">
        <f aca="false">H44</f>
        <v>0</v>
      </c>
      <c r="J54" s="825" t="n">
        <f aca="false">I44</f>
        <v>0</v>
      </c>
      <c r="K54" s="825" t="n">
        <f aca="false">J44</f>
        <v>0</v>
      </c>
      <c r="L54" s="825" t="n">
        <f aca="false">K44</f>
        <v>0</v>
      </c>
      <c r="M54" s="825" t="n">
        <f aca="false">L44</f>
        <v>0</v>
      </c>
      <c r="N54" s="826" t="n">
        <f aca="false">SUM(D54:M54)</f>
        <v>0</v>
      </c>
      <c r="Q54" s="774"/>
      <c r="R54" s="775" t="s">
        <v>511</v>
      </c>
      <c r="S54" s="775"/>
      <c r="T54" s="775"/>
      <c r="U54" s="775"/>
      <c r="V54" s="775"/>
      <c r="W54" s="775"/>
      <c r="X54" s="775"/>
      <c r="Y54" s="775"/>
      <c r="Z54" s="775"/>
      <c r="AA54" s="775"/>
      <c r="AB54" s="775"/>
      <c r="AC54" s="775"/>
      <c r="AD54" s="775"/>
      <c r="AE54" s="775"/>
      <c r="AF54" s="775"/>
      <c r="AG54" s="794"/>
      <c r="AH54" s="776"/>
      <c r="AV54" s="774" t="n">
        <v>105</v>
      </c>
      <c r="AW54" s="793" t="n">
        <f aca="false">D54*R13*AK13</f>
        <v>0</v>
      </c>
      <c r="AX54" s="793" t="n">
        <f aca="false">E54*S13*AL13</f>
        <v>0</v>
      </c>
      <c r="AY54" s="793" t="n">
        <f aca="false">F54*T13*AM13</f>
        <v>0</v>
      </c>
      <c r="AZ54" s="793" t="n">
        <f aca="false">G54*U13*AN13</f>
        <v>0</v>
      </c>
      <c r="BA54" s="793" t="n">
        <f aca="false">H54*V13*AO13</f>
        <v>0</v>
      </c>
      <c r="BB54" s="793" t="n">
        <f aca="false">I54*W13*AP13</f>
        <v>0</v>
      </c>
      <c r="BC54" s="793" t="n">
        <f aca="false">J54*X13*AQ13</f>
        <v>0</v>
      </c>
      <c r="BD54" s="793" t="n">
        <f aca="false">K54*Y13*AR13</f>
        <v>0</v>
      </c>
      <c r="BE54" s="793" t="n">
        <f aca="false">L54*Z13*AS13</f>
        <v>0</v>
      </c>
      <c r="BF54" s="793" t="n">
        <f aca="false">M54*AA13*AT13</f>
        <v>0</v>
      </c>
      <c r="BG54" s="799" t="n">
        <f aca="false">SUM(AW54:BF54)</f>
        <v>0</v>
      </c>
      <c r="BH54" s="800" t="n">
        <f aca="false">BG54</f>
        <v>0</v>
      </c>
      <c r="BJ54" s="779" t="n">
        <v>105</v>
      </c>
      <c r="BK54" s="801" t="n">
        <f aca="false">R23*D54*AK13</f>
        <v>0</v>
      </c>
      <c r="BL54" s="801" t="n">
        <f aca="false">S23*E54*AL13</f>
        <v>0</v>
      </c>
      <c r="BM54" s="801" t="n">
        <f aca="false">T23*F54*AM13</f>
        <v>0</v>
      </c>
      <c r="BN54" s="801" t="n">
        <f aca="false">U23*G54*AN13</f>
        <v>0</v>
      </c>
      <c r="BO54" s="801" t="n">
        <f aca="false">V23*H54*AO13</f>
        <v>0</v>
      </c>
      <c r="BP54" s="801" t="n">
        <f aca="false">W23*I54*AP13</f>
        <v>0</v>
      </c>
      <c r="BQ54" s="801" t="n">
        <f aca="false">X23*J54*AQ13</f>
        <v>0</v>
      </c>
      <c r="BR54" s="801" t="n">
        <f aca="false">Y23*K54*AR13</f>
        <v>0</v>
      </c>
      <c r="BS54" s="801" t="n">
        <f aca="false">Z23*L54*AS13</f>
        <v>0</v>
      </c>
      <c r="BT54" s="801" t="n">
        <f aca="false">AA23*M54*AT13</f>
        <v>0</v>
      </c>
      <c r="BU54" s="802" t="n">
        <f aca="false">SUM(BK54:BT54)</f>
        <v>0</v>
      </c>
      <c r="BV54" s="803" t="n">
        <f aca="false">BU54</f>
        <v>0</v>
      </c>
      <c r="BX54" s="779" t="n">
        <v>105</v>
      </c>
      <c r="BY54" s="804" t="n">
        <f aca="false">D54*R44*AK13</f>
        <v>0</v>
      </c>
      <c r="BZ54" s="804" t="n">
        <f aca="false">E54*S44*AL13</f>
        <v>0</v>
      </c>
      <c r="CA54" s="804" t="n">
        <f aca="false">F54*T44*AM13</f>
        <v>0</v>
      </c>
      <c r="CB54" s="804" t="n">
        <f aca="false">G54*U44*AN13</f>
        <v>0</v>
      </c>
      <c r="CC54" s="804" t="n">
        <f aca="false">H54*V44*AO13</f>
        <v>0</v>
      </c>
      <c r="CD54" s="804" t="n">
        <f aca="false">I54*W44*AP13</f>
        <v>0</v>
      </c>
      <c r="CE54" s="804" t="n">
        <f aca="false">J54*X44*AQ13</f>
        <v>0</v>
      </c>
      <c r="CF54" s="804" t="n">
        <f aca="false">K54*Y44*AR13</f>
        <v>0</v>
      </c>
      <c r="CG54" s="804" t="n">
        <f aca="false">L54*Z44*AS13</f>
        <v>0</v>
      </c>
      <c r="CH54" s="804" t="n">
        <f aca="false">M54*AA44*AT13</f>
        <v>0</v>
      </c>
      <c r="CI54" s="805" t="n">
        <f aca="false">SUM(BY54:CH54)</f>
        <v>0</v>
      </c>
      <c r="CJ54" s="806" t="n">
        <f aca="false">CI54</f>
        <v>0</v>
      </c>
    </row>
    <row r="55" s="762" customFormat="true" ht="13.5" hidden="false" customHeight="false" outlineLevel="0" collapsed="false">
      <c r="C55" s="829"/>
      <c r="D55" s="830" t="n">
        <f aca="false">SUM(D48:D54)</f>
        <v>0</v>
      </c>
      <c r="E55" s="830" t="n">
        <f aca="false">SUM(E48:E54)</f>
        <v>0</v>
      </c>
      <c r="F55" s="830" t="n">
        <f aca="false">SUM(F48:F54)</f>
        <v>0</v>
      </c>
      <c r="G55" s="830" t="n">
        <f aca="false">SUM(G48:G54)</f>
        <v>0</v>
      </c>
      <c r="H55" s="830" t="n">
        <f aca="false">SUM(H48:H54)</f>
        <v>10</v>
      </c>
      <c r="I55" s="830" t="n">
        <f aca="false">SUM(I48:I54)</f>
        <v>0</v>
      </c>
      <c r="J55" s="830" t="n">
        <f aca="false">SUM(J48:J54)</f>
        <v>0</v>
      </c>
      <c r="K55" s="830" t="n">
        <f aca="false">SUM(K48:K54)</f>
        <v>0</v>
      </c>
      <c r="L55" s="830" t="n">
        <f aca="false">SUM(L48:L54)</f>
        <v>0</v>
      </c>
      <c r="M55" s="830" t="n">
        <f aca="false">SUM(M48:M54)</f>
        <v>0</v>
      </c>
      <c r="N55" s="830" t="n">
        <f aca="false">SUM(N48:N54)</f>
        <v>10</v>
      </c>
      <c r="Q55" s="774"/>
      <c r="R55" s="775" t="s">
        <v>299</v>
      </c>
      <c r="S55" s="775" t="s">
        <v>300</v>
      </c>
      <c r="T55" s="775" t="s">
        <v>301</v>
      </c>
      <c r="U55" s="775" t="s">
        <v>302</v>
      </c>
      <c r="V55" s="775" t="s">
        <v>303</v>
      </c>
      <c r="W55" s="775" t="s">
        <v>304</v>
      </c>
      <c r="X55" s="775" t="s">
        <v>305</v>
      </c>
      <c r="Y55" s="775" t="s">
        <v>306</v>
      </c>
      <c r="Z55" s="775" t="s">
        <v>307</v>
      </c>
      <c r="AA55" s="775" t="s">
        <v>308</v>
      </c>
      <c r="AB55" s="775" t="s">
        <v>309</v>
      </c>
      <c r="AC55" s="775" t="s">
        <v>310</v>
      </c>
      <c r="AD55" s="775" t="s">
        <v>311</v>
      </c>
      <c r="AE55" s="775" t="s">
        <v>312</v>
      </c>
      <c r="AF55" s="775" t="s">
        <v>313</v>
      </c>
      <c r="AG55" s="794"/>
      <c r="AH55" s="776"/>
      <c r="AV55" s="809"/>
      <c r="AW55" s="794"/>
      <c r="AX55" s="794"/>
      <c r="AY55" s="794"/>
      <c r="AZ55" s="794"/>
      <c r="BA55" s="794"/>
      <c r="BB55" s="794"/>
      <c r="BC55" s="794"/>
      <c r="BD55" s="794"/>
      <c r="BE55" s="794"/>
      <c r="BF55" s="794"/>
      <c r="BG55" s="799"/>
      <c r="BH55" s="800" t="n">
        <f aca="false">SUM(BH48:BH54)</f>
        <v>34920.9654370044</v>
      </c>
      <c r="BJ55" s="774"/>
      <c r="BK55" s="793"/>
      <c r="BL55" s="793"/>
      <c r="BM55" s="793"/>
      <c r="BN55" s="793"/>
      <c r="BO55" s="793"/>
      <c r="BP55" s="793"/>
      <c r="BQ55" s="793"/>
      <c r="BR55" s="793"/>
      <c r="BS55" s="793"/>
      <c r="BT55" s="793"/>
      <c r="BU55" s="805"/>
      <c r="BV55" s="806" t="n">
        <f aca="false">SUM(BV48:BV54)</f>
        <v>416.725144526818</v>
      </c>
      <c r="BX55" s="813"/>
      <c r="BY55" s="814"/>
      <c r="BZ55" s="814"/>
      <c r="CA55" s="814"/>
      <c r="CB55" s="814"/>
      <c r="CC55" s="814"/>
      <c r="CD55" s="814"/>
      <c r="CE55" s="814"/>
      <c r="CF55" s="814"/>
      <c r="CG55" s="814"/>
      <c r="CH55" s="814"/>
      <c r="CI55" s="805"/>
      <c r="CJ55" s="806" t="n">
        <f aca="false">SUM(CJ48:CJ54)</f>
        <v>3356.1</v>
      </c>
    </row>
    <row r="56" s="762" customFormat="true" ht="13.5" hidden="false" customHeight="false" outlineLevel="0" collapsed="false">
      <c r="Q56" s="774" t="s">
        <v>319</v>
      </c>
      <c r="R56" s="793" t="n">
        <f aca="false">(('5.1 DAF Vehicle Parc Input'!E50*'OM Parts CPV (short)'!F14)*(('5.1 DAF Vehicle Parc Input'!$H$56)/(1-'Calculation (short)'!$O$1)))*(1+$E$1)*(1+$I$1)</f>
        <v>0</v>
      </c>
      <c r="S56" s="793" t="n">
        <f aca="false">(('5.1 DAF Vehicle Parc Input'!F50*'OM Parts CPV (short)'!G14)*(('5.1 DAF Vehicle Parc Input'!$H$56)/(1-'Calculation (short)'!$O$1)))*(1+$E$1)*(1+$I$1)</f>
        <v>0</v>
      </c>
      <c r="T56" s="793" t="n">
        <f aca="false">(('5.1 DAF Vehicle Parc Input'!G50*'OM Parts CPV (short)'!H14)*(('5.1 DAF Vehicle Parc Input'!$H$56)/(1-'Calculation (short)'!$O$1)))*(1+$E$1)*(1+$I$1)</f>
        <v>0</v>
      </c>
      <c r="U56" s="793" t="n">
        <f aca="false">(('5.1 DAF Vehicle Parc Input'!H50*'OM Parts CPV (short)'!I14)*(('5.1 DAF Vehicle Parc Input'!$H$56)/(1-'Calculation (short)'!$O$1)))*(1+$E$1)*(1+$I$1)</f>
        <v>0</v>
      </c>
      <c r="V56" s="793" t="n">
        <f aca="false">(('5.1 DAF Vehicle Parc Input'!I50*'OM Parts CPV (short)'!J14)*(('5.1 DAF Vehicle Parc Input'!$H$56)/(1-'Calculation (short)'!$O$1)))*(1+$E$1)*(1+$I$1)</f>
        <v>0</v>
      </c>
      <c r="W56" s="793" t="n">
        <f aca="false">(('5.1 DAF Vehicle Parc Input'!J50*'OM Parts CPV (short)'!K14)*(('5.1 DAF Vehicle Parc Input'!$H$56)/(1-'Calculation (short)'!$O$1)))*(1+$E$1)*(1+$I$1)</f>
        <v>0</v>
      </c>
      <c r="X56" s="793" t="n">
        <f aca="false">(('5.1 DAF Vehicle Parc Input'!K50*'OM Parts CPV (short)'!L14)*(('5.1 DAF Vehicle Parc Input'!$H$56)/(1-'Calculation (short)'!$O$1)))*(1+$E$1)*(1+$I$1)</f>
        <v>0</v>
      </c>
      <c r="Y56" s="793" t="n">
        <f aca="false">(('5.1 DAF Vehicle Parc Input'!L50*'OM Parts CPV (short)'!M14)*(('5.1 DAF Vehicle Parc Input'!$H$56)/(1-'Calculation (short)'!$O$1)))*(1+$E$1)*(1+$I$1)</f>
        <v>0</v>
      </c>
      <c r="Z56" s="793" t="n">
        <f aca="false">(('5.1 DAF Vehicle Parc Input'!M50*'OM Parts CPV (short)'!N14)*(('5.1 DAF Vehicle Parc Input'!$H$56)/(1-'Calculation (short)'!$O$1)))*(1+$E$1)*(1+$I$1)</f>
        <v>0</v>
      </c>
      <c r="AA56" s="793" t="n">
        <f aca="false">(('5.1 DAF Vehicle Parc Input'!N50*'OM Parts CPV (short)'!O14)*(('5.1 DAF Vehicle Parc Input'!$H$56)/(1-'Calculation (short)'!$O$1)))*(1+$E$1)*(1+$I$1)</f>
        <v>0</v>
      </c>
      <c r="AB56" s="793" t="n">
        <f aca="false">(('5.1 DAF Vehicle Parc Input'!O50*'OM Parts CPV (short)'!P14)*(('5.1 DAF Vehicle Parc Input'!$H$56)/(1-'Calculation (short)'!$O$1)))*(1+$E$1)*(1+$I$1)</f>
        <v>0</v>
      </c>
      <c r="AC56" s="793" t="n">
        <f aca="false">(('5.1 DAF Vehicle Parc Input'!P50*'OM Parts CPV (short)'!Q14)*(('5.1 DAF Vehicle Parc Input'!$H$56)/(1-'Calculation (short)'!$O$1)))*(1+$E$1)*(1+$I$1)</f>
        <v>0</v>
      </c>
      <c r="AD56" s="793" t="n">
        <f aca="false">(('5.1 DAF Vehicle Parc Input'!Q50*'OM Parts CPV (short)'!R14)*(('5.1 DAF Vehicle Parc Input'!$H$56)/(1-'Calculation (short)'!$O$1)))*(1+$E$1)*(1+$I$1)</f>
        <v>0</v>
      </c>
      <c r="AE56" s="793" t="n">
        <f aca="false">(('5.1 DAF Vehicle Parc Input'!R50*'OM Parts CPV (short)'!S14)*(('5.1 DAF Vehicle Parc Input'!$H$56)/(1-'Calculation (short)'!$O$1)))*(1+$E$1)*(1+$I$1)</f>
        <v>0</v>
      </c>
      <c r="AF56" s="793" t="n">
        <f aca="false">(('5.1 DAF Vehicle Parc Input'!S50*'OM Parts CPV (short)'!T14)*(('5.1 DAF Vehicle Parc Input'!$H$56)/(1-'Calculation (short)'!$O$1)))*(1+$E$1)*(1+$I$1)</f>
        <v>0</v>
      </c>
      <c r="AG56" s="794" t="n">
        <f aca="false">SUM(R56:AF56)</f>
        <v>0</v>
      </c>
      <c r="AH56" s="795" t="n">
        <f aca="false">AG56</f>
        <v>0</v>
      </c>
    </row>
    <row r="57" s="762" customFormat="true" ht="13.5" hidden="false" customHeight="false" outlineLevel="0" collapsed="false">
      <c r="Q57" s="774" t="s">
        <v>320</v>
      </c>
      <c r="R57" s="793" t="n">
        <f aca="false">(('5.1 DAF Vehicle Parc Input'!E51*'OM Parts CPV (short)'!F15)*(('5.1 DAF Vehicle Parc Input'!$H$56)/(1-'Calculation (short)'!$O$1)))*(1+$E$1)*(1+$I$1)</f>
        <v>0</v>
      </c>
      <c r="S57" s="793" t="n">
        <f aca="false">(('5.1 DAF Vehicle Parc Input'!F51*'OM Parts CPV (short)'!G15)*(('5.1 DAF Vehicle Parc Input'!$H$56)/(1-'Calculation (short)'!$O$1)))*(1+$E$1)*(1+$I$1)</f>
        <v>0</v>
      </c>
      <c r="T57" s="793" t="n">
        <f aca="false">(('5.1 DAF Vehicle Parc Input'!G51*'OM Parts CPV (short)'!H15)*(('5.1 DAF Vehicle Parc Input'!$H$56)/(1-'Calculation (short)'!$O$1)))*(1+$E$1)*(1+$I$1)</f>
        <v>0</v>
      </c>
      <c r="U57" s="793" t="n">
        <f aca="false">(('5.1 DAF Vehicle Parc Input'!H51*'OM Parts CPV (short)'!I15)*(('5.1 DAF Vehicle Parc Input'!$H$56)/(1-'Calculation (short)'!$O$1)))*(1+$E$1)*(1+$I$1)</f>
        <v>0</v>
      </c>
      <c r="V57" s="793" t="n">
        <f aca="false">(('5.1 DAF Vehicle Parc Input'!I51*'OM Parts CPV (short)'!J15)*(('5.1 DAF Vehicle Parc Input'!$H$56)/(1-'Calculation (short)'!$O$1)))*(1+$E$1)*(1+$I$1)</f>
        <v>0</v>
      </c>
      <c r="W57" s="793" t="n">
        <f aca="false">(('5.1 DAF Vehicle Parc Input'!J51*'OM Parts CPV (short)'!K15)*(('5.1 DAF Vehicle Parc Input'!$H$56)/(1-'Calculation (short)'!$O$1)))*(1+$E$1)*(1+$I$1)</f>
        <v>0</v>
      </c>
      <c r="X57" s="793" t="n">
        <f aca="false">(('5.1 DAF Vehicle Parc Input'!K51*'OM Parts CPV (short)'!L15)*(('5.1 DAF Vehicle Parc Input'!$H$56)/(1-'Calculation (short)'!$O$1)))*(1+$E$1)*(1+$I$1)</f>
        <v>0</v>
      </c>
      <c r="Y57" s="793" t="n">
        <f aca="false">(('5.1 DAF Vehicle Parc Input'!L51*'OM Parts CPV (short)'!M15)*(('5.1 DAF Vehicle Parc Input'!$H$56)/(1-'Calculation (short)'!$O$1)))*(1+$E$1)*(1+$I$1)</f>
        <v>0</v>
      </c>
      <c r="Z57" s="793" t="n">
        <f aca="false">(('5.1 DAF Vehicle Parc Input'!M51*'OM Parts CPV (short)'!N15)*(('5.1 DAF Vehicle Parc Input'!$H$56)/(1-'Calculation (short)'!$O$1)))*(1+$E$1)*(1+$I$1)</f>
        <v>0</v>
      </c>
      <c r="AA57" s="793" t="n">
        <f aca="false">(('5.1 DAF Vehicle Parc Input'!N51*'OM Parts CPV (short)'!O15)*(('5.1 DAF Vehicle Parc Input'!$H$56)/(1-'Calculation (short)'!$O$1)))*(1+$E$1)*(1+$I$1)</f>
        <v>0</v>
      </c>
      <c r="AB57" s="793" t="n">
        <f aca="false">(('5.1 DAF Vehicle Parc Input'!O51*'OM Parts CPV (short)'!P15)*(('5.1 DAF Vehicle Parc Input'!$H$56)/(1-'Calculation (short)'!$O$1)))*(1+$E$1)*(1+$I$1)</f>
        <v>0</v>
      </c>
      <c r="AC57" s="793" t="n">
        <f aca="false">(('5.1 DAF Vehicle Parc Input'!P51*'OM Parts CPV (short)'!Q15)*(('5.1 DAF Vehicle Parc Input'!$H$56)/(1-'Calculation (short)'!$O$1)))*(1+$E$1)*(1+$I$1)</f>
        <v>0</v>
      </c>
      <c r="AD57" s="793" t="n">
        <f aca="false">(('5.1 DAF Vehicle Parc Input'!Q51*'OM Parts CPV (short)'!R15)*(('5.1 DAF Vehicle Parc Input'!$H$56)/(1-'Calculation (short)'!$O$1)))*(1+$E$1)*(1+$I$1)</f>
        <v>0</v>
      </c>
      <c r="AE57" s="793" t="n">
        <f aca="false">(('5.1 DAF Vehicle Parc Input'!R51*'OM Parts CPV (short)'!S15)*(('5.1 DAF Vehicle Parc Input'!$H$56)/(1-'Calculation (short)'!$O$1)))*(1+$E$1)*(1+$I$1)</f>
        <v>0</v>
      </c>
      <c r="AF57" s="793" t="n">
        <f aca="false">(('5.1 DAF Vehicle Parc Input'!S51*'OM Parts CPV (short)'!T15)*(('5.1 DAF Vehicle Parc Input'!$H$56)/(1-'Calculation (short)'!$O$1)))*(1+$E$1)*(1+$I$1)</f>
        <v>0</v>
      </c>
      <c r="AG57" s="794" t="n">
        <f aca="false">SUM(R57:AF57)</f>
        <v>0</v>
      </c>
      <c r="AH57" s="795" t="n">
        <f aca="false">AG57</f>
        <v>0</v>
      </c>
    </row>
    <row r="58" s="762" customFormat="true" ht="14.25" hidden="false" customHeight="false" outlineLevel="0" collapsed="false">
      <c r="Q58" s="833"/>
      <c r="R58" s="834"/>
      <c r="S58" s="834"/>
      <c r="T58" s="834"/>
      <c r="U58" s="834"/>
      <c r="V58" s="834"/>
      <c r="W58" s="834"/>
      <c r="X58" s="834"/>
      <c r="Y58" s="834"/>
      <c r="Z58" s="834"/>
      <c r="AA58" s="834"/>
      <c r="AB58" s="834"/>
      <c r="AC58" s="834"/>
      <c r="AD58" s="834"/>
      <c r="AE58" s="834"/>
      <c r="AF58" s="834"/>
      <c r="AG58" s="835"/>
      <c r="AH58" s="836" t="n">
        <f aca="false">-SUM(AH56:AH57)</f>
        <v>-0</v>
      </c>
    </row>
    <row r="59" s="762" customFormat="true" ht="13.5" hidden="false" customHeight="false" outlineLevel="0" collapsed="false">
      <c r="Q59" s="823"/>
      <c r="R59" s="793"/>
      <c r="S59" s="793"/>
      <c r="T59" s="793"/>
      <c r="U59" s="793"/>
      <c r="V59" s="793"/>
      <c r="W59" s="793"/>
      <c r="X59" s="793"/>
      <c r="Y59" s="793"/>
      <c r="Z59" s="793"/>
      <c r="AA59" s="793"/>
      <c r="AB59" s="793"/>
      <c r="AC59" s="793"/>
      <c r="AD59" s="793"/>
      <c r="AE59" s="793"/>
      <c r="AF59" s="793"/>
      <c r="AG59" s="794"/>
    </row>
    <row r="60" s="762" customFormat="true" ht="13.5" hidden="false" customHeight="false" outlineLevel="0" collapsed="false">
      <c r="Q60" s="823"/>
      <c r="R60" s="794"/>
      <c r="S60" s="794"/>
      <c r="T60" s="794"/>
      <c r="U60" s="794"/>
      <c r="V60" s="794"/>
      <c r="W60" s="794"/>
      <c r="X60" s="794"/>
      <c r="Y60" s="794"/>
      <c r="Z60" s="794"/>
      <c r="AA60" s="794"/>
      <c r="AB60" s="794"/>
      <c r="AC60" s="794"/>
      <c r="AD60" s="794"/>
      <c r="AE60" s="794"/>
      <c r="AF60" s="794"/>
      <c r="AG60" s="794"/>
    </row>
    <row r="61" s="762" customFormat="true" ht="13.5" hidden="false" customHeight="false" outlineLevel="0" collapsed="false"/>
    <row r="62" s="762" customFormat="true" ht="13.5" hidden="false" customHeight="false" outlineLevel="0" collapsed="false"/>
    <row r="63" s="762" customFormat="true" ht="13.5" hidden="false" customHeight="false" outlineLevel="0" collapsed="false"/>
    <row r="64" s="762" customFormat="true" ht="13.5" hidden="false" customHeight="false" outlineLevel="0" collapsed="false"/>
    <row r="65" s="762" customFormat="true" ht="13.5" hidden="false" customHeight="false" outlineLevel="0" collapsed="false"/>
    <row r="66" s="762" customFormat="true" ht="13.5" hidden="false" customHeight="false" outlineLevel="0" collapsed="false"/>
    <row r="67" s="762" customFormat="true" ht="13.5" hidden="false" customHeight="false" outlineLevel="0" collapsed="false"/>
    <row r="68" s="762" customFormat="true" ht="13.5" hidden="false" customHeight="false" outlineLevel="0" collapsed="false"/>
    <row r="69" s="762" customFormat="true" ht="13.5" hidden="false" customHeight="false" outlineLevel="0" collapsed="false"/>
    <row r="70" s="762" customFormat="true" ht="13.5" hidden="false" customHeight="false" outlineLevel="0" collapsed="false"/>
    <row r="71" s="762" customFormat="true" ht="13.5" hidden="false" customHeight="false" outlineLevel="0" collapsed="false"/>
    <row r="72" s="762" customFormat="true" ht="13.5" hidden="false" customHeight="false" outlineLevel="0" collapsed="false"/>
    <row r="73" s="762" customFormat="true" ht="13.5" hidden="false" customHeight="false" outlineLevel="0" collapsed="false"/>
    <row r="74" s="762" customFormat="true" ht="13.5" hidden="false" customHeight="false" outlineLevel="0" collapsed="false"/>
    <row r="75" s="762" customFormat="true" ht="13.5" hidden="false" customHeight="false" outlineLevel="0" collapsed="false"/>
    <row r="76" s="762" customFormat="true" ht="13.5" hidden="false" customHeight="false" outlineLevel="0" collapsed="false"/>
    <row r="77" s="762" customFormat="true" ht="13.5" hidden="false" customHeight="false" outlineLevel="0" collapsed="false"/>
    <row r="78" s="762" customFormat="true" ht="13.5" hidden="false" customHeight="false" outlineLevel="0" collapsed="false"/>
    <row r="79" s="762" customFormat="true" ht="13.5" hidden="false" customHeight="false" outlineLevel="0" collapsed="false"/>
    <row r="80" s="762" customFormat="true" ht="13.5" hidden="false" customHeight="false" outlineLevel="0" collapsed="false"/>
    <row r="81" s="762" customFormat="true" ht="13.5" hidden="false" customHeight="false" outlineLevel="0" collapsed="false"/>
    <row r="82" s="762" customFormat="true" ht="13.5" hidden="false" customHeight="false" outlineLevel="0" collapsed="false"/>
    <row r="83" s="762" customFormat="true" ht="13.5" hidden="false" customHeight="false" outlineLevel="0" collapsed="false"/>
    <row r="84" s="762" customFormat="true" ht="13.5" hidden="false" customHeight="false" outlineLevel="0" collapsed="false"/>
    <row r="85" s="762" customFormat="true" ht="13.5" hidden="false" customHeight="false" outlineLevel="0" collapsed="false"/>
    <row r="86" s="762" customFormat="true" ht="13.5" hidden="false" customHeight="false" outlineLevel="0" collapsed="false"/>
    <row r="87" s="762" customFormat="true" ht="13.5" hidden="false" customHeight="false" outlineLevel="0" collapsed="false"/>
    <row r="88" s="762" customFormat="true" ht="13.5" hidden="false" customHeight="false" outlineLevel="0" collapsed="false"/>
    <row r="89" s="762" customFormat="true" ht="13.5" hidden="false" customHeight="false" outlineLevel="0" collapsed="false"/>
    <row r="90" s="762" customFormat="true" ht="13.5" hidden="false" customHeight="false" outlineLevel="0" collapsed="false"/>
    <row r="91" s="762" customFormat="true" ht="13.5" hidden="false" customHeight="false" outlineLevel="0" collapsed="false"/>
    <row r="92" s="762" customFormat="true" ht="13.5" hidden="false" customHeight="false" outlineLevel="0" collapsed="false"/>
    <row r="93" s="762" customFormat="true" ht="13.5" hidden="false" customHeight="false" outlineLevel="0" collapsed="false"/>
    <row r="94" s="762" customFormat="true" ht="13.5" hidden="false" customHeight="false" outlineLevel="0" collapsed="false"/>
    <row r="95" s="762" customFormat="true" ht="13.5" hidden="false" customHeight="false" outlineLevel="0" collapsed="false"/>
    <row r="96" s="762" customFormat="true" ht="13.5" hidden="false" customHeight="false" outlineLevel="0" collapsed="false"/>
    <row r="97" s="762" customFormat="true" ht="13.5" hidden="false" customHeight="false" outlineLevel="0" collapsed="false"/>
    <row r="98" s="762" customFormat="true" ht="13.5" hidden="false" customHeight="false" outlineLevel="0" collapsed="false"/>
    <row r="99" s="762" customFormat="true" ht="13.5" hidden="false" customHeight="false" outlineLevel="0" collapsed="false"/>
    <row r="100" s="762" customFormat="true" ht="13.5" hidden="false" customHeight="false" outlineLevel="0" collapsed="false"/>
    <row r="101" s="762" customFormat="true" ht="13.5" hidden="false" customHeight="false" outlineLevel="0" collapsed="false"/>
    <row r="102" s="762" customFormat="true" ht="13.5" hidden="false" customHeight="false" outlineLevel="0" collapsed="false"/>
    <row r="103" s="762" customFormat="true" ht="13.5" hidden="false" customHeight="false" outlineLevel="0" collapsed="false"/>
    <row r="104" s="762" customFormat="true" ht="13.5" hidden="false" customHeight="false" outlineLevel="0" collapsed="false"/>
    <row r="105" s="762" customFormat="true" ht="13.5" hidden="false" customHeight="false" outlineLevel="0" collapsed="false"/>
    <row r="106" s="762" customFormat="true" ht="13.5" hidden="false" customHeight="false" outlineLevel="0" collapsed="false"/>
    <row r="107" s="762" customFormat="true" ht="14.25" hidden="false" customHeight="false" outlineLevel="0" collapsed="false"/>
    <row r="108" s="762" customFormat="true" ht="13.5" hidden="false" customHeight="false" outlineLevel="0" collapsed="false">
      <c r="Q108" s="771"/>
      <c r="R108" s="772"/>
      <c r="S108" s="772"/>
      <c r="T108" s="772"/>
      <c r="U108" s="772"/>
      <c r="V108" s="772"/>
      <c r="W108" s="772"/>
      <c r="X108" s="772"/>
      <c r="Y108" s="772"/>
      <c r="Z108" s="772"/>
      <c r="AA108" s="772"/>
      <c r="AB108" s="772"/>
      <c r="AC108" s="772"/>
      <c r="AD108" s="772"/>
      <c r="AE108" s="772"/>
      <c r="AF108" s="772"/>
      <c r="AG108" s="772"/>
      <c r="AH108" s="773"/>
    </row>
    <row r="109" s="762" customFormat="true" ht="13.5" hidden="false" customHeight="false" outlineLevel="0" collapsed="false">
      <c r="Q109" s="774"/>
      <c r="R109" s="775"/>
      <c r="S109" s="775"/>
      <c r="T109" s="775"/>
      <c r="U109" s="775"/>
      <c r="V109" s="775"/>
      <c r="W109" s="775"/>
      <c r="X109" s="775"/>
      <c r="Y109" s="775"/>
      <c r="Z109" s="775"/>
      <c r="AA109" s="775"/>
      <c r="AB109" s="775"/>
      <c r="AC109" s="775"/>
      <c r="AD109" s="775"/>
      <c r="AE109" s="775"/>
      <c r="AF109" s="775"/>
      <c r="AG109" s="763"/>
      <c r="AH109" s="776"/>
    </row>
    <row r="110" s="762" customFormat="true" ht="13.5" hidden="false" customHeight="false" outlineLevel="0" collapsed="false">
      <c r="Q110" s="787"/>
      <c r="R110" s="775"/>
      <c r="S110" s="775"/>
      <c r="T110" s="775"/>
      <c r="U110" s="775"/>
      <c r="V110" s="775"/>
      <c r="W110" s="775"/>
      <c r="X110" s="775"/>
      <c r="Y110" s="775"/>
      <c r="Z110" s="775"/>
      <c r="AA110" s="775"/>
      <c r="AB110" s="775"/>
      <c r="AC110" s="775"/>
      <c r="AD110" s="775"/>
      <c r="AE110" s="775"/>
      <c r="AF110" s="775"/>
      <c r="AG110" s="775"/>
      <c r="AH110" s="776"/>
    </row>
    <row r="111" s="762" customFormat="true" ht="13.5" hidden="false" customHeight="false" outlineLevel="0" collapsed="false">
      <c r="Q111" s="774"/>
      <c r="R111" s="793"/>
      <c r="S111" s="793"/>
      <c r="T111" s="793"/>
      <c r="U111" s="793"/>
      <c r="V111" s="793"/>
      <c r="W111" s="793"/>
      <c r="X111" s="793"/>
      <c r="Y111" s="793"/>
      <c r="Z111" s="793"/>
      <c r="AA111" s="793"/>
      <c r="AB111" s="793"/>
      <c r="AC111" s="793"/>
      <c r="AD111" s="793"/>
      <c r="AE111" s="793"/>
      <c r="AF111" s="793"/>
      <c r="AG111" s="794"/>
      <c r="AH111" s="795"/>
    </row>
    <row r="112" s="762" customFormat="true" ht="13.5" hidden="false" customHeight="false" outlineLevel="0" collapsed="false">
      <c r="Q112" s="774"/>
      <c r="R112" s="793"/>
      <c r="S112" s="793"/>
      <c r="T112" s="793"/>
      <c r="U112" s="793"/>
      <c r="V112" s="793"/>
      <c r="W112" s="793"/>
      <c r="X112" s="793"/>
      <c r="Y112" s="793"/>
      <c r="Z112" s="793"/>
      <c r="AA112" s="793"/>
      <c r="AB112" s="793"/>
      <c r="AC112" s="793"/>
      <c r="AD112" s="793"/>
      <c r="AE112" s="793"/>
      <c r="AF112" s="793"/>
      <c r="AG112" s="794"/>
      <c r="AH112" s="795"/>
    </row>
    <row r="113" s="762" customFormat="true" ht="13.5" hidden="false" customHeight="false" outlineLevel="0" collapsed="false">
      <c r="Q113" s="774"/>
      <c r="R113" s="793"/>
      <c r="S113" s="793"/>
      <c r="T113" s="793"/>
      <c r="U113" s="793"/>
      <c r="V113" s="793"/>
      <c r="W113" s="793"/>
      <c r="X113" s="793"/>
      <c r="Y113" s="793"/>
      <c r="Z113" s="793"/>
      <c r="AA113" s="793"/>
      <c r="AB113" s="793"/>
      <c r="AC113" s="793"/>
      <c r="AD113" s="793"/>
      <c r="AE113" s="793"/>
      <c r="AF113" s="793"/>
      <c r="AG113" s="794"/>
      <c r="AH113" s="795"/>
    </row>
    <row r="114" s="762" customFormat="true" ht="13.5" hidden="false" customHeight="false" outlineLevel="0" collapsed="false">
      <c r="Q114" s="774"/>
      <c r="R114" s="793"/>
      <c r="S114" s="793"/>
      <c r="T114" s="793"/>
      <c r="U114" s="793"/>
      <c r="V114" s="793"/>
      <c r="W114" s="793"/>
      <c r="X114" s="793"/>
      <c r="Y114" s="793"/>
      <c r="Z114" s="793"/>
      <c r="AA114" s="793"/>
      <c r="AB114" s="793"/>
      <c r="AC114" s="793"/>
      <c r="AD114" s="793"/>
      <c r="AE114" s="793"/>
      <c r="AF114" s="793"/>
      <c r="AG114" s="794"/>
      <c r="AH114" s="795"/>
    </row>
    <row r="115" s="762" customFormat="true" ht="13.5" hidden="false" customHeight="false" outlineLevel="0" collapsed="false">
      <c r="Q115" s="774"/>
      <c r="R115" s="793"/>
      <c r="S115" s="793"/>
      <c r="T115" s="793"/>
      <c r="U115" s="793"/>
      <c r="V115" s="793"/>
      <c r="W115" s="793"/>
      <c r="X115" s="793"/>
      <c r="Y115" s="793"/>
      <c r="Z115" s="793"/>
      <c r="AA115" s="793"/>
      <c r="AB115" s="793"/>
      <c r="AC115" s="793"/>
      <c r="AD115" s="793"/>
      <c r="AE115" s="793"/>
      <c r="AF115" s="793"/>
      <c r="AG115" s="794"/>
      <c r="AH115" s="795"/>
    </row>
    <row r="116" s="762" customFormat="true" ht="13.5" hidden="false" customHeight="false" outlineLevel="0" collapsed="false">
      <c r="Q116" s="774"/>
      <c r="R116" s="793"/>
      <c r="S116" s="793"/>
      <c r="T116" s="793"/>
      <c r="U116" s="793"/>
      <c r="V116" s="793"/>
      <c r="W116" s="793"/>
      <c r="X116" s="793"/>
      <c r="Y116" s="793"/>
      <c r="Z116" s="793"/>
      <c r="AA116" s="793"/>
      <c r="AB116" s="793"/>
      <c r="AC116" s="793"/>
      <c r="AD116" s="793"/>
      <c r="AE116" s="793"/>
      <c r="AF116" s="793"/>
      <c r="AG116" s="794"/>
      <c r="AH116" s="795"/>
    </row>
    <row r="117" s="762" customFormat="true" ht="13.5" hidden="false" customHeight="false" outlineLevel="0" collapsed="false">
      <c r="Q117" s="774"/>
      <c r="R117" s="793"/>
      <c r="S117" s="793"/>
      <c r="T117" s="793"/>
      <c r="U117" s="793"/>
      <c r="V117" s="793"/>
      <c r="W117" s="793"/>
      <c r="X117" s="793"/>
      <c r="Y117" s="793"/>
      <c r="Z117" s="793"/>
      <c r="AA117" s="793"/>
      <c r="AB117" s="793"/>
      <c r="AC117" s="793"/>
      <c r="AD117" s="793"/>
      <c r="AE117" s="793"/>
      <c r="AF117" s="793"/>
      <c r="AG117" s="794"/>
      <c r="AH117" s="795"/>
    </row>
    <row r="118" s="762" customFormat="true" ht="13.5" hidden="false" customHeight="false" outlineLevel="0" collapsed="false">
      <c r="Q118" s="809"/>
      <c r="R118" s="794"/>
      <c r="S118" s="794"/>
      <c r="T118" s="794"/>
      <c r="U118" s="794"/>
      <c r="V118" s="794"/>
      <c r="W118" s="794"/>
      <c r="X118" s="794"/>
      <c r="Y118" s="794"/>
      <c r="Z118" s="794"/>
      <c r="AA118" s="794"/>
      <c r="AB118" s="794"/>
      <c r="AC118" s="794"/>
      <c r="AD118" s="794"/>
      <c r="AE118" s="794"/>
      <c r="AF118" s="794"/>
      <c r="AG118" s="794"/>
      <c r="AH118" s="795"/>
    </row>
    <row r="119" s="762" customFormat="true" ht="13.5" hidden="false" customHeight="false" outlineLevel="0" collapsed="false">
      <c r="Q119" s="831"/>
      <c r="AH119" s="776"/>
    </row>
    <row r="120" s="762" customFormat="true" ht="13.5" hidden="false" customHeight="false" outlineLevel="0" collapsed="false">
      <c r="Q120" s="774"/>
      <c r="R120" s="775"/>
      <c r="S120" s="775"/>
      <c r="T120" s="775"/>
      <c r="U120" s="775"/>
      <c r="V120" s="775"/>
      <c r="W120" s="775"/>
      <c r="X120" s="775"/>
      <c r="Y120" s="775"/>
      <c r="Z120" s="775"/>
      <c r="AA120" s="775"/>
      <c r="AB120" s="775"/>
      <c r="AC120" s="775"/>
      <c r="AD120" s="775"/>
      <c r="AE120" s="775"/>
      <c r="AF120" s="775"/>
      <c r="AG120" s="763"/>
      <c r="AH120" s="776"/>
    </row>
    <row r="121" s="762" customFormat="true" ht="13.5" hidden="false" customHeight="false" outlineLevel="0" collapsed="false">
      <c r="Q121" s="787"/>
      <c r="R121" s="775"/>
      <c r="S121" s="775"/>
      <c r="T121" s="775"/>
      <c r="U121" s="775"/>
      <c r="V121" s="775"/>
      <c r="W121" s="775"/>
      <c r="X121" s="775"/>
      <c r="Y121" s="775"/>
      <c r="Z121" s="775"/>
      <c r="AA121" s="775"/>
      <c r="AB121" s="775"/>
      <c r="AC121" s="775"/>
      <c r="AD121" s="775"/>
      <c r="AE121" s="775"/>
      <c r="AF121" s="775"/>
      <c r="AG121" s="775"/>
      <c r="AH121" s="776"/>
    </row>
    <row r="122" s="762" customFormat="true" ht="13.5" hidden="false" customHeight="false" outlineLevel="0" collapsed="false">
      <c r="Q122" s="774"/>
      <c r="R122" s="793"/>
      <c r="S122" s="793"/>
      <c r="T122" s="793"/>
      <c r="U122" s="793"/>
      <c r="V122" s="793"/>
      <c r="W122" s="793"/>
      <c r="X122" s="793"/>
      <c r="Y122" s="793"/>
      <c r="Z122" s="793"/>
      <c r="AA122" s="793"/>
      <c r="AB122" s="793"/>
      <c r="AC122" s="793"/>
      <c r="AD122" s="793"/>
      <c r="AE122" s="793"/>
      <c r="AF122" s="793"/>
      <c r="AG122" s="794"/>
      <c r="AH122" s="795"/>
    </row>
    <row r="123" s="762" customFormat="true" ht="13.5" hidden="false" customHeight="false" outlineLevel="0" collapsed="false">
      <c r="Q123" s="774"/>
      <c r="R123" s="793"/>
      <c r="S123" s="793"/>
      <c r="T123" s="793"/>
      <c r="U123" s="793"/>
      <c r="V123" s="793"/>
      <c r="W123" s="793"/>
      <c r="X123" s="793"/>
      <c r="Y123" s="793"/>
      <c r="Z123" s="793"/>
      <c r="AA123" s="793"/>
      <c r="AB123" s="793"/>
      <c r="AC123" s="793"/>
      <c r="AD123" s="793"/>
      <c r="AE123" s="793"/>
      <c r="AF123" s="793"/>
      <c r="AG123" s="794"/>
      <c r="AH123" s="795"/>
    </row>
    <row r="124" s="762" customFormat="true" ht="13.5" hidden="false" customHeight="false" outlineLevel="0" collapsed="false">
      <c r="Q124" s="774"/>
      <c r="R124" s="793"/>
      <c r="S124" s="793"/>
      <c r="T124" s="793"/>
      <c r="U124" s="793"/>
      <c r="V124" s="793"/>
      <c r="W124" s="793"/>
      <c r="X124" s="793"/>
      <c r="Y124" s="793"/>
      <c r="Z124" s="793"/>
      <c r="AA124" s="793"/>
      <c r="AB124" s="793"/>
      <c r="AC124" s="793"/>
      <c r="AD124" s="793"/>
      <c r="AE124" s="793"/>
      <c r="AF124" s="793"/>
      <c r="AG124" s="794"/>
      <c r="AH124" s="795"/>
    </row>
    <row r="125" s="762" customFormat="true" ht="13.5" hidden="false" customHeight="false" outlineLevel="0" collapsed="false">
      <c r="Q125" s="774"/>
      <c r="R125" s="793"/>
      <c r="S125" s="793"/>
      <c r="T125" s="793"/>
      <c r="U125" s="793"/>
      <c r="V125" s="793"/>
      <c r="W125" s="793"/>
      <c r="X125" s="793"/>
      <c r="Y125" s="793"/>
      <c r="Z125" s="793"/>
      <c r="AA125" s="793"/>
      <c r="AB125" s="793"/>
      <c r="AC125" s="793"/>
      <c r="AD125" s="793"/>
      <c r="AE125" s="793"/>
      <c r="AF125" s="793"/>
      <c r="AG125" s="794"/>
      <c r="AH125" s="795"/>
    </row>
    <row r="126" s="762" customFormat="true" ht="13.5" hidden="false" customHeight="false" outlineLevel="0" collapsed="false">
      <c r="Q126" s="774"/>
      <c r="R126" s="793"/>
      <c r="S126" s="793"/>
      <c r="T126" s="793"/>
      <c r="U126" s="793"/>
      <c r="V126" s="793"/>
      <c r="W126" s="793"/>
      <c r="X126" s="793"/>
      <c r="Y126" s="793"/>
      <c r="Z126" s="793"/>
      <c r="AA126" s="793"/>
      <c r="AB126" s="793"/>
      <c r="AC126" s="793"/>
      <c r="AD126" s="793"/>
      <c r="AE126" s="793"/>
      <c r="AF126" s="793"/>
      <c r="AG126" s="794"/>
      <c r="AH126" s="795"/>
    </row>
    <row r="127" s="762" customFormat="true" ht="13.5" hidden="false" customHeight="false" outlineLevel="0" collapsed="false">
      <c r="Q127" s="774"/>
      <c r="R127" s="793"/>
      <c r="S127" s="793"/>
      <c r="T127" s="793"/>
      <c r="U127" s="793"/>
      <c r="V127" s="793"/>
      <c r="W127" s="793"/>
      <c r="X127" s="793"/>
      <c r="Y127" s="793"/>
      <c r="Z127" s="793"/>
      <c r="AA127" s="793"/>
      <c r="AB127" s="793"/>
      <c r="AC127" s="793"/>
      <c r="AD127" s="793"/>
      <c r="AE127" s="793"/>
      <c r="AF127" s="793"/>
      <c r="AG127" s="794"/>
      <c r="AH127" s="795"/>
    </row>
    <row r="128" s="762" customFormat="true" ht="13.5" hidden="false" customHeight="false" outlineLevel="0" collapsed="false">
      <c r="Q128" s="774"/>
      <c r="R128" s="793"/>
      <c r="S128" s="793"/>
      <c r="T128" s="793"/>
      <c r="U128" s="793"/>
      <c r="V128" s="793"/>
      <c r="W128" s="793"/>
      <c r="X128" s="793"/>
      <c r="Y128" s="793"/>
      <c r="Z128" s="793"/>
      <c r="AA128" s="793"/>
      <c r="AB128" s="793"/>
      <c r="AC128" s="793"/>
      <c r="AD128" s="793"/>
      <c r="AE128" s="793"/>
      <c r="AF128" s="793"/>
      <c r="AG128" s="794"/>
      <c r="AH128" s="795"/>
    </row>
    <row r="129" s="762" customFormat="true" ht="13.5" hidden="false" customHeight="false" outlineLevel="0" collapsed="false">
      <c r="Q129" s="774"/>
      <c r="R129" s="793"/>
      <c r="S129" s="793"/>
      <c r="T129" s="793"/>
      <c r="U129" s="793"/>
      <c r="V129" s="793"/>
      <c r="W129" s="793"/>
      <c r="X129" s="793"/>
      <c r="Y129" s="793"/>
      <c r="Z129" s="793"/>
      <c r="AA129" s="793"/>
      <c r="AB129" s="793"/>
      <c r="AC129" s="793"/>
      <c r="AD129" s="793"/>
      <c r="AE129" s="793"/>
      <c r="AF129" s="793"/>
      <c r="AG129" s="794"/>
      <c r="AH129" s="795"/>
    </row>
    <row r="130" customFormat="false" ht="13.5" hidden="false" customHeight="false" outlineLevel="0" collapsed="false">
      <c r="C130" s="762"/>
      <c r="Q130" s="774"/>
      <c r="R130" s="775"/>
      <c r="S130" s="775"/>
      <c r="T130" s="775"/>
      <c r="U130" s="775"/>
      <c r="V130" s="775"/>
      <c r="W130" s="775"/>
      <c r="X130" s="775"/>
      <c r="Y130" s="775"/>
      <c r="Z130" s="775"/>
      <c r="AA130" s="775"/>
      <c r="AB130" s="775"/>
      <c r="AC130" s="775"/>
      <c r="AD130" s="775"/>
      <c r="AE130" s="775"/>
      <c r="AF130" s="775"/>
      <c r="AG130" s="763"/>
      <c r="AH130" s="776"/>
    </row>
    <row r="131" customFormat="false" ht="13.5" hidden="false" customHeight="false" outlineLevel="0" collapsed="false">
      <c r="B131" s="762"/>
      <c r="Q131" s="787"/>
      <c r="R131" s="775"/>
      <c r="S131" s="775"/>
      <c r="T131" s="775"/>
      <c r="U131" s="775"/>
      <c r="V131" s="775"/>
      <c r="W131" s="775"/>
      <c r="X131" s="775"/>
      <c r="Y131" s="775"/>
      <c r="Z131" s="775"/>
      <c r="AA131" s="775"/>
      <c r="AB131" s="775"/>
      <c r="AC131" s="775"/>
      <c r="AD131" s="775"/>
      <c r="AE131" s="775"/>
      <c r="AF131" s="775"/>
      <c r="AG131" s="775"/>
      <c r="AH131" s="776"/>
    </row>
    <row r="132" s="762" customFormat="true" ht="13.5" hidden="false" customHeight="false" outlineLevel="0" collapsed="false">
      <c r="Q132" s="774"/>
      <c r="R132" s="827"/>
      <c r="S132" s="827"/>
      <c r="T132" s="827"/>
      <c r="U132" s="827"/>
      <c r="V132" s="827"/>
      <c r="W132" s="827"/>
      <c r="X132" s="827"/>
      <c r="Y132" s="827"/>
      <c r="Z132" s="827"/>
      <c r="AA132" s="827"/>
      <c r="AB132" s="827"/>
      <c r="AC132" s="827"/>
      <c r="AD132" s="827"/>
      <c r="AE132" s="827"/>
      <c r="AF132" s="827"/>
      <c r="AG132" s="828"/>
      <c r="AH132" s="795"/>
    </row>
    <row r="133" s="762" customFormat="true" ht="13.5" hidden="false" customHeight="false" outlineLevel="0" collapsed="false">
      <c r="Q133" s="774"/>
      <c r="R133" s="827"/>
      <c r="S133" s="827"/>
      <c r="T133" s="827"/>
      <c r="U133" s="827"/>
      <c r="V133" s="827"/>
      <c r="W133" s="827"/>
      <c r="X133" s="827"/>
      <c r="Y133" s="827"/>
      <c r="Z133" s="827"/>
      <c r="AA133" s="827"/>
      <c r="AB133" s="827"/>
      <c r="AC133" s="827"/>
      <c r="AD133" s="827"/>
      <c r="AE133" s="827"/>
      <c r="AF133" s="827"/>
      <c r="AG133" s="828"/>
      <c r="AH133" s="795"/>
    </row>
    <row r="134" s="762" customFormat="true" ht="13.5" hidden="false" customHeight="false" outlineLevel="0" collapsed="false">
      <c r="Q134" s="774"/>
      <c r="R134" s="827"/>
      <c r="S134" s="827"/>
      <c r="T134" s="827"/>
      <c r="U134" s="827"/>
      <c r="V134" s="827"/>
      <c r="W134" s="827"/>
      <c r="X134" s="827"/>
      <c r="Y134" s="827"/>
      <c r="Z134" s="827"/>
      <c r="AA134" s="827"/>
      <c r="AB134" s="827"/>
      <c r="AC134" s="827"/>
      <c r="AD134" s="827"/>
      <c r="AE134" s="827"/>
      <c r="AF134" s="827"/>
      <c r="AG134" s="828"/>
      <c r="AH134" s="795"/>
    </row>
    <row r="135" s="762" customFormat="true" ht="13.5" hidden="false" customHeight="false" outlineLevel="0" collapsed="false">
      <c r="Q135" s="774"/>
      <c r="R135" s="827"/>
      <c r="S135" s="827"/>
      <c r="T135" s="827"/>
      <c r="U135" s="827"/>
      <c r="V135" s="827"/>
      <c r="W135" s="827"/>
      <c r="X135" s="827"/>
      <c r="Y135" s="827"/>
      <c r="Z135" s="827"/>
      <c r="AA135" s="827"/>
      <c r="AB135" s="827"/>
      <c r="AC135" s="827"/>
      <c r="AD135" s="827"/>
      <c r="AE135" s="827"/>
      <c r="AF135" s="827"/>
      <c r="AG135" s="828"/>
      <c r="AH135" s="795"/>
    </row>
    <row r="136" s="762" customFormat="true" ht="13.5" hidden="false" customHeight="false" outlineLevel="0" collapsed="false">
      <c r="Q136" s="774"/>
      <c r="R136" s="827"/>
      <c r="S136" s="827"/>
      <c r="T136" s="827"/>
      <c r="U136" s="827"/>
      <c r="V136" s="827"/>
      <c r="W136" s="827"/>
      <c r="X136" s="827"/>
      <c r="Y136" s="827"/>
      <c r="Z136" s="827"/>
      <c r="AA136" s="827"/>
      <c r="AB136" s="827"/>
      <c r="AC136" s="827"/>
      <c r="AD136" s="827"/>
      <c r="AE136" s="827"/>
      <c r="AF136" s="827"/>
      <c r="AG136" s="828"/>
      <c r="AH136" s="795"/>
    </row>
    <row r="137" s="762" customFormat="true" ht="13.5" hidden="false" customHeight="false" outlineLevel="0" collapsed="false">
      <c r="Q137" s="774"/>
      <c r="R137" s="827"/>
      <c r="S137" s="827"/>
      <c r="T137" s="827"/>
      <c r="U137" s="827"/>
      <c r="V137" s="827"/>
      <c r="W137" s="827"/>
      <c r="X137" s="827"/>
      <c r="Y137" s="827"/>
      <c r="Z137" s="827"/>
      <c r="AA137" s="827"/>
      <c r="AB137" s="827"/>
      <c r="AC137" s="827"/>
      <c r="AD137" s="827"/>
      <c r="AE137" s="827"/>
      <c r="AF137" s="827"/>
      <c r="AG137" s="828"/>
      <c r="AH137" s="795"/>
    </row>
    <row r="138" s="762" customFormat="true" ht="13.5" hidden="false" customHeight="false" outlineLevel="0" collapsed="false">
      <c r="Q138" s="774"/>
      <c r="R138" s="827"/>
      <c r="S138" s="827"/>
      <c r="T138" s="827"/>
      <c r="U138" s="827"/>
      <c r="V138" s="827"/>
      <c r="W138" s="827"/>
      <c r="X138" s="827"/>
      <c r="Y138" s="827"/>
      <c r="Z138" s="827"/>
      <c r="AA138" s="827"/>
      <c r="AB138" s="827"/>
      <c r="AC138" s="827"/>
      <c r="AD138" s="827"/>
      <c r="AE138" s="827"/>
      <c r="AF138" s="827"/>
      <c r="AG138" s="828"/>
      <c r="AH138" s="795"/>
    </row>
    <row r="139" s="762" customFormat="true" ht="13.5" hidden="false" customHeight="false" outlineLevel="0" collapsed="false">
      <c r="Q139" s="809"/>
      <c r="R139" s="794"/>
      <c r="S139" s="794"/>
      <c r="T139" s="794"/>
      <c r="U139" s="794"/>
      <c r="V139" s="794"/>
      <c r="W139" s="794"/>
      <c r="X139" s="794"/>
      <c r="Y139" s="794"/>
      <c r="Z139" s="794"/>
      <c r="AA139" s="794"/>
      <c r="AB139" s="794"/>
      <c r="AC139" s="794"/>
      <c r="AD139" s="794"/>
      <c r="AE139" s="794"/>
      <c r="AF139" s="794"/>
      <c r="AG139" s="794"/>
      <c r="AH139" s="795"/>
    </row>
    <row r="140" s="762" customFormat="true" ht="13.5" hidden="false" customHeight="false" outlineLevel="0" collapsed="false">
      <c r="Q140" s="831"/>
      <c r="AH140" s="776"/>
    </row>
    <row r="141" s="762" customFormat="true" ht="13.5" hidden="false" customHeight="false" outlineLevel="0" collapsed="false">
      <c r="Q141" s="774"/>
      <c r="R141" s="775"/>
      <c r="S141" s="775"/>
      <c r="T141" s="775"/>
      <c r="U141" s="775"/>
      <c r="V141" s="775"/>
      <c r="W141" s="775"/>
      <c r="X141" s="775"/>
      <c r="Y141" s="775"/>
      <c r="Z141" s="775"/>
      <c r="AA141" s="775"/>
      <c r="AB141" s="775"/>
      <c r="AC141" s="775"/>
      <c r="AD141" s="775"/>
      <c r="AE141" s="775"/>
      <c r="AF141" s="775"/>
      <c r="AG141" s="763"/>
      <c r="AH141" s="776"/>
    </row>
    <row r="142" s="762" customFormat="true" ht="13.5" hidden="false" customHeight="false" outlineLevel="0" collapsed="false">
      <c r="Q142" s="787"/>
      <c r="R142" s="775"/>
      <c r="S142" s="775"/>
      <c r="T142" s="775"/>
      <c r="U142" s="775"/>
      <c r="V142" s="775"/>
      <c r="W142" s="775"/>
      <c r="X142" s="775"/>
      <c r="Y142" s="775"/>
      <c r="Z142" s="775"/>
      <c r="AA142" s="775"/>
      <c r="AB142" s="775"/>
      <c r="AC142" s="775"/>
      <c r="AD142" s="775"/>
      <c r="AE142" s="775"/>
      <c r="AF142" s="775"/>
      <c r="AG142" s="775"/>
      <c r="AH142" s="776"/>
    </row>
    <row r="143" s="762" customFormat="true" ht="13.5" hidden="false" customHeight="false" outlineLevel="0" collapsed="false">
      <c r="Q143" s="774"/>
      <c r="R143" s="793"/>
      <c r="S143" s="793"/>
      <c r="T143" s="793"/>
      <c r="U143" s="793"/>
      <c r="V143" s="793"/>
      <c r="W143" s="793"/>
      <c r="X143" s="793"/>
      <c r="Y143" s="793"/>
      <c r="Z143" s="793"/>
      <c r="AA143" s="793"/>
      <c r="AB143" s="793"/>
      <c r="AC143" s="793"/>
      <c r="AD143" s="793"/>
      <c r="AE143" s="793"/>
      <c r="AF143" s="793"/>
      <c r="AG143" s="794"/>
      <c r="AH143" s="795"/>
    </row>
    <row r="144" s="762" customFormat="true" ht="13.5" hidden="false" customHeight="false" outlineLevel="0" collapsed="false">
      <c r="Q144" s="774"/>
      <c r="R144" s="793"/>
      <c r="S144" s="793"/>
      <c r="T144" s="793"/>
      <c r="U144" s="793"/>
      <c r="V144" s="793"/>
      <c r="W144" s="793"/>
      <c r="X144" s="793"/>
      <c r="Y144" s="793"/>
      <c r="Z144" s="793"/>
      <c r="AA144" s="793"/>
      <c r="AB144" s="793"/>
      <c r="AC144" s="793"/>
      <c r="AD144" s="793"/>
      <c r="AE144" s="793"/>
      <c r="AF144" s="793"/>
      <c r="AG144" s="794"/>
      <c r="AH144" s="795"/>
    </row>
    <row r="145" s="762" customFormat="true" ht="13.5" hidden="false" customHeight="false" outlineLevel="0" collapsed="false">
      <c r="Q145" s="774"/>
      <c r="R145" s="793"/>
      <c r="S145" s="793"/>
      <c r="T145" s="793"/>
      <c r="U145" s="793"/>
      <c r="V145" s="793"/>
      <c r="W145" s="793"/>
      <c r="X145" s="793"/>
      <c r="Y145" s="793"/>
      <c r="Z145" s="793"/>
      <c r="AA145" s="793"/>
      <c r="AB145" s="793"/>
      <c r="AC145" s="793"/>
      <c r="AD145" s="793"/>
      <c r="AE145" s="793"/>
      <c r="AF145" s="793"/>
      <c r="AG145" s="794"/>
      <c r="AH145" s="795"/>
    </row>
    <row r="146" s="762" customFormat="true" ht="13.5" hidden="false" customHeight="false" outlineLevel="0" collapsed="false">
      <c r="Q146" s="774"/>
      <c r="R146" s="793"/>
      <c r="S146" s="793"/>
      <c r="T146" s="793"/>
      <c r="U146" s="793"/>
      <c r="V146" s="793"/>
      <c r="W146" s="793"/>
      <c r="X146" s="793"/>
      <c r="Y146" s="793"/>
      <c r="Z146" s="793"/>
      <c r="AA146" s="793"/>
      <c r="AB146" s="793"/>
      <c r="AC146" s="793"/>
      <c r="AD146" s="793"/>
      <c r="AE146" s="793"/>
      <c r="AF146" s="793"/>
      <c r="AG146" s="794"/>
      <c r="AH146" s="795"/>
    </row>
    <row r="147" s="762" customFormat="true" ht="13.5" hidden="false" customHeight="false" outlineLevel="0" collapsed="false">
      <c r="Q147" s="774"/>
      <c r="R147" s="793"/>
      <c r="S147" s="793"/>
      <c r="T147" s="793"/>
      <c r="U147" s="793"/>
      <c r="V147" s="793"/>
      <c r="W147" s="793"/>
      <c r="X147" s="793"/>
      <c r="Y147" s="793"/>
      <c r="Z147" s="793"/>
      <c r="AA147" s="793"/>
      <c r="AB147" s="793"/>
      <c r="AC147" s="793"/>
      <c r="AD147" s="793"/>
      <c r="AE147" s="793"/>
      <c r="AF147" s="793"/>
      <c r="AG147" s="794"/>
      <c r="AH147" s="795"/>
    </row>
    <row r="148" s="762" customFormat="true" ht="13.5" hidden="false" customHeight="false" outlineLevel="0" collapsed="false">
      <c r="Q148" s="774"/>
      <c r="R148" s="793"/>
      <c r="S148" s="793"/>
      <c r="T148" s="793"/>
      <c r="U148" s="793"/>
      <c r="V148" s="793"/>
      <c r="W148" s="793"/>
      <c r="X148" s="793"/>
      <c r="Y148" s="793"/>
      <c r="Z148" s="793"/>
      <c r="AA148" s="793"/>
      <c r="AB148" s="793"/>
      <c r="AC148" s="793"/>
      <c r="AD148" s="793"/>
      <c r="AE148" s="793"/>
      <c r="AF148" s="793"/>
      <c r="AG148" s="794"/>
      <c r="AH148" s="795"/>
    </row>
    <row r="149" s="762" customFormat="true" ht="13.5" hidden="false" customHeight="false" outlineLevel="0" collapsed="false">
      <c r="Q149" s="774"/>
      <c r="R149" s="793"/>
      <c r="S149" s="793"/>
      <c r="T149" s="793"/>
      <c r="U149" s="793"/>
      <c r="V149" s="793"/>
      <c r="W149" s="793"/>
      <c r="X149" s="793"/>
      <c r="Y149" s="793"/>
      <c r="Z149" s="793"/>
      <c r="AA149" s="793"/>
      <c r="AB149" s="793"/>
      <c r="AC149" s="793"/>
      <c r="AD149" s="793"/>
      <c r="AE149" s="793"/>
      <c r="AF149" s="793"/>
      <c r="AG149" s="794"/>
      <c r="AH149" s="795"/>
    </row>
    <row r="150" s="762" customFormat="true" ht="13.5" hidden="false" customHeight="false" outlineLevel="0" collapsed="false">
      <c r="Q150" s="809"/>
      <c r="R150" s="794"/>
      <c r="S150" s="794"/>
      <c r="T150" s="794"/>
      <c r="U150" s="794"/>
      <c r="V150" s="794"/>
      <c r="W150" s="794"/>
      <c r="X150" s="794"/>
      <c r="Y150" s="794"/>
      <c r="Z150" s="794"/>
      <c r="AA150" s="794"/>
      <c r="AB150" s="794"/>
      <c r="AC150" s="794"/>
      <c r="AD150" s="794"/>
      <c r="AE150" s="794"/>
      <c r="AF150" s="794"/>
      <c r="AG150" s="794"/>
      <c r="AH150" s="795"/>
    </row>
    <row r="151" s="762" customFormat="true" ht="13.5" hidden="false" customHeight="false" outlineLevel="0" collapsed="false">
      <c r="Q151" s="831"/>
      <c r="AH151" s="776"/>
    </row>
    <row r="152" s="762" customFormat="true" ht="13.5" hidden="false" customHeight="false" outlineLevel="0" collapsed="false">
      <c r="Q152" s="774"/>
      <c r="R152" s="775"/>
      <c r="S152" s="775"/>
      <c r="T152" s="775"/>
      <c r="U152" s="775"/>
      <c r="V152" s="775"/>
      <c r="W152" s="775"/>
      <c r="X152" s="775"/>
      <c r="Y152" s="775"/>
      <c r="Z152" s="775"/>
      <c r="AA152" s="775"/>
      <c r="AB152" s="775"/>
      <c r="AC152" s="775"/>
      <c r="AD152" s="775"/>
      <c r="AE152" s="775"/>
      <c r="AF152" s="775"/>
      <c r="AG152" s="763"/>
      <c r="AH152" s="776"/>
    </row>
    <row r="153" s="762" customFormat="true" ht="13.5" hidden="false" customHeight="false" outlineLevel="0" collapsed="false">
      <c r="Q153" s="787"/>
      <c r="R153" s="775"/>
      <c r="S153" s="775"/>
      <c r="T153" s="775"/>
      <c r="U153" s="775"/>
      <c r="V153" s="775"/>
      <c r="W153" s="775"/>
      <c r="X153" s="775"/>
      <c r="Y153" s="775"/>
      <c r="Z153" s="775"/>
      <c r="AA153" s="775"/>
      <c r="AB153" s="775"/>
      <c r="AC153" s="775"/>
      <c r="AD153" s="775"/>
      <c r="AE153" s="775"/>
      <c r="AF153" s="775"/>
      <c r="AG153" s="775"/>
      <c r="AH153" s="776"/>
    </row>
    <row r="154" s="762" customFormat="true" ht="13.5" hidden="false" customHeight="false" outlineLevel="0" collapsed="false">
      <c r="Q154" s="774"/>
      <c r="R154" s="793"/>
      <c r="S154" s="793"/>
      <c r="T154" s="793"/>
      <c r="U154" s="793"/>
      <c r="V154" s="793"/>
      <c r="W154" s="793"/>
      <c r="X154" s="793"/>
      <c r="Y154" s="793"/>
      <c r="Z154" s="793"/>
      <c r="AA154" s="793"/>
      <c r="AB154" s="793"/>
      <c r="AC154" s="793"/>
      <c r="AD154" s="793"/>
      <c r="AE154" s="793"/>
      <c r="AF154" s="793"/>
      <c r="AG154" s="794"/>
      <c r="AH154" s="795"/>
    </row>
    <row r="155" s="762" customFormat="true" ht="13.5" hidden="false" customHeight="false" outlineLevel="0" collapsed="false">
      <c r="Q155" s="774"/>
      <c r="R155" s="793"/>
      <c r="S155" s="793"/>
      <c r="T155" s="793"/>
      <c r="U155" s="793"/>
      <c r="V155" s="793"/>
      <c r="W155" s="793"/>
      <c r="X155" s="793"/>
      <c r="Y155" s="793"/>
      <c r="Z155" s="793"/>
      <c r="AA155" s="793"/>
      <c r="AB155" s="793"/>
      <c r="AC155" s="793"/>
      <c r="AD155" s="793"/>
      <c r="AE155" s="793"/>
      <c r="AF155" s="793"/>
      <c r="AG155" s="794"/>
      <c r="AH155" s="795"/>
    </row>
    <row r="156" s="762" customFormat="true" ht="13.5" hidden="false" customHeight="false" outlineLevel="0" collapsed="false">
      <c r="Q156" s="774"/>
      <c r="R156" s="794"/>
      <c r="S156" s="794"/>
      <c r="T156" s="794"/>
      <c r="U156" s="794"/>
      <c r="V156" s="794"/>
      <c r="W156" s="794"/>
      <c r="X156" s="794"/>
      <c r="Y156" s="794"/>
      <c r="Z156" s="794"/>
      <c r="AA156" s="794"/>
      <c r="AB156" s="794"/>
      <c r="AC156" s="794"/>
      <c r="AD156" s="794"/>
      <c r="AE156" s="794"/>
      <c r="AF156" s="794"/>
      <c r="AG156" s="794"/>
      <c r="AH156" s="776"/>
    </row>
    <row r="157" s="762" customFormat="true" ht="13.5" hidden="false" customHeight="false" outlineLevel="0" collapsed="false">
      <c r="Q157" s="774"/>
      <c r="R157" s="832"/>
      <c r="S157" s="832"/>
      <c r="T157" s="832"/>
      <c r="U157" s="832"/>
      <c r="V157" s="832"/>
      <c r="W157" s="832"/>
      <c r="X157" s="832"/>
      <c r="Y157" s="832"/>
      <c r="Z157" s="832"/>
      <c r="AA157" s="832"/>
      <c r="AB157" s="832"/>
      <c r="AC157" s="832"/>
      <c r="AD157" s="832"/>
      <c r="AE157" s="832"/>
      <c r="AF157" s="832"/>
      <c r="AH157" s="776"/>
    </row>
    <row r="158" s="762" customFormat="true" ht="13.5" hidden="false" customHeight="false" outlineLevel="0" collapsed="false">
      <c r="Q158" s="774"/>
      <c r="R158" s="832"/>
      <c r="S158" s="832"/>
      <c r="T158" s="832"/>
      <c r="U158" s="832"/>
      <c r="V158" s="832"/>
      <c r="W158" s="832"/>
      <c r="X158" s="832"/>
      <c r="Y158" s="832"/>
      <c r="Z158" s="832"/>
      <c r="AA158" s="832"/>
      <c r="AB158" s="832"/>
      <c r="AC158" s="832"/>
      <c r="AD158" s="832"/>
      <c r="AE158" s="832"/>
      <c r="AF158" s="832"/>
      <c r="AH158" s="776"/>
    </row>
    <row r="159" s="762" customFormat="true" ht="13.5" hidden="false" customHeight="false" outlineLevel="0" collapsed="false">
      <c r="Q159" s="774"/>
      <c r="R159" s="775"/>
      <c r="S159" s="775"/>
      <c r="T159" s="775"/>
      <c r="U159" s="775"/>
      <c r="V159" s="775"/>
      <c r="W159" s="775"/>
      <c r="X159" s="775"/>
      <c r="Y159" s="775"/>
      <c r="Z159" s="775"/>
      <c r="AA159" s="775"/>
      <c r="AB159" s="775"/>
      <c r="AC159" s="775"/>
      <c r="AD159" s="775"/>
      <c r="AE159" s="775"/>
      <c r="AF159" s="775"/>
      <c r="AG159" s="794"/>
      <c r="AH159" s="776"/>
    </row>
    <row r="160" s="762" customFormat="true" ht="13.5" hidden="false" customHeight="false" outlineLevel="0" collapsed="false">
      <c r="Q160" s="774"/>
      <c r="R160" s="775"/>
      <c r="S160" s="775"/>
      <c r="T160" s="775"/>
      <c r="U160" s="775"/>
      <c r="V160" s="775"/>
      <c r="W160" s="775"/>
      <c r="X160" s="775"/>
      <c r="Y160" s="775"/>
      <c r="Z160" s="775"/>
      <c r="AA160" s="775"/>
      <c r="AB160" s="775"/>
      <c r="AC160" s="775"/>
      <c r="AD160" s="775"/>
      <c r="AE160" s="775"/>
      <c r="AF160" s="775"/>
      <c r="AG160" s="794"/>
      <c r="AH160" s="776"/>
    </row>
    <row r="161" s="762" customFormat="true" ht="13.5" hidden="false" customHeight="false" outlineLevel="0" collapsed="false">
      <c r="Q161" s="774"/>
      <c r="R161" s="793"/>
      <c r="S161" s="793"/>
      <c r="T161" s="793"/>
      <c r="U161" s="793"/>
      <c r="V161" s="793"/>
      <c r="W161" s="793"/>
      <c r="X161" s="793"/>
      <c r="Y161" s="793"/>
      <c r="Z161" s="793"/>
      <c r="AA161" s="793"/>
      <c r="AB161" s="793"/>
      <c r="AC161" s="793"/>
      <c r="AD161" s="793"/>
      <c r="AE161" s="793"/>
      <c r="AF161" s="793"/>
      <c r="AG161" s="794"/>
      <c r="AH161" s="795"/>
    </row>
    <row r="162" s="762" customFormat="true" ht="13.5" hidden="false" customHeight="false" outlineLevel="0" collapsed="false">
      <c r="Q162" s="774"/>
      <c r="R162" s="793"/>
      <c r="S162" s="793"/>
      <c r="T162" s="793"/>
      <c r="U162" s="793"/>
      <c r="V162" s="793"/>
      <c r="W162" s="793"/>
      <c r="X162" s="793"/>
      <c r="Y162" s="793"/>
      <c r="Z162" s="793"/>
      <c r="AA162" s="793"/>
      <c r="AB162" s="793"/>
      <c r="AC162" s="793"/>
      <c r="AD162" s="793"/>
      <c r="AE162" s="793"/>
      <c r="AF162" s="793"/>
      <c r="AG162" s="794"/>
      <c r="AH162" s="795"/>
    </row>
    <row r="163" s="762" customFormat="true" ht="14.25" hidden="false" customHeight="false" outlineLevel="0" collapsed="false">
      <c r="Q163" s="833"/>
      <c r="R163" s="834"/>
      <c r="S163" s="834"/>
      <c r="T163" s="834"/>
      <c r="U163" s="834"/>
      <c r="V163" s="834"/>
      <c r="W163" s="834"/>
      <c r="X163" s="834"/>
      <c r="Y163" s="834"/>
      <c r="Z163" s="834"/>
      <c r="AA163" s="834"/>
      <c r="AB163" s="834"/>
      <c r="AC163" s="834"/>
      <c r="AD163" s="834"/>
      <c r="AE163" s="834"/>
      <c r="AF163" s="834"/>
      <c r="AG163" s="835"/>
      <c r="AH163" s="836"/>
    </row>
    <row r="164" s="762" customFormat="true" ht="13.5" hidden="false" customHeight="false" outlineLevel="0" collapsed="false">
      <c r="Q164" s="763"/>
    </row>
    <row r="165" s="762" customFormat="true" ht="14.25" hidden="false" customHeight="false" outlineLevel="0" collapsed="false">
      <c r="Q165" s="763"/>
    </row>
    <row r="166" s="762" customFormat="true" ht="13.5" hidden="false" customHeight="false" outlineLevel="0" collapsed="false">
      <c r="Q166" s="771"/>
      <c r="R166" s="772"/>
      <c r="S166" s="772"/>
      <c r="T166" s="772"/>
      <c r="U166" s="772"/>
      <c r="V166" s="772"/>
      <c r="W166" s="772"/>
      <c r="X166" s="772"/>
      <c r="Y166" s="772"/>
      <c r="Z166" s="772"/>
      <c r="AA166" s="772"/>
      <c r="AB166" s="772"/>
      <c r="AC166" s="772"/>
      <c r="AD166" s="772"/>
      <c r="AE166" s="772"/>
      <c r="AF166" s="772"/>
      <c r="AG166" s="772"/>
      <c r="AH166" s="773"/>
    </row>
    <row r="167" s="762" customFormat="true" ht="13.5" hidden="false" customHeight="false" outlineLevel="0" collapsed="false">
      <c r="Q167" s="774"/>
      <c r="R167" s="775"/>
      <c r="S167" s="775"/>
      <c r="T167" s="775"/>
      <c r="U167" s="775"/>
      <c r="V167" s="775"/>
      <c r="W167" s="775"/>
      <c r="X167" s="775"/>
      <c r="Y167" s="775"/>
      <c r="Z167" s="775"/>
      <c r="AA167" s="775"/>
      <c r="AB167" s="775"/>
      <c r="AC167" s="775"/>
      <c r="AD167" s="775"/>
      <c r="AE167" s="775"/>
      <c r="AF167" s="775"/>
      <c r="AG167" s="763"/>
      <c r="AH167" s="776"/>
    </row>
    <row r="168" s="762" customFormat="true" ht="13.5" hidden="false" customHeight="false" outlineLevel="0" collapsed="false">
      <c r="Q168" s="787"/>
      <c r="R168" s="775"/>
      <c r="S168" s="775"/>
      <c r="T168" s="775"/>
      <c r="U168" s="775"/>
      <c r="V168" s="775"/>
      <c r="W168" s="775"/>
      <c r="X168" s="775"/>
      <c r="Y168" s="775"/>
      <c r="Z168" s="775"/>
      <c r="AA168" s="775"/>
      <c r="AB168" s="775"/>
      <c r="AC168" s="775"/>
      <c r="AD168" s="775"/>
      <c r="AE168" s="775"/>
      <c r="AF168" s="775"/>
      <c r="AG168" s="775"/>
      <c r="AH168" s="776"/>
    </row>
    <row r="169" s="762" customFormat="true" ht="13.5" hidden="false" customHeight="false" outlineLevel="0" collapsed="false">
      <c r="Q169" s="774"/>
      <c r="R169" s="793"/>
      <c r="S169" s="793"/>
      <c r="T169" s="793"/>
      <c r="U169" s="793"/>
      <c r="V169" s="793"/>
      <c r="W169" s="793"/>
      <c r="X169" s="793"/>
      <c r="Y169" s="793"/>
      <c r="Z169" s="793"/>
      <c r="AA169" s="793"/>
      <c r="AB169" s="793"/>
      <c r="AC169" s="793"/>
      <c r="AD169" s="793"/>
      <c r="AE169" s="793"/>
      <c r="AF169" s="793"/>
      <c r="AG169" s="794"/>
      <c r="AH169" s="795"/>
    </row>
    <row r="170" s="762" customFormat="true" ht="13.5" hidden="false" customHeight="false" outlineLevel="0" collapsed="false">
      <c r="Q170" s="774"/>
      <c r="R170" s="793"/>
      <c r="S170" s="793"/>
      <c r="T170" s="793"/>
      <c r="U170" s="793"/>
      <c r="V170" s="793"/>
      <c r="W170" s="793"/>
      <c r="X170" s="793"/>
      <c r="Y170" s="793"/>
      <c r="Z170" s="793"/>
      <c r="AA170" s="793"/>
      <c r="AB170" s="793"/>
      <c r="AC170" s="793"/>
      <c r="AD170" s="793"/>
      <c r="AE170" s="793"/>
      <c r="AF170" s="793"/>
      <c r="AG170" s="794"/>
      <c r="AH170" s="795"/>
    </row>
    <row r="171" s="762" customFormat="true" ht="13.5" hidden="false" customHeight="false" outlineLevel="0" collapsed="false">
      <c r="Q171" s="774"/>
      <c r="R171" s="793"/>
      <c r="S171" s="793"/>
      <c r="T171" s="793"/>
      <c r="U171" s="793"/>
      <c r="V171" s="793"/>
      <c r="W171" s="793"/>
      <c r="X171" s="793"/>
      <c r="Y171" s="793"/>
      <c r="Z171" s="793"/>
      <c r="AA171" s="793"/>
      <c r="AB171" s="793"/>
      <c r="AC171" s="793"/>
      <c r="AD171" s="793"/>
      <c r="AE171" s="793"/>
      <c r="AF171" s="793"/>
      <c r="AG171" s="794"/>
      <c r="AH171" s="795"/>
    </row>
    <row r="172" s="762" customFormat="true" ht="13.5" hidden="false" customHeight="false" outlineLevel="0" collapsed="false">
      <c r="Q172" s="774"/>
      <c r="R172" s="793"/>
      <c r="S172" s="793"/>
      <c r="T172" s="793"/>
      <c r="U172" s="793"/>
      <c r="V172" s="793"/>
      <c r="W172" s="793"/>
      <c r="X172" s="793"/>
      <c r="Y172" s="793"/>
      <c r="Z172" s="793"/>
      <c r="AA172" s="793"/>
      <c r="AB172" s="793"/>
      <c r="AC172" s="793"/>
      <c r="AD172" s="793"/>
      <c r="AE172" s="793"/>
      <c r="AF172" s="793"/>
      <c r="AG172" s="794"/>
      <c r="AH172" s="795"/>
    </row>
    <row r="173" s="762" customFormat="true" ht="13.5" hidden="false" customHeight="false" outlineLevel="0" collapsed="false">
      <c r="Q173" s="774"/>
      <c r="R173" s="793"/>
      <c r="S173" s="793"/>
      <c r="T173" s="793"/>
      <c r="U173" s="793"/>
      <c r="V173" s="793"/>
      <c r="W173" s="793"/>
      <c r="X173" s="793"/>
      <c r="Y173" s="793"/>
      <c r="Z173" s="793"/>
      <c r="AA173" s="793"/>
      <c r="AB173" s="793"/>
      <c r="AC173" s="793"/>
      <c r="AD173" s="793"/>
      <c r="AE173" s="793"/>
      <c r="AF173" s="793"/>
      <c r="AG173" s="794"/>
      <c r="AH173" s="795"/>
    </row>
    <row r="174" s="762" customFormat="true" ht="13.5" hidden="false" customHeight="false" outlineLevel="0" collapsed="false">
      <c r="Q174" s="774"/>
      <c r="R174" s="793"/>
      <c r="S174" s="793"/>
      <c r="T174" s="793"/>
      <c r="U174" s="793"/>
      <c r="V174" s="793"/>
      <c r="W174" s="793"/>
      <c r="X174" s="793"/>
      <c r="Y174" s="793"/>
      <c r="Z174" s="793"/>
      <c r="AA174" s="793"/>
      <c r="AB174" s="793"/>
      <c r="AC174" s="793"/>
      <c r="AD174" s="793"/>
      <c r="AE174" s="793"/>
      <c r="AF174" s="793"/>
      <c r="AG174" s="794"/>
      <c r="AH174" s="795"/>
    </row>
    <row r="175" s="762" customFormat="true" ht="13.5" hidden="false" customHeight="false" outlineLevel="0" collapsed="false">
      <c r="Q175" s="774"/>
      <c r="R175" s="793"/>
      <c r="S175" s="793"/>
      <c r="T175" s="793"/>
      <c r="U175" s="793"/>
      <c r="V175" s="793"/>
      <c r="W175" s="793"/>
      <c r="X175" s="793"/>
      <c r="Y175" s="793"/>
      <c r="Z175" s="793"/>
      <c r="AA175" s="793"/>
      <c r="AB175" s="793"/>
      <c r="AC175" s="793"/>
      <c r="AD175" s="793"/>
      <c r="AE175" s="793"/>
      <c r="AF175" s="793"/>
      <c r="AG175" s="794"/>
      <c r="AH175" s="795"/>
    </row>
    <row r="176" s="762" customFormat="true" ht="13.5" hidden="false" customHeight="false" outlineLevel="0" collapsed="false">
      <c r="Q176" s="809"/>
      <c r="R176" s="794"/>
      <c r="S176" s="794"/>
      <c r="T176" s="794"/>
      <c r="U176" s="794"/>
      <c r="V176" s="794"/>
      <c r="W176" s="794"/>
      <c r="X176" s="794"/>
      <c r="Y176" s="794"/>
      <c r="Z176" s="794"/>
      <c r="AA176" s="794"/>
      <c r="AB176" s="794"/>
      <c r="AC176" s="794"/>
      <c r="AD176" s="794"/>
      <c r="AE176" s="794"/>
      <c r="AF176" s="794"/>
      <c r="AG176" s="794"/>
      <c r="AH176" s="795"/>
    </row>
    <row r="177" s="762" customFormat="true" ht="13.5" hidden="false" customHeight="false" outlineLevel="0" collapsed="false">
      <c r="Q177" s="831"/>
      <c r="AH177" s="776"/>
    </row>
    <row r="178" s="762" customFormat="true" ht="13.5" hidden="false" customHeight="false" outlineLevel="0" collapsed="false">
      <c r="Q178" s="774"/>
      <c r="R178" s="775"/>
      <c r="S178" s="775"/>
      <c r="T178" s="775"/>
      <c r="U178" s="775"/>
      <c r="V178" s="775"/>
      <c r="W178" s="775"/>
      <c r="X178" s="775"/>
      <c r="Y178" s="775"/>
      <c r="Z178" s="775"/>
      <c r="AA178" s="775"/>
      <c r="AB178" s="775"/>
      <c r="AC178" s="775"/>
      <c r="AD178" s="775"/>
      <c r="AE178" s="775"/>
      <c r="AF178" s="775"/>
      <c r="AG178" s="763"/>
      <c r="AH178" s="776"/>
    </row>
    <row r="179" s="762" customFormat="true" ht="13.5" hidden="false" customHeight="false" outlineLevel="0" collapsed="false">
      <c r="Q179" s="787"/>
      <c r="R179" s="775"/>
      <c r="S179" s="775"/>
      <c r="T179" s="775"/>
      <c r="U179" s="775"/>
      <c r="V179" s="775"/>
      <c r="W179" s="775"/>
      <c r="X179" s="775"/>
      <c r="Y179" s="775"/>
      <c r="Z179" s="775"/>
      <c r="AA179" s="775"/>
      <c r="AB179" s="775"/>
      <c r="AC179" s="775"/>
      <c r="AD179" s="775"/>
      <c r="AE179" s="775"/>
      <c r="AF179" s="775"/>
      <c r="AG179" s="775"/>
      <c r="AH179" s="776"/>
    </row>
    <row r="180" s="762" customFormat="true" ht="13.5" hidden="false" customHeight="false" outlineLevel="0" collapsed="false">
      <c r="Q180" s="774"/>
      <c r="R180" s="793"/>
      <c r="S180" s="793"/>
      <c r="T180" s="793"/>
      <c r="U180" s="793"/>
      <c r="V180" s="793"/>
      <c r="W180" s="793"/>
      <c r="X180" s="793"/>
      <c r="Y180" s="793"/>
      <c r="Z180" s="793"/>
      <c r="AA180" s="793"/>
      <c r="AB180" s="793"/>
      <c r="AC180" s="793"/>
      <c r="AD180" s="793"/>
      <c r="AE180" s="793"/>
      <c r="AF180" s="793"/>
      <c r="AG180" s="794"/>
      <c r="AH180" s="795"/>
    </row>
    <row r="181" s="762" customFormat="true" ht="13.5" hidden="false" customHeight="false" outlineLevel="0" collapsed="false">
      <c r="Q181" s="774"/>
      <c r="R181" s="793"/>
      <c r="S181" s="793"/>
      <c r="T181" s="793"/>
      <c r="U181" s="793"/>
      <c r="V181" s="793"/>
      <c r="W181" s="793"/>
      <c r="X181" s="793"/>
      <c r="Y181" s="793"/>
      <c r="Z181" s="793"/>
      <c r="AA181" s="793"/>
      <c r="AB181" s="793"/>
      <c r="AC181" s="793"/>
      <c r="AD181" s="793"/>
      <c r="AE181" s="793"/>
      <c r="AF181" s="793"/>
      <c r="AG181" s="794"/>
      <c r="AH181" s="795"/>
    </row>
    <row r="182" s="762" customFormat="true" ht="13.5" hidden="false" customHeight="false" outlineLevel="0" collapsed="false">
      <c r="Q182" s="774"/>
      <c r="R182" s="793"/>
      <c r="S182" s="793"/>
      <c r="T182" s="793"/>
      <c r="U182" s="793"/>
      <c r="V182" s="793"/>
      <c r="W182" s="793"/>
      <c r="X182" s="793"/>
      <c r="Y182" s="793"/>
      <c r="Z182" s="793"/>
      <c r="AA182" s="793"/>
      <c r="AB182" s="793"/>
      <c r="AC182" s="793"/>
      <c r="AD182" s="793"/>
      <c r="AE182" s="793"/>
      <c r="AF182" s="793"/>
      <c r="AG182" s="794"/>
      <c r="AH182" s="795"/>
    </row>
    <row r="183" s="762" customFormat="true" ht="13.5" hidden="false" customHeight="false" outlineLevel="0" collapsed="false">
      <c r="Q183" s="774"/>
      <c r="R183" s="793"/>
      <c r="S183" s="793"/>
      <c r="T183" s="793"/>
      <c r="U183" s="793"/>
      <c r="V183" s="793"/>
      <c r="W183" s="793"/>
      <c r="X183" s="793"/>
      <c r="Y183" s="793"/>
      <c r="Z183" s="793"/>
      <c r="AA183" s="793"/>
      <c r="AB183" s="793"/>
      <c r="AC183" s="793"/>
      <c r="AD183" s="793"/>
      <c r="AE183" s="793"/>
      <c r="AF183" s="793"/>
      <c r="AG183" s="794"/>
      <c r="AH183" s="795"/>
    </row>
    <row r="184" s="762" customFormat="true" ht="13.5" hidden="false" customHeight="false" outlineLevel="0" collapsed="false">
      <c r="Q184" s="774"/>
      <c r="R184" s="793"/>
      <c r="S184" s="793"/>
      <c r="T184" s="793"/>
      <c r="U184" s="793"/>
      <c r="V184" s="793"/>
      <c r="W184" s="793"/>
      <c r="X184" s="793"/>
      <c r="Y184" s="793"/>
      <c r="Z184" s="793"/>
      <c r="AA184" s="793"/>
      <c r="AB184" s="793"/>
      <c r="AC184" s="793"/>
      <c r="AD184" s="793"/>
      <c r="AE184" s="793"/>
      <c r="AF184" s="793"/>
      <c r="AG184" s="794"/>
      <c r="AH184" s="795"/>
    </row>
    <row r="185" s="762" customFormat="true" ht="13.5" hidden="false" customHeight="false" outlineLevel="0" collapsed="false">
      <c r="Q185" s="774"/>
      <c r="R185" s="793"/>
      <c r="S185" s="793"/>
      <c r="T185" s="793"/>
      <c r="U185" s="793"/>
      <c r="V185" s="793"/>
      <c r="W185" s="793"/>
      <c r="X185" s="793"/>
      <c r="Y185" s="793"/>
      <c r="Z185" s="793"/>
      <c r="AA185" s="793"/>
      <c r="AB185" s="793"/>
      <c r="AC185" s="793"/>
      <c r="AD185" s="793"/>
      <c r="AE185" s="793"/>
      <c r="AF185" s="793"/>
      <c r="AG185" s="794"/>
      <c r="AH185" s="795"/>
    </row>
    <row r="186" s="762" customFormat="true" ht="13.5" hidden="false" customHeight="false" outlineLevel="0" collapsed="false">
      <c r="Q186" s="774"/>
      <c r="R186" s="793"/>
      <c r="S186" s="793"/>
      <c r="T186" s="793"/>
      <c r="U186" s="793"/>
      <c r="V186" s="793"/>
      <c r="W186" s="793"/>
      <c r="X186" s="793"/>
      <c r="Y186" s="793"/>
      <c r="Z186" s="793"/>
      <c r="AA186" s="793"/>
      <c r="AB186" s="793"/>
      <c r="AC186" s="793"/>
      <c r="AD186" s="793"/>
      <c r="AE186" s="793"/>
      <c r="AF186" s="793"/>
      <c r="AG186" s="794"/>
      <c r="AH186" s="795"/>
    </row>
    <row r="187" s="762" customFormat="true" ht="13.5" hidden="false" customHeight="false" outlineLevel="0" collapsed="false">
      <c r="Q187" s="774"/>
      <c r="R187" s="793"/>
      <c r="S187" s="793"/>
      <c r="T187" s="793"/>
      <c r="U187" s="793"/>
      <c r="V187" s="793"/>
      <c r="W187" s="793"/>
      <c r="X187" s="793"/>
      <c r="Y187" s="793"/>
      <c r="Z187" s="793"/>
      <c r="AA187" s="793"/>
      <c r="AB187" s="793"/>
      <c r="AC187" s="793"/>
      <c r="AD187" s="793"/>
      <c r="AE187" s="793"/>
      <c r="AF187" s="793"/>
      <c r="AG187" s="794"/>
      <c r="AH187" s="795"/>
    </row>
    <row r="188" s="762" customFormat="true" ht="13.5" hidden="false" customHeight="false" outlineLevel="0" collapsed="false">
      <c r="Q188" s="774"/>
      <c r="R188" s="775"/>
      <c r="S188" s="775"/>
      <c r="T188" s="775"/>
      <c r="U188" s="775"/>
      <c r="V188" s="775"/>
      <c r="W188" s="775"/>
      <c r="X188" s="775"/>
      <c r="Y188" s="775"/>
      <c r="Z188" s="775"/>
      <c r="AA188" s="775"/>
      <c r="AB188" s="775"/>
      <c r="AC188" s="775"/>
      <c r="AD188" s="775"/>
      <c r="AE188" s="775"/>
      <c r="AF188" s="775"/>
      <c r="AG188" s="763"/>
      <c r="AH188" s="776"/>
    </row>
    <row r="189" s="762" customFormat="true" ht="13.5" hidden="false" customHeight="false" outlineLevel="0" collapsed="false">
      <c r="Q189" s="787"/>
      <c r="R189" s="775"/>
      <c r="S189" s="775"/>
      <c r="T189" s="775"/>
      <c r="U189" s="775"/>
      <c r="V189" s="775"/>
      <c r="W189" s="775"/>
      <c r="X189" s="775"/>
      <c r="Y189" s="775"/>
      <c r="Z189" s="775"/>
      <c r="AA189" s="775"/>
      <c r="AB189" s="775"/>
      <c r="AC189" s="775"/>
      <c r="AD189" s="775"/>
      <c r="AE189" s="775"/>
      <c r="AF189" s="775"/>
      <c r="AG189" s="775"/>
      <c r="AH189" s="776"/>
    </row>
    <row r="190" s="762" customFormat="true" ht="13.5" hidden="false" customHeight="false" outlineLevel="0" collapsed="false">
      <c r="Q190" s="774"/>
      <c r="R190" s="827"/>
      <c r="S190" s="827"/>
      <c r="T190" s="827"/>
      <c r="U190" s="827"/>
      <c r="V190" s="827"/>
      <c r="W190" s="827"/>
      <c r="X190" s="827"/>
      <c r="Y190" s="827"/>
      <c r="Z190" s="827"/>
      <c r="AA190" s="827"/>
      <c r="AB190" s="827"/>
      <c r="AC190" s="827"/>
      <c r="AD190" s="827"/>
      <c r="AE190" s="827"/>
      <c r="AF190" s="827"/>
      <c r="AG190" s="828"/>
      <c r="AH190" s="795"/>
    </row>
    <row r="191" s="762" customFormat="true" ht="13.5" hidden="false" customHeight="false" outlineLevel="0" collapsed="false">
      <c r="Q191" s="774"/>
      <c r="R191" s="827"/>
      <c r="S191" s="827"/>
      <c r="T191" s="827"/>
      <c r="U191" s="827"/>
      <c r="V191" s="827"/>
      <c r="W191" s="827"/>
      <c r="X191" s="827"/>
      <c r="Y191" s="827"/>
      <c r="Z191" s="827"/>
      <c r="AA191" s="827"/>
      <c r="AB191" s="827"/>
      <c r="AC191" s="827"/>
      <c r="AD191" s="827"/>
      <c r="AE191" s="827"/>
      <c r="AF191" s="827"/>
      <c r="AG191" s="828"/>
      <c r="AH191" s="795"/>
    </row>
    <row r="192" s="762" customFormat="true" ht="13.5" hidden="false" customHeight="false" outlineLevel="0" collapsed="false">
      <c r="Q192" s="774"/>
      <c r="R192" s="827"/>
      <c r="S192" s="827"/>
      <c r="T192" s="827"/>
      <c r="U192" s="827"/>
      <c r="V192" s="827"/>
      <c r="W192" s="827"/>
      <c r="X192" s="827"/>
      <c r="Y192" s="827"/>
      <c r="Z192" s="827"/>
      <c r="AA192" s="827"/>
      <c r="AB192" s="827"/>
      <c r="AC192" s="827"/>
      <c r="AD192" s="827"/>
      <c r="AE192" s="827"/>
      <c r="AF192" s="827"/>
      <c r="AG192" s="828"/>
      <c r="AH192" s="795"/>
    </row>
    <row r="193" s="762" customFormat="true" ht="13.5" hidden="false" customHeight="false" outlineLevel="0" collapsed="false">
      <c r="Q193" s="774"/>
      <c r="R193" s="827"/>
      <c r="S193" s="827"/>
      <c r="T193" s="827"/>
      <c r="U193" s="827"/>
      <c r="V193" s="827"/>
      <c r="W193" s="827"/>
      <c r="X193" s="827"/>
      <c r="Y193" s="827"/>
      <c r="Z193" s="827"/>
      <c r="AA193" s="827"/>
      <c r="AB193" s="827"/>
      <c r="AC193" s="827"/>
      <c r="AD193" s="827"/>
      <c r="AE193" s="827"/>
      <c r="AF193" s="827"/>
      <c r="AG193" s="828"/>
      <c r="AH193" s="795"/>
    </row>
    <row r="194" s="762" customFormat="true" ht="13.5" hidden="false" customHeight="false" outlineLevel="0" collapsed="false">
      <c r="Q194" s="774"/>
      <c r="R194" s="827"/>
      <c r="S194" s="827"/>
      <c r="T194" s="827"/>
      <c r="U194" s="827"/>
      <c r="V194" s="827"/>
      <c r="W194" s="827"/>
      <c r="X194" s="827"/>
      <c r="Y194" s="827"/>
      <c r="Z194" s="827"/>
      <c r="AA194" s="827"/>
      <c r="AB194" s="827"/>
      <c r="AC194" s="827"/>
      <c r="AD194" s="827"/>
      <c r="AE194" s="827"/>
      <c r="AF194" s="827"/>
      <c r="AG194" s="828"/>
      <c r="AH194" s="795"/>
    </row>
    <row r="195" s="762" customFormat="true" ht="13.5" hidden="false" customHeight="false" outlineLevel="0" collapsed="false">
      <c r="Q195" s="774"/>
      <c r="R195" s="827"/>
      <c r="S195" s="827"/>
      <c r="T195" s="827"/>
      <c r="U195" s="827"/>
      <c r="V195" s="827"/>
      <c r="W195" s="827"/>
      <c r="X195" s="827"/>
      <c r="Y195" s="827"/>
      <c r="Z195" s="827"/>
      <c r="AA195" s="827"/>
      <c r="AB195" s="827"/>
      <c r="AC195" s="827"/>
      <c r="AD195" s="827"/>
      <c r="AE195" s="827"/>
      <c r="AF195" s="827"/>
      <c r="AG195" s="828"/>
      <c r="AH195" s="795"/>
    </row>
    <row r="196" s="762" customFormat="true" ht="13.5" hidden="false" customHeight="false" outlineLevel="0" collapsed="false">
      <c r="Q196" s="774"/>
      <c r="R196" s="827"/>
      <c r="S196" s="827"/>
      <c r="T196" s="827"/>
      <c r="U196" s="827"/>
      <c r="V196" s="827"/>
      <c r="W196" s="827"/>
      <c r="X196" s="827"/>
      <c r="Y196" s="827"/>
      <c r="Z196" s="827"/>
      <c r="AA196" s="827"/>
      <c r="AB196" s="827"/>
      <c r="AC196" s="827"/>
      <c r="AD196" s="827"/>
      <c r="AE196" s="827"/>
      <c r="AF196" s="827"/>
      <c r="AG196" s="828"/>
      <c r="AH196" s="795"/>
    </row>
    <row r="197" s="762" customFormat="true" ht="13.5" hidden="false" customHeight="false" outlineLevel="0" collapsed="false">
      <c r="Q197" s="809"/>
      <c r="R197" s="794"/>
      <c r="S197" s="794"/>
      <c r="T197" s="794"/>
      <c r="U197" s="794"/>
      <c r="V197" s="794"/>
      <c r="W197" s="794"/>
      <c r="X197" s="794"/>
      <c r="Y197" s="794"/>
      <c r="Z197" s="794"/>
      <c r="AA197" s="794"/>
      <c r="AB197" s="794"/>
      <c r="AC197" s="794"/>
      <c r="AD197" s="794"/>
      <c r="AE197" s="794"/>
      <c r="AF197" s="794"/>
      <c r="AG197" s="794"/>
      <c r="AH197" s="795"/>
    </row>
    <row r="198" s="762" customFormat="true" ht="13.5" hidden="false" customHeight="false" outlineLevel="0" collapsed="false">
      <c r="Q198" s="831"/>
      <c r="AH198" s="776"/>
    </row>
    <row r="199" s="762" customFormat="true" ht="13.5" hidden="false" customHeight="false" outlineLevel="0" collapsed="false">
      <c r="Q199" s="774"/>
      <c r="R199" s="775"/>
      <c r="S199" s="775"/>
      <c r="T199" s="775"/>
      <c r="U199" s="775"/>
      <c r="V199" s="775"/>
      <c r="W199" s="775"/>
      <c r="X199" s="775"/>
      <c r="Y199" s="775"/>
      <c r="Z199" s="775"/>
      <c r="AA199" s="775"/>
      <c r="AB199" s="775"/>
      <c r="AC199" s="775"/>
      <c r="AD199" s="775"/>
      <c r="AE199" s="775"/>
      <c r="AF199" s="775"/>
      <c r="AG199" s="763"/>
      <c r="AH199" s="776"/>
    </row>
    <row r="200" s="762" customFormat="true" ht="13.5" hidden="false" customHeight="false" outlineLevel="0" collapsed="false">
      <c r="Q200" s="787"/>
      <c r="R200" s="775"/>
      <c r="S200" s="775"/>
      <c r="T200" s="775"/>
      <c r="U200" s="775"/>
      <c r="V200" s="775"/>
      <c r="W200" s="775"/>
      <c r="X200" s="775"/>
      <c r="Y200" s="775"/>
      <c r="Z200" s="775"/>
      <c r="AA200" s="775"/>
      <c r="AB200" s="775"/>
      <c r="AC200" s="775"/>
      <c r="AD200" s="775"/>
      <c r="AE200" s="775"/>
      <c r="AF200" s="775"/>
      <c r="AG200" s="775"/>
      <c r="AH200" s="776"/>
    </row>
    <row r="201" s="762" customFormat="true" ht="13.5" hidden="false" customHeight="false" outlineLevel="0" collapsed="false">
      <c r="Q201" s="774"/>
      <c r="R201" s="793"/>
      <c r="S201" s="793"/>
      <c r="T201" s="793"/>
      <c r="U201" s="793"/>
      <c r="V201" s="793"/>
      <c r="W201" s="793"/>
      <c r="X201" s="793"/>
      <c r="Y201" s="793"/>
      <c r="Z201" s="793"/>
      <c r="AA201" s="793"/>
      <c r="AB201" s="793"/>
      <c r="AC201" s="793"/>
      <c r="AD201" s="793"/>
      <c r="AE201" s="793"/>
      <c r="AF201" s="793"/>
      <c r="AG201" s="794"/>
      <c r="AH201" s="795"/>
    </row>
    <row r="202" s="762" customFormat="true" ht="13.5" hidden="false" customHeight="false" outlineLevel="0" collapsed="false">
      <c r="Q202" s="774"/>
      <c r="R202" s="793"/>
      <c r="S202" s="793"/>
      <c r="T202" s="793"/>
      <c r="U202" s="793"/>
      <c r="V202" s="793"/>
      <c r="W202" s="793"/>
      <c r="X202" s="793"/>
      <c r="Y202" s="793"/>
      <c r="Z202" s="793"/>
      <c r="AA202" s="793"/>
      <c r="AB202" s="793"/>
      <c r="AC202" s="793"/>
      <c r="AD202" s="793"/>
      <c r="AE202" s="793"/>
      <c r="AF202" s="793"/>
      <c r="AG202" s="794"/>
      <c r="AH202" s="795"/>
    </row>
    <row r="203" s="762" customFormat="true" ht="13.5" hidden="false" customHeight="false" outlineLevel="0" collapsed="false">
      <c r="Q203" s="774"/>
      <c r="R203" s="793"/>
      <c r="S203" s="793"/>
      <c r="T203" s="793"/>
      <c r="U203" s="793"/>
      <c r="V203" s="793"/>
      <c r="W203" s="793"/>
      <c r="X203" s="793"/>
      <c r="Y203" s="793"/>
      <c r="Z203" s="793"/>
      <c r="AA203" s="793"/>
      <c r="AB203" s="793"/>
      <c r="AC203" s="793"/>
      <c r="AD203" s="793"/>
      <c r="AE203" s="793"/>
      <c r="AF203" s="793"/>
      <c r="AG203" s="794"/>
      <c r="AH203" s="795"/>
    </row>
    <row r="204" s="762" customFormat="true" ht="13.5" hidden="false" customHeight="false" outlineLevel="0" collapsed="false">
      <c r="Q204" s="774"/>
      <c r="R204" s="793"/>
      <c r="S204" s="793"/>
      <c r="T204" s="793"/>
      <c r="U204" s="793"/>
      <c r="V204" s="793"/>
      <c r="W204" s="793"/>
      <c r="X204" s="793"/>
      <c r="Y204" s="793"/>
      <c r="Z204" s="793"/>
      <c r="AA204" s="793"/>
      <c r="AB204" s="793"/>
      <c r="AC204" s="793"/>
      <c r="AD204" s="793"/>
      <c r="AE204" s="793"/>
      <c r="AF204" s="793"/>
      <c r="AG204" s="794"/>
      <c r="AH204" s="795"/>
    </row>
    <row r="205" s="762" customFormat="true" ht="13.5" hidden="false" customHeight="false" outlineLevel="0" collapsed="false">
      <c r="Q205" s="774"/>
      <c r="R205" s="793"/>
      <c r="S205" s="793"/>
      <c r="T205" s="793"/>
      <c r="U205" s="793"/>
      <c r="V205" s="793"/>
      <c r="W205" s="793"/>
      <c r="X205" s="793"/>
      <c r="Y205" s="793"/>
      <c r="Z205" s="793"/>
      <c r="AA205" s="793"/>
      <c r="AB205" s="793"/>
      <c r="AC205" s="793"/>
      <c r="AD205" s="793"/>
      <c r="AE205" s="793"/>
      <c r="AF205" s="793"/>
      <c r="AG205" s="794"/>
      <c r="AH205" s="795"/>
    </row>
    <row r="206" s="762" customFormat="true" ht="13.5" hidden="false" customHeight="false" outlineLevel="0" collapsed="false">
      <c r="Q206" s="774"/>
      <c r="R206" s="793"/>
      <c r="S206" s="793"/>
      <c r="T206" s="793"/>
      <c r="U206" s="793"/>
      <c r="V206" s="793"/>
      <c r="W206" s="793"/>
      <c r="X206" s="793"/>
      <c r="Y206" s="793"/>
      <c r="Z206" s="793"/>
      <c r="AA206" s="793"/>
      <c r="AB206" s="793"/>
      <c r="AC206" s="793"/>
      <c r="AD206" s="793"/>
      <c r="AE206" s="793"/>
      <c r="AF206" s="793"/>
      <c r="AG206" s="794"/>
      <c r="AH206" s="795"/>
    </row>
    <row r="207" s="762" customFormat="true" ht="13.5" hidden="false" customHeight="false" outlineLevel="0" collapsed="false">
      <c r="Q207" s="774"/>
      <c r="R207" s="793"/>
      <c r="S207" s="793"/>
      <c r="T207" s="793"/>
      <c r="U207" s="793"/>
      <c r="V207" s="793"/>
      <c r="W207" s="793"/>
      <c r="X207" s="793"/>
      <c r="Y207" s="793"/>
      <c r="Z207" s="793"/>
      <c r="AA207" s="793"/>
      <c r="AB207" s="793"/>
      <c r="AC207" s="793"/>
      <c r="AD207" s="793"/>
      <c r="AE207" s="793"/>
      <c r="AF207" s="793"/>
      <c r="AG207" s="794"/>
      <c r="AH207" s="795"/>
    </row>
    <row r="208" s="762" customFormat="true" ht="13.5" hidden="false" customHeight="false" outlineLevel="0" collapsed="false">
      <c r="Q208" s="809"/>
      <c r="R208" s="794"/>
      <c r="S208" s="794"/>
      <c r="T208" s="794"/>
      <c r="U208" s="794"/>
      <c r="V208" s="794"/>
      <c r="W208" s="794"/>
      <c r="X208" s="794"/>
      <c r="Y208" s="794"/>
      <c r="Z208" s="794"/>
      <c r="AA208" s="794"/>
      <c r="AB208" s="794"/>
      <c r="AC208" s="794"/>
      <c r="AD208" s="794"/>
      <c r="AE208" s="794"/>
      <c r="AF208" s="794"/>
      <c r="AG208" s="794"/>
      <c r="AH208" s="795"/>
    </row>
    <row r="209" s="762" customFormat="true" ht="13.5" hidden="false" customHeight="false" outlineLevel="0" collapsed="false">
      <c r="Q209" s="831"/>
      <c r="AH209" s="776"/>
    </row>
    <row r="210" s="762" customFormat="true" ht="13.5" hidden="false" customHeight="false" outlineLevel="0" collapsed="false">
      <c r="Q210" s="774"/>
      <c r="R210" s="775"/>
      <c r="S210" s="775"/>
      <c r="T210" s="775"/>
      <c r="U210" s="775"/>
      <c r="V210" s="775"/>
      <c r="W210" s="775"/>
      <c r="X210" s="775"/>
      <c r="Y210" s="775"/>
      <c r="Z210" s="775"/>
      <c r="AA210" s="775"/>
      <c r="AB210" s="775"/>
      <c r="AC210" s="775"/>
      <c r="AD210" s="775"/>
      <c r="AE210" s="775"/>
      <c r="AF210" s="775"/>
      <c r="AG210" s="763"/>
      <c r="AH210" s="776"/>
    </row>
    <row r="211" s="762" customFormat="true" ht="13.5" hidden="false" customHeight="false" outlineLevel="0" collapsed="false">
      <c r="Q211" s="787"/>
      <c r="R211" s="775"/>
      <c r="S211" s="775"/>
      <c r="T211" s="775"/>
      <c r="U211" s="775"/>
      <c r="V211" s="775"/>
      <c r="W211" s="775"/>
      <c r="X211" s="775"/>
      <c r="Y211" s="775"/>
      <c r="Z211" s="775"/>
      <c r="AA211" s="775"/>
      <c r="AB211" s="775"/>
      <c r="AC211" s="775"/>
      <c r="AD211" s="775"/>
      <c r="AE211" s="775"/>
      <c r="AF211" s="775"/>
      <c r="AG211" s="775"/>
      <c r="AH211" s="776"/>
    </row>
    <row r="212" s="762" customFormat="true" ht="13.5" hidden="false" customHeight="false" outlineLevel="0" collapsed="false">
      <c r="Q212" s="774"/>
      <c r="R212" s="793"/>
      <c r="S212" s="793"/>
      <c r="T212" s="793"/>
      <c r="U212" s="793"/>
      <c r="V212" s="793"/>
      <c r="W212" s="793"/>
      <c r="X212" s="793"/>
      <c r="Y212" s="793"/>
      <c r="Z212" s="793"/>
      <c r="AA212" s="793"/>
      <c r="AB212" s="793"/>
      <c r="AC212" s="793"/>
      <c r="AD212" s="793"/>
      <c r="AE212" s="793"/>
      <c r="AF212" s="793"/>
      <c r="AG212" s="794"/>
      <c r="AH212" s="795"/>
    </row>
    <row r="213" s="762" customFormat="true" ht="13.5" hidden="false" customHeight="false" outlineLevel="0" collapsed="false">
      <c r="Q213" s="774"/>
      <c r="R213" s="793"/>
      <c r="S213" s="793"/>
      <c r="T213" s="793"/>
      <c r="U213" s="793"/>
      <c r="V213" s="793"/>
      <c r="W213" s="793"/>
      <c r="X213" s="793"/>
      <c r="Y213" s="793"/>
      <c r="Z213" s="793"/>
      <c r="AA213" s="793"/>
      <c r="AB213" s="793"/>
      <c r="AC213" s="793"/>
      <c r="AD213" s="793"/>
      <c r="AE213" s="793"/>
      <c r="AF213" s="793"/>
      <c r="AG213" s="794"/>
      <c r="AH213" s="795"/>
    </row>
    <row r="214" s="762" customFormat="true" ht="13.5" hidden="false" customHeight="false" outlineLevel="0" collapsed="false">
      <c r="Q214" s="774"/>
      <c r="R214" s="794"/>
      <c r="S214" s="794"/>
      <c r="T214" s="794"/>
      <c r="U214" s="794"/>
      <c r="V214" s="794"/>
      <c r="W214" s="794"/>
      <c r="X214" s="794"/>
      <c r="Y214" s="794"/>
      <c r="Z214" s="794"/>
      <c r="AA214" s="794"/>
      <c r="AB214" s="794"/>
      <c r="AC214" s="794"/>
      <c r="AD214" s="794"/>
      <c r="AE214" s="794"/>
      <c r="AF214" s="794"/>
      <c r="AG214" s="794"/>
      <c r="AH214" s="776"/>
    </row>
    <row r="215" s="762" customFormat="true" ht="13.5" hidden="false" customHeight="false" outlineLevel="0" collapsed="false">
      <c r="Q215" s="774"/>
      <c r="R215" s="832"/>
      <c r="S215" s="832"/>
      <c r="T215" s="832"/>
      <c r="U215" s="832"/>
      <c r="V215" s="832"/>
      <c r="W215" s="832"/>
      <c r="X215" s="832"/>
      <c r="Y215" s="832"/>
      <c r="Z215" s="832"/>
      <c r="AA215" s="832"/>
      <c r="AB215" s="832"/>
      <c r="AC215" s="832"/>
      <c r="AD215" s="832"/>
      <c r="AE215" s="832"/>
      <c r="AF215" s="832"/>
      <c r="AH215" s="776"/>
    </row>
    <row r="216" s="762" customFormat="true" ht="13.5" hidden="false" customHeight="false" outlineLevel="0" collapsed="false">
      <c r="Q216" s="774"/>
      <c r="R216" s="832"/>
      <c r="S216" s="832"/>
      <c r="T216" s="832"/>
      <c r="U216" s="832"/>
      <c r="V216" s="832"/>
      <c r="W216" s="832"/>
      <c r="X216" s="832"/>
      <c r="Y216" s="832"/>
      <c r="Z216" s="832"/>
      <c r="AA216" s="832"/>
      <c r="AB216" s="832"/>
      <c r="AC216" s="832"/>
      <c r="AD216" s="832"/>
      <c r="AE216" s="832"/>
      <c r="AF216" s="832"/>
      <c r="AH216" s="776"/>
    </row>
    <row r="217" s="762" customFormat="true" ht="13.5" hidden="false" customHeight="false" outlineLevel="0" collapsed="false">
      <c r="Q217" s="774"/>
      <c r="R217" s="775"/>
      <c r="S217" s="775"/>
      <c r="T217" s="775"/>
      <c r="U217" s="775"/>
      <c r="V217" s="775"/>
      <c r="W217" s="775"/>
      <c r="X217" s="775"/>
      <c r="Y217" s="775"/>
      <c r="Z217" s="775"/>
      <c r="AA217" s="775"/>
      <c r="AB217" s="775"/>
      <c r="AC217" s="775"/>
      <c r="AD217" s="775"/>
      <c r="AE217" s="775"/>
      <c r="AF217" s="775"/>
      <c r="AG217" s="794"/>
      <c r="AH217" s="776"/>
    </row>
    <row r="218" s="762" customFormat="true" ht="13.5" hidden="false" customHeight="false" outlineLevel="0" collapsed="false">
      <c r="Q218" s="774"/>
      <c r="R218" s="775"/>
      <c r="S218" s="775"/>
      <c r="T218" s="775"/>
      <c r="U218" s="775"/>
      <c r="V218" s="775"/>
      <c r="W218" s="775"/>
      <c r="X218" s="775"/>
      <c r="Y218" s="775"/>
      <c r="Z218" s="775"/>
      <c r="AA218" s="775"/>
      <c r="AB218" s="775"/>
      <c r="AC218" s="775"/>
      <c r="AD218" s="775"/>
      <c r="AE218" s="775"/>
      <c r="AF218" s="775"/>
      <c r="AG218" s="794"/>
      <c r="AH218" s="776"/>
    </row>
    <row r="219" s="762" customFormat="true" ht="13.5" hidden="false" customHeight="false" outlineLevel="0" collapsed="false">
      <c r="Q219" s="774"/>
      <c r="R219" s="793"/>
      <c r="S219" s="793"/>
      <c r="T219" s="793"/>
      <c r="U219" s="793"/>
      <c r="V219" s="793"/>
      <c r="W219" s="793"/>
      <c r="X219" s="793"/>
      <c r="Y219" s="793"/>
      <c r="Z219" s="793"/>
      <c r="AA219" s="793"/>
      <c r="AB219" s="793"/>
      <c r="AC219" s="793"/>
      <c r="AD219" s="793"/>
      <c r="AE219" s="793"/>
      <c r="AF219" s="793"/>
      <c r="AG219" s="794"/>
      <c r="AH219" s="795"/>
    </row>
    <row r="220" s="762" customFormat="true" ht="13.5" hidden="false" customHeight="false" outlineLevel="0" collapsed="false">
      <c r="Q220" s="774"/>
      <c r="R220" s="793"/>
      <c r="S220" s="793"/>
      <c r="T220" s="793"/>
      <c r="U220" s="793"/>
      <c r="V220" s="793"/>
      <c r="W220" s="793"/>
      <c r="X220" s="793"/>
      <c r="Y220" s="793"/>
      <c r="Z220" s="793"/>
      <c r="AA220" s="793"/>
      <c r="AB220" s="793"/>
      <c r="AC220" s="793"/>
      <c r="AD220" s="793"/>
      <c r="AE220" s="793"/>
      <c r="AF220" s="793"/>
      <c r="AG220" s="794"/>
      <c r="AH220" s="795"/>
    </row>
    <row r="221" s="762" customFormat="true" ht="14.25" hidden="false" customHeight="false" outlineLevel="0" collapsed="false">
      <c r="Q221" s="833"/>
      <c r="R221" s="834"/>
      <c r="S221" s="834"/>
      <c r="T221" s="834"/>
      <c r="U221" s="834"/>
      <c r="V221" s="834"/>
      <c r="W221" s="834"/>
      <c r="X221" s="834"/>
      <c r="Y221" s="834"/>
      <c r="Z221" s="834"/>
      <c r="AA221" s="834"/>
      <c r="AB221" s="834"/>
      <c r="AC221" s="834"/>
      <c r="AD221" s="834"/>
      <c r="AE221" s="834"/>
      <c r="AF221" s="834"/>
      <c r="AG221" s="835"/>
      <c r="AH221" s="836"/>
    </row>
    <row r="222" s="762" customFormat="true" ht="13.5" hidden="false" customHeight="false" outlineLevel="0" collapsed="false">
      <c r="Q222" s="763"/>
    </row>
    <row r="223" s="762" customFormat="true" ht="14.25" hidden="false" customHeight="false" outlineLevel="0" collapsed="false">
      <c r="Q223" s="763"/>
    </row>
    <row r="224" s="762" customFormat="true" ht="13.5" hidden="false" customHeight="false" outlineLevel="0" collapsed="false">
      <c r="Q224" s="771"/>
      <c r="R224" s="772"/>
      <c r="S224" s="772"/>
      <c r="T224" s="772"/>
      <c r="U224" s="772"/>
      <c r="V224" s="772"/>
      <c r="W224" s="772"/>
      <c r="X224" s="772"/>
      <c r="Y224" s="772"/>
      <c r="Z224" s="772"/>
      <c r="AA224" s="772"/>
      <c r="AB224" s="772"/>
      <c r="AC224" s="772"/>
      <c r="AD224" s="772"/>
      <c r="AE224" s="772"/>
      <c r="AF224" s="772"/>
      <c r="AG224" s="772"/>
      <c r="AH224" s="773"/>
    </row>
    <row r="225" s="762" customFormat="true" ht="13.5" hidden="false" customHeight="false" outlineLevel="0" collapsed="false">
      <c r="Q225" s="774"/>
      <c r="R225" s="775"/>
      <c r="S225" s="775"/>
      <c r="T225" s="775"/>
      <c r="U225" s="775"/>
      <c r="V225" s="775"/>
      <c r="W225" s="775"/>
      <c r="X225" s="775"/>
      <c r="Y225" s="775"/>
      <c r="Z225" s="775"/>
      <c r="AA225" s="775"/>
      <c r="AB225" s="775"/>
      <c r="AC225" s="775"/>
      <c r="AD225" s="775"/>
      <c r="AE225" s="775"/>
      <c r="AF225" s="775"/>
      <c r="AG225" s="763"/>
      <c r="AH225" s="776"/>
    </row>
    <row r="226" s="762" customFormat="true" ht="13.5" hidden="false" customHeight="false" outlineLevel="0" collapsed="false">
      <c r="Q226" s="787"/>
      <c r="R226" s="775"/>
      <c r="S226" s="775"/>
      <c r="T226" s="775"/>
      <c r="U226" s="775"/>
      <c r="V226" s="775"/>
      <c r="W226" s="775"/>
      <c r="X226" s="775"/>
      <c r="Y226" s="775"/>
      <c r="Z226" s="775"/>
      <c r="AA226" s="775"/>
      <c r="AB226" s="775"/>
      <c r="AC226" s="775"/>
      <c r="AD226" s="775"/>
      <c r="AE226" s="775"/>
      <c r="AF226" s="775"/>
      <c r="AG226" s="775"/>
      <c r="AH226" s="776"/>
    </row>
    <row r="227" s="762" customFormat="true" ht="13.5" hidden="false" customHeight="false" outlineLevel="0" collapsed="false">
      <c r="Q227" s="774"/>
      <c r="R227" s="793"/>
      <c r="S227" s="793"/>
      <c r="T227" s="793"/>
      <c r="U227" s="793"/>
      <c r="V227" s="793"/>
      <c r="W227" s="793"/>
      <c r="X227" s="793"/>
      <c r="Y227" s="793"/>
      <c r="Z227" s="793"/>
      <c r="AA227" s="793"/>
      <c r="AB227" s="793"/>
      <c r="AC227" s="793"/>
      <c r="AD227" s="793"/>
      <c r="AE227" s="793"/>
      <c r="AF227" s="793"/>
      <c r="AG227" s="794"/>
      <c r="AH227" s="795"/>
    </row>
    <row r="228" s="762" customFormat="true" ht="13.5" hidden="false" customHeight="false" outlineLevel="0" collapsed="false">
      <c r="Q228" s="774"/>
      <c r="R228" s="793"/>
      <c r="S228" s="793"/>
      <c r="T228" s="793"/>
      <c r="U228" s="793"/>
      <c r="V228" s="793"/>
      <c r="W228" s="793"/>
      <c r="X228" s="793"/>
      <c r="Y228" s="793"/>
      <c r="Z228" s="793"/>
      <c r="AA228" s="793"/>
      <c r="AB228" s="793"/>
      <c r="AC228" s="793"/>
      <c r="AD228" s="793"/>
      <c r="AE228" s="793"/>
      <c r="AF228" s="793"/>
      <c r="AG228" s="794"/>
      <c r="AH228" s="795"/>
    </row>
    <row r="229" s="762" customFormat="true" ht="13.5" hidden="false" customHeight="false" outlineLevel="0" collapsed="false">
      <c r="Q229" s="774"/>
      <c r="R229" s="793"/>
      <c r="S229" s="793"/>
      <c r="T229" s="793"/>
      <c r="U229" s="793"/>
      <c r="V229" s="793"/>
      <c r="W229" s="793"/>
      <c r="X229" s="793"/>
      <c r="Y229" s="793"/>
      <c r="Z229" s="793"/>
      <c r="AA229" s="793"/>
      <c r="AB229" s="793"/>
      <c r="AC229" s="793"/>
      <c r="AD229" s="793"/>
      <c r="AE229" s="793"/>
      <c r="AF229" s="793"/>
      <c r="AG229" s="794"/>
      <c r="AH229" s="795"/>
    </row>
    <row r="230" s="762" customFormat="true" ht="13.5" hidden="false" customHeight="false" outlineLevel="0" collapsed="false">
      <c r="Q230" s="774"/>
      <c r="R230" s="793"/>
      <c r="S230" s="793"/>
      <c r="T230" s="793"/>
      <c r="U230" s="793"/>
      <c r="V230" s="793"/>
      <c r="W230" s="793"/>
      <c r="X230" s="793"/>
      <c r="Y230" s="793"/>
      <c r="Z230" s="793"/>
      <c r="AA230" s="793"/>
      <c r="AB230" s="793"/>
      <c r="AC230" s="793"/>
      <c r="AD230" s="793"/>
      <c r="AE230" s="793"/>
      <c r="AF230" s="793"/>
      <c r="AG230" s="794"/>
      <c r="AH230" s="795"/>
    </row>
    <row r="231" s="762" customFormat="true" ht="13.5" hidden="false" customHeight="false" outlineLevel="0" collapsed="false">
      <c r="Q231" s="774"/>
      <c r="R231" s="793"/>
      <c r="S231" s="793"/>
      <c r="T231" s="793"/>
      <c r="U231" s="793"/>
      <c r="V231" s="793"/>
      <c r="W231" s="793"/>
      <c r="X231" s="793"/>
      <c r="Y231" s="793"/>
      <c r="Z231" s="793"/>
      <c r="AA231" s="793"/>
      <c r="AB231" s="793"/>
      <c r="AC231" s="793"/>
      <c r="AD231" s="793"/>
      <c r="AE231" s="793"/>
      <c r="AF231" s="793"/>
      <c r="AG231" s="794"/>
      <c r="AH231" s="795"/>
    </row>
    <row r="232" s="762" customFormat="true" ht="13.5" hidden="false" customHeight="false" outlineLevel="0" collapsed="false">
      <c r="Q232" s="774"/>
      <c r="R232" s="793"/>
      <c r="S232" s="793"/>
      <c r="T232" s="793"/>
      <c r="U232" s="793"/>
      <c r="V232" s="793"/>
      <c r="W232" s="793"/>
      <c r="X232" s="793"/>
      <c r="Y232" s="793"/>
      <c r="Z232" s="793"/>
      <c r="AA232" s="793"/>
      <c r="AB232" s="793"/>
      <c r="AC232" s="793"/>
      <c r="AD232" s="793"/>
      <c r="AE232" s="793"/>
      <c r="AF232" s="793"/>
      <c r="AG232" s="794"/>
      <c r="AH232" s="795"/>
    </row>
    <row r="233" s="762" customFormat="true" ht="13.5" hidden="false" customHeight="false" outlineLevel="0" collapsed="false">
      <c r="Q233" s="774"/>
      <c r="R233" s="793"/>
      <c r="S233" s="793"/>
      <c r="T233" s="793"/>
      <c r="U233" s="793"/>
      <c r="V233" s="793"/>
      <c r="W233" s="793"/>
      <c r="X233" s="793"/>
      <c r="Y233" s="793"/>
      <c r="Z233" s="793"/>
      <c r="AA233" s="793"/>
      <c r="AB233" s="793"/>
      <c r="AC233" s="793"/>
      <c r="AD233" s="793"/>
      <c r="AE233" s="793"/>
      <c r="AF233" s="793"/>
      <c r="AG233" s="794"/>
      <c r="AH233" s="795"/>
    </row>
    <row r="234" s="762" customFormat="true" ht="13.5" hidden="false" customHeight="false" outlineLevel="0" collapsed="false">
      <c r="Q234" s="809"/>
      <c r="R234" s="794"/>
      <c r="S234" s="794"/>
      <c r="T234" s="794"/>
      <c r="U234" s="794"/>
      <c r="V234" s="794"/>
      <c r="W234" s="794"/>
      <c r="X234" s="794"/>
      <c r="Y234" s="794"/>
      <c r="Z234" s="794"/>
      <c r="AA234" s="794"/>
      <c r="AB234" s="794"/>
      <c r="AC234" s="794"/>
      <c r="AD234" s="794"/>
      <c r="AE234" s="794"/>
      <c r="AF234" s="794"/>
      <c r="AG234" s="794"/>
      <c r="AH234" s="795"/>
    </row>
    <row r="235" s="762" customFormat="true" ht="13.5" hidden="false" customHeight="false" outlineLevel="0" collapsed="false">
      <c r="Q235" s="831"/>
      <c r="AH235" s="776"/>
    </row>
    <row r="236" s="762" customFormat="true" ht="13.5" hidden="false" customHeight="false" outlineLevel="0" collapsed="false">
      <c r="Q236" s="774"/>
      <c r="R236" s="775"/>
      <c r="S236" s="775"/>
      <c r="T236" s="775"/>
      <c r="U236" s="775"/>
      <c r="V236" s="775"/>
      <c r="W236" s="775"/>
      <c r="X236" s="775"/>
      <c r="Y236" s="775"/>
      <c r="Z236" s="775"/>
      <c r="AA236" s="775"/>
      <c r="AB236" s="775"/>
      <c r="AC236" s="775"/>
      <c r="AD236" s="775"/>
      <c r="AE236" s="775"/>
      <c r="AF236" s="775"/>
      <c r="AG236" s="763"/>
      <c r="AH236" s="776"/>
    </row>
    <row r="237" s="762" customFormat="true" ht="13.5" hidden="false" customHeight="false" outlineLevel="0" collapsed="false">
      <c r="Q237" s="787"/>
      <c r="R237" s="775"/>
      <c r="S237" s="775"/>
      <c r="T237" s="775"/>
      <c r="U237" s="775"/>
      <c r="V237" s="775"/>
      <c r="W237" s="775"/>
      <c r="X237" s="775"/>
      <c r="Y237" s="775"/>
      <c r="Z237" s="775"/>
      <c r="AA237" s="775"/>
      <c r="AB237" s="775"/>
      <c r="AC237" s="775"/>
      <c r="AD237" s="775"/>
      <c r="AE237" s="775"/>
      <c r="AF237" s="775"/>
      <c r="AG237" s="775"/>
      <c r="AH237" s="776"/>
    </row>
    <row r="238" s="762" customFormat="true" ht="13.5" hidden="false" customHeight="false" outlineLevel="0" collapsed="false">
      <c r="Q238" s="774"/>
      <c r="R238" s="793"/>
      <c r="S238" s="793"/>
      <c r="T238" s="793"/>
      <c r="U238" s="793"/>
      <c r="V238" s="793"/>
      <c r="W238" s="793"/>
      <c r="X238" s="793"/>
      <c r="Y238" s="793"/>
      <c r="Z238" s="793"/>
      <c r="AA238" s="793"/>
      <c r="AB238" s="793"/>
      <c r="AC238" s="793"/>
      <c r="AD238" s="793"/>
      <c r="AE238" s="793"/>
      <c r="AF238" s="793"/>
      <c r="AG238" s="794"/>
      <c r="AH238" s="795"/>
    </row>
    <row r="239" s="762" customFormat="true" ht="13.5" hidden="false" customHeight="false" outlineLevel="0" collapsed="false">
      <c r="Q239" s="774"/>
      <c r="R239" s="793"/>
      <c r="S239" s="793"/>
      <c r="T239" s="793"/>
      <c r="U239" s="793"/>
      <c r="V239" s="793"/>
      <c r="W239" s="793"/>
      <c r="X239" s="793"/>
      <c r="Y239" s="793"/>
      <c r="Z239" s="793"/>
      <c r="AA239" s="793"/>
      <c r="AB239" s="793"/>
      <c r="AC239" s="793"/>
      <c r="AD239" s="793"/>
      <c r="AE239" s="793"/>
      <c r="AF239" s="793"/>
      <c r="AG239" s="794"/>
      <c r="AH239" s="795"/>
    </row>
    <row r="240" s="762" customFormat="true" ht="13.5" hidden="false" customHeight="false" outlineLevel="0" collapsed="false">
      <c r="Q240" s="774"/>
      <c r="R240" s="793"/>
      <c r="S240" s="793"/>
      <c r="T240" s="793"/>
      <c r="U240" s="793"/>
      <c r="V240" s="793"/>
      <c r="W240" s="793"/>
      <c r="X240" s="793"/>
      <c r="Y240" s="793"/>
      <c r="Z240" s="793"/>
      <c r="AA240" s="793"/>
      <c r="AB240" s="793"/>
      <c r="AC240" s="793"/>
      <c r="AD240" s="793"/>
      <c r="AE240" s="793"/>
      <c r="AF240" s="793"/>
      <c r="AG240" s="794"/>
      <c r="AH240" s="795"/>
    </row>
    <row r="241" s="762" customFormat="true" ht="13.5" hidden="false" customHeight="false" outlineLevel="0" collapsed="false">
      <c r="Q241" s="774"/>
      <c r="R241" s="793"/>
      <c r="S241" s="793"/>
      <c r="T241" s="793"/>
      <c r="U241" s="793"/>
      <c r="V241" s="793"/>
      <c r="W241" s="793"/>
      <c r="X241" s="793"/>
      <c r="Y241" s="793"/>
      <c r="Z241" s="793"/>
      <c r="AA241" s="793"/>
      <c r="AB241" s="793"/>
      <c r="AC241" s="793"/>
      <c r="AD241" s="793"/>
      <c r="AE241" s="793"/>
      <c r="AF241" s="793"/>
      <c r="AG241" s="794"/>
      <c r="AH241" s="795"/>
    </row>
    <row r="242" s="762" customFormat="true" ht="13.5" hidden="false" customHeight="false" outlineLevel="0" collapsed="false">
      <c r="Q242" s="774"/>
      <c r="R242" s="793"/>
      <c r="S242" s="793"/>
      <c r="T242" s="793"/>
      <c r="U242" s="793"/>
      <c r="V242" s="793"/>
      <c r="W242" s="793"/>
      <c r="X242" s="793"/>
      <c r="Y242" s="793"/>
      <c r="Z242" s="793"/>
      <c r="AA242" s="793"/>
      <c r="AB242" s="793"/>
      <c r="AC242" s="793"/>
      <c r="AD242" s="793"/>
      <c r="AE242" s="793"/>
      <c r="AF242" s="793"/>
      <c r="AG242" s="794"/>
      <c r="AH242" s="795"/>
    </row>
    <row r="243" s="762" customFormat="true" ht="13.5" hidden="false" customHeight="false" outlineLevel="0" collapsed="false">
      <c r="Q243" s="774"/>
      <c r="R243" s="793"/>
      <c r="S243" s="793"/>
      <c r="T243" s="793"/>
      <c r="U243" s="793"/>
      <c r="V243" s="793"/>
      <c r="W243" s="793"/>
      <c r="X243" s="793"/>
      <c r="Y243" s="793"/>
      <c r="Z243" s="793"/>
      <c r="AA243" s="793"/>
      <c r="AB243" s="793"/>
      <c r="AC243" s="793"/>
      <c r="AD243" s="793"/>
      <c r="AE243" s="793"/>
      <c r="AF243" s="793"/>
      <c r="AG243" s="794"/>
      <c r="AH243" s="795"/>
    </row>
    <row r="244" s="762" customFormat="true" ht="13.5" hidden="false" customHeight="false" outlineLevel="0" collapsed="false">
      <c r="Q244" s="774"/>
      <c r="R244" s="793"/>
      <c r="S244" s="793"/>
      <c r="T244" s="793"/>
      <c r="U244" s="793"/>
      <c r="V244" s="793"/>
      <c r="W244" s="793"/>
      <c r="X244" s="793"/>
      <c r="Y244" s="793"/>
      <c r="Z244" s="793"/>
      <c r="AA244" s="793"/>
      <c r="AB244" s="793"/>
      <c r="AC244" s="793"/>
      <c r="AD244" s="793"/>
      <c r="AE244" s="793"/>
      <c r="AF244" s="793"/>
      <c r="AG244" s="794"/>
      <c r="AH244" s="795"/>
    </row>
    <row r="245" s="762" customFormat="true" ht="13.5" hidden="false" customHeight="false" outlineLevel="0" collapsed="false">
      <c r="Q245" s="774"/>
      <c r="R245" s="793"/>
      <c r="S245" s="793"/>
      <c r="T245" s="793"/>
      <c r="U245" s="793"/>
      <c r="V245" s="793"/>
      <c r="W245" s="793"/>
      <c r="X245" s="793"/>
      <c r="Y245" s="793"/>
      <c r="Z245" s="793"/>
      <c r="AA245" s="793"/>
      <c r="AB245" s="793"/>
      <c r="AC245" s="793"/>
      <c r="AD245" s="793"/>
      <c r="AE245" s="793"/>
      <c r="AF245" s="793"/>
      <c r="AG245" s="794"/>
      <c r="AH245" s="795"/>
    </row>
    <row r="246" s="762" customFormat="true" ht="13.5" hidden="false" customHeight="false" outlineLevel="0" collapsed="false">
      <c r="Q246" s="774"/>
      <c r="R246" s="775"/>
      <c r="S246" s="775"/>
      <c r="T246" s="775"/>
      <c r="U246" s="775"/>
      <c r="V246" s="775"/>
      <c r="W246" s="775"/>
      <c r="X246" s="775"/>
      <c r="Y246" s="775"/>
      <c r="Z246" s="775"/>
      <c r="AA246" s="775"/>
      <c r="AB246" s="775"/>
      <c r="AC246" s="775"/>
      <c r="AD246" s="775"/>
      <c r="AE246" s="775"/>
      <c r="AF246" s="775"/>
      <c r="AG246" s="763"/>
      <c r="AH246" s="776"/>
    </row>
    <row r="247" s="762" customFormat="true" ht="13.5" hidden="false" customHeight="false" outlineLevel="0" collapsed="false">
      <c r="Q247" s="787"/>
      <c r="R247" s="775"/>
      <c r="S247" s="775"/>
      <c r="T247" s="775"/>
      <c r="U247" s="775"/>
      <c r="V247" s="775"/>
      <c r="W247" s="775"/>
      <c r="X247" s="775"/>
      <c r="Y247" s="775"/>
      <c r="Z247" s="775"/>
      <c r="AA247" s="775"/>
      <c r="AB247" s="775"/>
      <c r="AC247" s="775"/>
      <c r="AD247" s="775"/>
      <c r="AE247" s="775"/>
      <c r="AF247" s="775"/>
      <c r="AG247" s="775"/>
      <c r="AH247" s="776"/>
    </row>
    <row r="248" s="762" customFormat="true" ht="13.5" hidden="false" customHeight="false" outlineLevel="0" collapsed="false">
      <c r="Q248" s="774"/>
      <c r="R248" s="827"/>
      <c r="S248" s="827"/>
      <c r="T248" s="827"/>
      <c r="U248" s="827"/>
      <c r="V248" s="827"/>
      <c r="W248" s="827"/>
      <c r="X248" s="827"/>
      <c r="Y248" s="827"/>
      <c r="Z248" s="827"/>
      <c r="AA248" s="827"/>
      <c r="AB248" s="827"/>
      <c r="AC248" s="827"/>
      <c r="AD248" s="827"/>
      <c r="AE248" s="827"/>
      <c r="AF248" s="827"/>
      <c r="AG248" s="828"/>
      <c r="AH248" s="795"/>
    </row>
    <row r="249" s="762" customFormat="true" ht="13.5" hidden="false" customHeight="false" outlineLevel="0" collapsed="false">
      <c r="Q249" s="774"/>
      <c r="R249" s="827"/>
      <c r="S249" s="827"/>
      <c r="T249" s="827"/>
      <c r="U249" s="827"/>
      <c r="V249" s="827"/>
      <c r="W249" s="827"/>
      <c r="X249" s="827"/>
      <c r="Y249" s="827"/>
      <c r="Z249" s="827"/>
      <c r="AA249" s="827"/>
      <c r="AB249" s="827"/>
      <c r="AC249" s="827"/>
      <c r="AD249" s="827"/>
      <c r="AE249" s="827"/>
      <c r="AF249" s="827"/>
      <c r="AG249" s="828"/>
      <c r="AH249" s="795"/>
    </row>
    <row r="250" s="762" customFormat="true" ht="13.5" hidden="false" customHeight="false" outlineLevel="0" collapsed="false">
      <c r="Q250" s="774"/>
      <c r="R250" s="827"/>
      <c r="S250" s="827"/>
      <c r="T250" s="827"/>
      <c r="U250" s="827"/>
      <c r="V250" s="827"/>
      <c r="W250" s="827"/>
      <c r="X250" s="827"/>
      <c r="Y250" s="827"/>
      <c r="Z250" s="827"/>
      <c r="AA250" s="827"/>
      <c r="AB250" s="827"/>
      <c r="AC250" s="827"/>
      <c r="AD250" s="827"/>
      <c r="AE250" s="827"/>
      <c r="AF250" s="827"/>
      <c r="AG250" s="828"/>
      <c r="AH250" s="795"/>
    </row>
    <row r="251" s="762" customFormat="true" ht="13.5" hidden="false" customHeight="false" outlineLevel="0" collapsed="false">
      <c r="Q251" s="774"/>
      <c r="R251" s="827"/>
      <c r="S251" s="827"/>
      <c r="T251" s="827"/>
      <c r="U251" s="827"/>
      <c r="V251" s="827"/>
      <c r="W251" s="827"/>
      <c r="X251" s="827"/>
      <c r="Y251" s="827"/>
      <c r="Z251" s="827"/>
      <c r="AA251" s="827"/>
      <c r="AB251" s="827"/>
      <c r="AC251" s="827"/>
      <c r="AD251" s="827"/>
      <c r="AE251" s="827"/>
      <c r="AF251" s="827"/>
      <c r="AG251" s="828"/>
      <c r="AH251" s="795"/>
    </row>
    <row r="252" s="762" customFormat="true" ht="13.5" hidden="false" customHeight="false" outlineLevel="0" collapsed="false">
      <c r="Q252" s="774"/>
      <c r="R252" s="827"/>
      <c r="S252" s="827"/>
      <c r="T252" s="827"/>
      <c r="U252" s="827"/>
      <c r="V252" s="827"/>
      <c r="W252" s="827"/>
      <c r="X252" s="827"/>
      <c r="Y252" s="827"/>
      <c r="Z252" s="827"/>
      <c r="AA252" s="827"/>
      <c r="AB252" s="827"/>
      <c r="AC252" s="827"/>
      <c r="AD252" s="827"/>
      <c r="AE252" s="827"/>
      <c r="AF252" s="827"/>
      <c r="AG252" s="828"/>
      <c r="AH252" s="795"/>
    </row>
    <row r="253" s="762" customFormat="true" ht="13.5" hidden="false" customHeight="false" outlineLevel="0" collapsed="false">
      <c r="Q253" s="774"/>
      <c r="R253" s="827"/>
      <c r="S253" s="827"/>
      <c r="T253" s="827"/>
      <c r="U253" s="827"/>
      <c r="V253" s="827"/>
      <c r="W253" s="827"/>
      <c r="X253" s="827"/>
      <c r="Y253" s="827"/>
      <c r="Z253" s="827"/>
      <c r="AA253" s="827"/>
      <c r="AB253" s="827"/>
      <c r="AC253" s="827"/>
      <c r="AD253" s="827"/>
      <c r="AE253" s="827"/>
      <c r="AF253" s="827"/>
      <c r="AG253" s="828"/>
      <c r="AH253" s="795"/>
    </row>
    <row r="254" s="762" customFormat="true" ht="13.5" hidden="false" customHeight="false" outlineLevel="0" collapsed="false">
      <c r="Q254" s="774"/>
      <c r="R254" s="827"/>
      <c r="S254" s="827"/>
      <c r="T254" s="827"/>
      <c r="U254" s="827"/>
      <c r="V254" s="827"/>
      <c r="W254" s="827"/>
      <c r="X254" s="827"/>
      <c r="Y254" s="827"/>
      <c r="Z254" s="827"/>
      <c r="AA254" s="827"/>
      <c r="AB254" s="827"/>
      <c r="AC254" s="827"/>
      <c r="AD254" s="827"/>
      <c r="AE254" s="827"/>
      <c r="AF254" s="827"/>
      <c r="AG254" s="828"/>
      <c r="AH254" s="795"/>
    </row>
    <row r="255" s="762" customFormat="true" ht="13.5" hidden="false" customHeight="false" outlineLevel="0" collapsed="false">
      <c r="Q255" s="809"/>
      <c r="R255" s="794"/>
      <c r="S255" s="794"/>
      <c r="T255" s="794"/>
      <c r="U255" s="794"/>
      <c r="V255" s="794"/>
      <c r="W255" s="794"/>
      <c r="X255" s="794"/>
      <c r="Y255" s="794"/>
      <c r="Z255" s="794"/>
      <c r="AA255" s="794"/>
      <c r="AB255" s="794"/>
      <c r="AC255" s="794"/>
      <c r="AD255" s="794"/>
      <c r="AE255" s="794"/>
      <c r="AF255" s="794"/>
      <c r="AG255" s="794"/>
      <c r="AH255" s="795"/>
    </row>
    <row r="256" s="762" customFormat="true" ht="13.5" hidden="false" customHeight="false" outlineLevel="0" collapsed="false">
      <c r="Q256" s="831"/>
      <c r="AH256" s="776"/>
    </row>
    <row r="257" s="762" customFormat="true" ht="13.5" hidden="false" customHeight="false" outlineLevel="0" collapsed="false">
      <c r="Q257" s="774"/>
      <c r="R257" s="775"/>
      <c r="S257" s="775"/>
      <c r="T257" s="775"/>
      <c r="U257" s="775"/>
      <c r="V257" s="775"/>
      <c r="W257" s="775"/>
      <c r="X257" s="775"/>
      <c r="Y257" s="775"/>
      <c r="Z257" s="775"/>
      <c r="AA257" s="775"/>
      <c r="AB257" s="775"/>
      <c r="AC257" s="775"/>
      <c r="AD257" s="775"/>
      <c r="AE257" s="775"/>
      <c r="AF257" s="775"/>
      <c r="AG257" s="763"/>
      <c r="AH257" s="776"/>
    </row>
    <row r="258" s="762" customFormat="true" ht="13.5" hidden="false" customHeight="false" outlineLevel="0" collapsed="false">
      <c r="Q258" s="787"/>
      <c r="R258" s="775"/>
      <c r="S258" s="775"/>
      <c r="T258" s="775"/>
      <c r="U258" s="775"/>
      <c r="V258" s="775"/>
      <c r="W258" s="775"/>
      <c r="X258" s="775"/>
      <c r="Y258" s="775"/>
      <c r="Z258" s="775"/>
      <c r="AA258" s="775"/>
      <c r="AB258" s="775"/>
      <c r="AC258" s="775"/>
      <c r="AD258" s="775"/>
      <c r="AE258" s="775"/>
      <c r="AF258" s="775"/>
      <c r="AG258" s="775"/>
      <c r="AH258" s="776"/>
    </row>
    <row r="259" s="762" customFormat="true" ht="13.5" hidden="false" customHeight="false" outlineLevel="0" collapsed="false">
      <c r="Q259" s="774"/>
      <c r="R259" s="793"/>
      <c r="S259" s="793"/>
      <c r="T259" s="793"/>
      <c r="U259" s="793"/>
      <c r="V259" s="793"/>
      <c r="W259" s="793"/>
      <c r="X259" s="793"/>
      <c r="Y259" s="793"/>
      <c r="Z259" s="793"/>
      <c r="AA259" s="793"/>
      <c r="AB259" s="793"/>
      <c r="AC259" s="793"/>
      <c r="AD259" s="793"/>
      <c r="AE259" s="793"/>
      <c r="AF259" s="793"/>
      <c r="AG259" s="794"/>
      <c r="AH259" s="795"/>
    </row>
    <row r="260" s="762" customFormat="true" ht="13.5" hidden="false" customHeight="false" outlineLevel="0" collapsed="false">
      <c r="Q260" s="774"/>
      <c r="R260" s="793"/>
      <c r="S260" s="793"/>
      <c r="T260" s="793"/>
      <c r="U260" s="793"/>
      <c r="V260" s="793"/>
      <c r="W260" s="793"/>
      <c r="X260" s="793"/>
      <c r="Y260" s="793"/>
      <c r="Z260" s="793"/>
      <c r="AA260" s="793"/>
      <c r="AB260" s="793"/>
      <c r="AC260" s="793"/>
      <c r="AD260" s="793"/>
      <c r="AE260" s="793"/>
      <c r="AF260" s="793"/>
      <c r="AG260" s="794"/>
      <c r="AH260" s="795"/>
    </row>
    <row r="261" s="762" customFormat="true" ht="13.5" hidden="false" customHeight="false" outlineLevel="0" collapsed="false">
      <c r="Q261" s="774"/>
      <c r="R261" s="793"/>
      <c r="S261" s="793"/>
      <c r="T261" s="793"/>
      <c r="U261" s="793"/>
      <c r="V261" s="793"/>
      <c r="W261" s="793"/>
      <c r="X261" s="793"/>
      <c r="Y261" s="793"/>
      <c r="Z261" s="793"/>
      <c r="AA261" s="793"/>
      <c r="AB261" s="793"/>
      <c r="AC261" s="793"/>
      <c r="AD261" s="793"/>
      <c r="AE261" s="793"/>
      <c r="AF261" s="793"/>
      <c r="AG261" s="794"/>
      <c r="AH261" s="795"/>
    </row>
    <row r="262" s="762" customFormat="true" ht="13.5" hidden="false" customHeight="false" outlineLevel="0" collapsed="false">
      <c r="Q262" s="774"/>
      <c r="R262" s="793"/>
      <c r="S262" s="793"/>
      <c r="T262" s="793"/>
      <c r="U262" s="793"/>
      <c r="V262" s="793"/>
      <c r="W262" s="793"/>
      <c r="X262" s="793"/>
      <c r="Y262" s="793"/>
      <c r="Z262" s="793"/>
      <c r="AA262" s="793"/>
      <c r="AB262" s="793"/>
      <c r="AC262" s="793"/>
      <c r="AD262" s="793"/>
      <c r="AE262" s="793"/>
      <c r="AF262" s="793"/>
      <c r="AG262" s="794"/>
      <c r="AH262" s="795"/>
    </row>
    <row r="263" s="762" customFormat="true" ht="13.5" hidden="false" customHeight="false" outlineLevel="0" collapsed="false">
      <c r="Q263" s="774"/>
      <c r="R263" s="793"/>
      <c r="S263" s="793"/>
      <c r="T263" s="793"/>
      <c r="U263" s="793"/>
      <c r="V263" s="793"/>
      <c r="W263" s="793"/>
      <c r="X263" s="793"/>
      <c r="Y263" s="793"/>
      <c r="Z263" s="793"/>
      <c r="AA263" s="793"/>
      <c r="AB263" s="793"/>
      <c r="AC263" s="793"/>
      <c r="AD263" s="793"/>
      <c r="AE263" s="793"/>
      <c r="AF263" s="793"/>
      <c r="AG263" s="794"/>
      <c r="AH263" s="795"/>
    </row>
    <row r="264" s="762" customFormat="true" ht="13.5" hidden="false" customHeight="false" outlineLevel="0" collapsed="false">
      <c r="Q264" s="774"/>
      <c r="R264" s="793"/>
      <c r="S264" s="793"/>
      <c r="T264" s="793"/>
      <c r="U264" s="793"/>
      <c r="V264" s="793"/>
      <c r="W264" s="793"/>
      <c r="X264" s="793"/>
      <c r="Y264" s="793"/>
      <c r="Z264" s="793"/>
      <c r="AA264" s="793"/>
      <c r="AB264" s="793"/>
      <c r="AC264" s="793"/>
      <c r="AD264" s="793"/>
      <c r="AE264" s="793"/>
      <c r="AF264" s="793"/>
      <c r="AG264" s="794"/>
      <c r="AH264" s="795"/>
    </row>
    <row r="265" s="762" customFormat="true" ht="13.5" hidden="false" customHeight="false" outlineLevel="0" collapsed="false">
      <c r="Q265" s="774"/>
      <c r="R265" s="793"/>
      <c r="S265" s="793"/>
      <c r="T265" s="793"/>
      <c r="U265" s="793"/>
      <c r="V265" s="793"/>
      <c r="W265" s="793"/>
      <c r="X265" s="793"/>
      <c r="Y265" s="793"/>
      <c r="Z265" s="793"/>
      <c r="AA265" s="793"/>
      <c r="AB265" s="793"/>
      <c r="AC265" s="793"/>
      <c r="AD265" s="793"/>
      <c r="AE265" s="793"/>
      <c r="AF265" s="793"/>
      <c r="AG265" s="794"/>
      <c r="AH265" s="795"/>
    </row>
    <row r="266" s="762" customFormat="true" ht="13.5" hidden="false" customHeight="false" outlineLevel="0" collapsed="false">
      <c r="Q266" s="809"/>
      <c r="R266" s="794"/>
      <c r="S266" s="794"/>
      <c r="T266" s="794"/>
      <c r="U266" s="794"/>
      <c r="V266" s="794"/>
      <c r="W266" s="794"/>
      <c r="X266" s="794"/>
      <c r="Y266" s="794"/>
      <c r="Z266" s="794"/>
      <c r="AA266" s="794"/>
      <c r="AB266" s="794"/>
      <c r="AC266" s="794"/>
      <c r="AD266" s="794"/>
      <c r="AE266" s="794"/>
      <c r="AF266" s="794"/>
      <c r="AG266" s="794"/>
      <c r="AH266" s="795"/>
    </row>
    <row r="267" s="762" customFormat="true" ht="13.5" hidden="false" customHeight="false" outlineLevel="0" collapsed="false">
      <c r="Q267" s="831"/>
      <c r="AH267" s="776"/>
    </row>
    <row r="268" s="762" customFormat="true" ht="13.5" hidden="false" customHeight="false" outlineLevel="0" collapsed="false">
      <c r="Q268" s="774"/>
      <c r="R268" s="775"/>
      <c r="S268" s="775"/>
      <c r="T268" s="775"/>
      <c r="U268" s="775"/>
      <c r="V268" s="775"/>
      <c r="W268" s="775"/>
      <c r="X268" s="775"/>
      <c r="Y268" s="775"/>
      <c r="Z268" s="775"/>
      <c r="AA268" s="775"/>
      <c r="AB268" s="775"/>
      <c r="AC268" s="775"/>
      <c r="AD268" s="775"/>
      <c r="AE268" s="775"/>
      <c r="AF268" s="775"/>
      <c r="AG268" s="763"/>
      <c r="AH268" s="776"/>
    </row>
    <row r="269" s="762" customFormat="true" ht="13.5" hidden="false" customHeight="false" outlineLevel="0" collapsed="false">
      <c r="Q269" s="787"/>
      <c r="R269" s="775"/>
      <c r="S269" s="775"/>
      <c r="T269" s="775"/>
      <c r="U269" s="775"/>
      <c r="V269" s="775"/>
      <c r="W269" s="775"/>
      <c r="X269" s="775"/>
      <c r="Y269" s="775"/>
      <c r="Z269" s="775"/>
      <c r="AA269" s="775"/>
      <c r="AB269" s="775"/>
      <c r="AC269" s="775"/>
      <c r="AD269" s="775"/>
      <c r="AE269" s="775"/>
      <c r="AF269" s="775"/>
      <c r="AG269" s="775"/>
      <c r="AH269" s="776"/>
    </row>
    <row r="270" s="762" customFormat="true" ht="13.5" hidden="false" customHeight="false" outlineLevel="0" collapsed="false">
      <c r="Q270" s="774"/>
      <c r="R270" s="793"/>
      <c r="S270" s="793"/>
      <c r="T270" s="793"/>
      <c r="U270" s="793"/>
      <c r="V270" s="793"/>
      <c r="W270" s="793"/>
      <c r="X270" s="793"/>
      <c r="Y270" s="793"/>
      <c r="Z270" s="793"/>
      <c r="AA270" s="793"/>
      <c r="AB270" s="793"/>
      <c r="AC270" s="793"/>
      <c r="AD270" s="793"/>
      <c r="AE270" s="793"/>
      <c r="AF270" s="793"/>
      <c r="AG270" s="794"/>
      <c r="AH270" s="795"/>
    </row>
    <row r="271" s="762" customFormat="true" ht="13.5" hidden="false" customHeight="false" outlineLevel="0" collapsed="false">
      <c r="Q271" s="774"/>
      <c r="R271" s="793"/>
      <c r="S271" s="793"/>
      <c r="T271" s="793"/>
      <c r="U271" s="793"/>
      <c r="V271" s="793"/>
      <c r="W271" s="793"/>
      <c r="X271" s="793"/>
      <c r="Y271" s="793"/>
      <c r="Z271" s="793"/>
      <c r="AA271" s="793"/>
      <c r="AB271" s="793"/>
      <c r="AC271" s="793"/>
      <c r="AD271" s="793"/>
      <c r="AE271" s="793"/>
      <c r="AF271" s="793"/>
      <c r="AG271" s="794"/>
      <c r="AH271" s="795"/>
    </row>
    <row r="272" s="762" customFormat="true" ht="13.5" hidden="false" customHeight="false" outlineLevel="0" collapsed="false">
      <c r="Q272" s="774"/>
      <c r="R272" s="794"/>
      <c r="S272" s="794"/>
      <c r="T272" s="794"/>
      <c r="U272" s="794"/>
      <c r="V272" s="794"/>
      <c r="W272" s="794"/>
      <c r="X272" s="794"/>
      <c r="Y272" s="794"/>
      <c r="Z272" s="794"/>
      <c r="AA272" s="794"/>
      <c r="AB272" s="794"/>
      <c r="AC272" s="794"/>
      <c r="AD272" s="794"/>
      <c r="AE272" s="794"/>
      <c r="AF272" s="794"/>
      <c r="AG272" s="794"/>
      <c r="AH272" s="776"/>
    </row>
    <row r="273" s="762" customFormat="true" ht="13.5" hidden="false" customHeight="false" outlineLevel="0" collapsed="false">
      <c r="Q273" s="774"/>
      <c r="R273" s="832"/>
      <c r="S273" s="832"/>
      <c r="T273" s="832"/>
      <c r="U273" s="832"/>
      <c r="V273" s="832"/>
      <c r="W273" s="832"/>
      <c r="X273" s="832"/>
      <c r="Y273" s="832"/>
      <c r="Z273" s="832"/>
      <c r="AA273" s="832"/>
      <c r="AB273" s="832"/>
      <c r="AC273" s="832"/>
      <c r="AD273" s="832"/>
      <c r="AE273" s="832"/>
      <c r="AF273" s="832"/>
      <c r="AH273" s="776"/>
    </row>
    <row r="274" s="762" customFormat="true" ht="13.5" hidden="false" customHeight="false" outlineLevel="0" collapsed="false">
      <c r="Q274" s="774"/>
      <c r="R274" s="832"/>
      <c r="S274" s="832"/>
      <c r="T274" s="832"/>
      <c r="U274" s="832"/>
      <c r="V274" s="832"/>
      <c r="W274" s="832"/>
      <c r="X274" s="832"/>
      <c r="Y274" s="832"/>
      <c r="Z274" s="832"/>
      <c r="AA274" s="832"/>
      <c r="AB274" s="832"/>
      <c r="AC274" s="832"/>
      <c r="AD274" s="832"/>
      <c r="AE274" s="832"/>
      <c r="AF274" s="832"/>
      <c r="AH274" s="776"/>
    </row>
    <row r="275" s="762" customFormat="true" ht="13.5" hidden="false" customHeight="false" outlineLevel="0" collapsed="false">
      <c r="Q275" s="774"/>
      <c r="R275" s="775"/>
      <c r="S275" s="775"/>
      <c r="T275" s="775"/>
      <c r="U275" s="775"/>
      <c r="V275" s="775"/>
      <c r="W275" s="775"/>
      <c r="X275" s="775"/>
      <c r="Y275" s="775"/>
      <c r="Z275" s="775"/>
      <c r="AA275" s="775"/>
      <c r="AB275" s="775"/>
      <c r="AC275" s="775"/>
      <c r="AD275" s="775"/>
      <c r="AE275" s="775"/>
      <c r="AF275" s="775"/>
      <c r="AG275" s="794"/>
      <c r="AH275" s="776"/>
    </row>
    <row r="276" s="762" customFormat="true" ht="13.5" hidden="false" customHeight="false" outlineLevel="0" collapsed="false">
      <c r="Q276" s="774"/>
      <c r="R276" s="775"/>
      <c r="S276" s="775"/>
      <c r="T276" s="775"/>
      <c r="U276" s="775"/>
      <c r="V276" s="775"/>
      <c r="W276" s="775"/>
      <c r="X276" s="775"/>
      <c r="Y276" s="775"/>
      <c r="Z276" s="775"/>
      <c r="AA276" s="775"/>
      <c r="AB276" s="775"/>
      <c r="AC276" s="775"/>
      <c r="AD276" s="775"/>
      <c r="AE276" s="775"/>
      <c r="AF276" s="775"/>
      <c r="AG276" s="794"/>
      <c r="AH276" s="776"/>
    </row>
    <row r="277" s="762" customFormat="true" ht="13.5" hidden="false" customHeight="false" outlineLevel="0" collapsed="false">
      <c r="Q277" s="774"/>
      <c r="R277" s="793"/>
      <c r="S277" s="793"/>
      <c r="T277" s="793"/>
      <c r="U277" s="793"/>
      <c r="V277" s="793"/>
      <c r="W277" s="793"/>
      <c r="X277" s="793"/>
      <c r="Y277" s="793"/>
      <c r="Z277" s="793"/>
      <c r="AA277" s="793"/>
      <c r="AB277" s="793"/>
      <c r="AC277" s="793"/>
      <c r="AD277" s="793"/>
      <c r="AE277" s="793"/>
      <c r="AF277" s="793"/>
      <c r="AG277" s="794"/>
      <c r="AH277" s="795"/>
    </row>
    <row r="278" s="762" customFormat="true" ht="13.5" hidden="false" customHeight="false" outlineLevel="0" collapsed="false">
      <c r="Q278" s="774"/>
      <c r="R278" s="793"/>
      <c r="S278" s="793"/>
      <c r="T278" s="793"/>
      <c r="U278" s="793"/>
      <c r="V278" s="793"/>
      <c r="W278" s="793"/>
      <c r="X278" s="793"/>
      <c r="Y278" s="793"/>
      <c r="Z278" s="793"/>
      <c r="AA278" s="793"/>
      <c r="AB278" s="793"/>
      <c r="AC278" s="793"/>
      <c r="AD278" s="793"/>
      <c r="AE278" s="793"/>
      <c r="AF278" s="793"/>
      <c r="AG278" s="794"/>
      <c r="AH278" s="795"/>
    </row>
    <row r="279" s="762" customFormat="true" ht="14.25" hidden="false" customHeight="false" outlineLevel="0" collapsed="false">
      <c r="Q279" s="833"/>
      <c r="R279" s="834"/>
      <c r="S279" s="834"/>
      <c r="T279" s="834"/>
      <c r="U279" s="834"/>
      <c r="V279" s="834"/>
      <c r="W279" s="834"/>
      <c r="X279" s="834"/>
      <c r="Y279" s="834"/>
      <c r="Z279" s="834"/>
      <c r="AA279" s="834"/>
      <c r="AB279" s="834"/>
      <c r="AC279" s="834"/>
      <c r="AD279" s="834"/>
      <c r="AE279" s="834"/>
      <c r="AF279" s="834"/>
      <c r="AG279" s="835"/>
      <c r="AH279" s="836"/>
    </row>
    <row r="280" s="762" customFormat="true" ht="13.5" hidden="false" customHeight="false" outlineLevel="0" collapsed="false">
      <c r="Q280" s="763"/>
    </row>
    <row r="281" s="762" customFormat="true" ht="14.25" hidden="false" customHeight="false" outlineLevel="0" collapsed="false">
      <c r="Q281" s="763"/>
    </row>
    <row r="282" s="762" customFormat="true" ht="13.5" hidden="false" customHeight="false" outlineLevel="0" collapsed="false">
      <c r="Q282" s="771"/>
      <c r="R282" s="772"/>
      <c r="S282" s="772"/>
      <c r="T282" s="772"/>
      <c r="U282" s="772"/>
      <c r="V282" s="772"/>
      <c r="W282" s="772"/>
      <c r="X282" s="772"/>
      <c r="Y282" s="772"/>
      <c r="Z282" s="772"/>
      <c r="AA282" s="772"/>
      <c r="AB282" s="772"/>
      <c r="AC282" s="772"/>
      <c r="AD282" s="772"/>
      <c r="AE282" s="772"/>
      <c r="AF282" s="772"/>
      <c r="AG282" s="772"/>
      <c r="AH282" s="773"/>
    </row>
    <row r="283" s="762" customFormat="true" ht="13.5" hidden="false" customHeight="false" outlineLevel="0" collapsed="false">
      <c r="Q283" s="774"/>
      <c r="R283" s="775"/>
      <c r="S283" s="775"/>
      <c r="T283" s="775"/>
      <c r="U283" s="775"/>
      <c r="V283" s="775"/>
      <c r="W283" s="775"/>
      <c r="X283" s="775"/>
      <c r="Y283" s="775"/>
      <c r="Z283" s="775"/>
      <c r="AA283" s="775"/>
      <c r="AB283" s="775"/>
      <c r="AC283" s="775"/>
      <c r="AD283" s="775"/>
      <c r="AE283" s="775"/>
      <c r="AF283" s="775"/>
      <c r="AG283" s="763"/>
      <c r="AH283" s="776"/>
    </row>
    <row r="284" s="762" customFormat="true" ht="13.5" hidden="false" customHeight="false" outlineLevel="0" collapsed="false">
      <c r="Q284" s="787"/>
      <c r="R284" s="775"/>
      <c r="S284" s="775"/>
      <c r="T284" s="775"/>
      <c r="U284" s="775"/>
      <c r="V284" s="775"/>
      <c r="W284" s="775"/>
      <c r="X284" s="775"/>
      <c r="Y284" s="775"/>
      <c r="Z284" s="775"/>
      <c r="AA284" s="775"/>
      <c r="AB284" s="775"/>
      <c r="AC284" s="775"/>
      <c r="AD284" s="775"/>
      <c r="AE284" s="775"/>
      <c r="AF284" s="775"/>
      <c r="AG284" s="775"/>
      <c r="AH284" s="776"/>
    </row>
    <row r="285" s="762" customFormat="true" ht="13.5" hidden="false" customHeight="false" outlineLevel="0" collapsed="false">
      <c r="Q285" s="774"/>
      <c r="R285" s="793"/>
      <c r="S285" s="793"/>
      <c r="T285" s="793"/>
      <c r="U285" s="793"/>
      <c r="V285" s="793"/>
      <c r="W285" s="793"/>
      <c r="X285" s="793"/>
      <c r="Y285" s="793"/>
      <c r="Z285" s="793"/>
      <c r="AA285" s="793"/>
      <c r="AB285" s="793"/>
      <c r="AC285" s="793"/>
      <c r="AD285" s="793"/>
      <c r="AE285" s="793"/>
      <c r="AF285" s="793"/>
      <c r="AG285" s="794"/>
      <c r="AH285" s="795"/>
    </row>
    <row r="286" s="762" customFormat="true" ht="13.5" hidden="false" customHeight="false" outlineLevel="0" collapsed="false">
      <c r="Q286" s="774"/>
      <c r="R286" s="793"/>
      <c r="S286" s="793"/>
      <c r="T286" s="793"/>
      <c r="U286" s="793"/>
      <c r="V286" s="793"/>
      <c r="W286" s="793"/>
      <c r="X286" s="793"/>
      <c r="Y286" s="793"/>
      <c r="Z286" s="793"/>
      <c r="AA286" s="793"/>
      <c r="AB286" s="793"/>
      <c r="AC286" s="793"/>
      <c r="AD286" s="793"/>
      <c r="AE286" s="793"/>
      <c r="AF286" s="793"/>
      <c r="AG286" s="794"/>
      <c r="AH286" s="795"/>
    </row>
    <row r="287" s="762" customFormat="true" ht="13.5" hidden="false" customHeight="false" outlineLevel="0" collapsed="false">
      <c r="Q287" s="774"/>
      <c r="R287" s="793"/>
      <c r="S287" s="793"/>
      <c r="T287" s="793"/>
      <c r="U287" s="793"/>
      <c r="V287" s="793"/>
      <c r="W287" s="793"/>
      <c r="X287" s="793"/>
      <c r="Y287" s="793"/>
      <c r="Z287" s="793"/>
      <c r="AA287" s="793"/>
      <c r="AB287" s="793"/>
      <c r="AC287" s="793"/>
      <c r="AD287" s="793"/>
      <c r="AE287" s="793"/>
      <c r="AF287" s="793"/>
      <c r="AG287" s="794"/>
      <c r="AH287" s="795"/>
    </row>
    <row r="288" s="762" customFormat="true" ht="13.5" hidden="false" customHeight="false" outlineLevel="0" collapsed="false">
      <c r="Q288" s="774"/>
      <c r="R288" s="793"/>
      <c r="S288" s="793"/>
      <c r="T288" s="793"/>
      <c r="U288" s="793"/>
      <c r="V288" s="793"/>
      <c r="W288" s="793"/>
      <c r="X288" s="793"/>
      <c r="Y288" s="793"/>
      <c r="Z288" s="793"/>
      <c r="AA288" s="793"/>
      <c r="AB288" s="793"/>
      <c r="AC288" s="793"/>
      <c r="AD288" s="793"/>
      <c r="AE288" s="793"/>
      <c r="AF288" s="793"/>
      <c r="AG288" s="794"/>
      <c r="AH288" s="795"/>
    </row>
    <row r="289" s="762" customFormat="true" ht="13.5" hidden="false" customHeight="false" outlineLevel="0" collapsed="false">
      <c r="Q289" s="774"/>
      <c r="R289" s="793"/>
      <c r="S289" s="793"/>
      <c r="T289" s="793"/>
      <c r="U289" s="793"/>
      <c r="V289" s="793"/>
      <c r="W289" s="793"/>
      <c r="X289" s="793"/>
      <c r="Y289" s="793"/>
      <c r="Z289" s="793"/>
      <c r="AA289" s="793"/>
      <c r="AB289" s="793"/>
      <c r="AC289" s="793"/>
      <c r="AD289" s="793"/>
      <c r="AE289" s="793"/>
      <c r="AF289" s="793"/>
      <c r="AG289" s="794"/>
      <c r="AH289" s="795"/>
    </row>
    <row r="290" s="762" customFormat="true" ht="13.5" hidden="false" customHeight="false" outlineLevel="0" collapsed="false">
      <c r="Q290" s="774"/>
      <c r="R290" s="793"/>
      <c r="S290" s="793"/>
      <c r="T290" s="793"/>
      <c r="U290" s="793"/>
      <c r="V290" s="793"/>
      <c r="W290" s="793"/>
      <c r="X290" s="793"/>
      <c r="Y290" s="793"/>
      <c r="Z290" s="793"/>
      <c r="AA290" s="793"/>
      <c r="AB290" s="793"/>
      <c r="AC290" s="793"/>
      <c r="AD290" s="793"/>
      <c r="AE290" s="793"/>
      <c r="AF290" s="793"/>
      <c r="AG290" s="794"/>
      <c r="AH290" s="795"/>
    </row>
    <row r="291" s="762" customFormat="true" ht="13.5" hidden="false" customHeight="false" outlineLevel="0" collapsed="false">
      <c r="Q291" s="774"/>
      <c r="R291" s="793"/>
      <c r="S291" s="793"/>
      <c r="T291" s="793"/>
      <c r="U291" s="793"/>
      <c r="V291" s="793"/>
      <c r="W291" s="793"/>
      <c r="X291" s="793"/>
      <c r="Y291" s="793"/>
      <c r="Z291" s="793"/>
      <c r="AA291" s="793"/>
      <c r="AB291" s="793"/>
      <c r="AC291" s="793"/>
      <c r="AD291" s="793"/>
      <c r="AE291" s="793"/>
      <c r="AF291" s="793"/>
      <c r="AG291" s="794"/>
      <c r="AH291" s="795"/>
    </row>
    <row r="292" s="762" customFormat="true" ht="13.5" hidden="false" customHeight="false" outlineLevel="0" collapsed="false">
      <c r="Q292" s="809"/>
      <c r="R292" s="794"/>
      <c r="S292" s="794"/>
      <c r="T292" s="794"/>
      <c r="U292" s="794"/>
      <c r="V292" s="794"/>
      <c r="W292" s="794"/>
      <c r="X292" s="794"/>
      <c r="Y292" s="794"/>
      <c r="Z292" s="794"/>
      <c r="AA292" s="794"/>
      <c r="AB292" s="794"/>
      <c r="AC292" s="794"/>
      <c r="AD292" s="794"/>
      <c r="AE292" s="794"/>
      <c r="AF292" s="794"/>
      <c r="AG292" s="794"/>
      <c r="AH292" s="795"/>
    </row>
    <row r="293" s="762" customFormat="true" ht="13.5" hidden="false" customHeight="false" outlineLevel="0" collapsed="false">
      <c r="Q293" s="831"/>
      <c r="AH293" s="776"/>
    </row>
    <row r="294" s="762" customFormat="true" ht="13.5" hidden="false" customHeight="false" outlineLevel="0" collapsed="false">
      <c r="Q294" s="774"/>
      <c r="R294" s="775"/>
      <c r="S294" s="775"/>
      <c r="T294" s="775"/>
      <c r="U294" s="775"/>
      <c r="V294" s="775"/>
      <c r="W294" s="775"/>
      <c r="X294" s="775"/>
      <c r="Y294" s="775"/>
      <c r="Z294" s="775"/>
      <c r="AA294" s="775"/>
      <c r="AB294" s="775"/>
      <c r="AC294" s="775"/>
      <c r="AD294" s="775"/>
      <c r="AE294" s="775"/>
      <c r="AF294" s="775"/>
      <c r="AG294" s="763"/>
      <c r="AH294" s="776"/>
    </row>
    <row r="295" s="762" customFormat="true" ht="13.5" hidden="false" customHeight="false" outlineLevel="0" collapsed="false">
      <c r="Q295" s="787"/>
      <c r="R295" s="775"/>
      <c r="S295" s="775"/>
      <c r="T295" s="775"/>
      <c r="U295" s="775"/>
      <c r="V295" s="775"/>
      <c r="W295" s="775"/>
      <c r="X295" s="775"/>
      <c r="Y295" s="775"/>
      <c r="Z295" s="775"/>
      <c r="AA295" s="775"/>
      <c r="AB295" s="775"/>
      <c r="AC295" s="775"/>
      <c r="AD295" s="775"/>
      <c r="AE295" s="775"/>
      <c r="AF295" s="775"/>
      <c r="AG295" s="775"/>
      <c r="AH295" s="776"/>
    </row>
    <row r="296" s="762" customFormat="true" ht="13.5" hidden="false" customHeight="false" outlineLevel="0" collapsed="false">
      <c r="Q296" s="774"/>
      <c r="R296" s="793"/>
      <c r="S296" s="793"/>
      <c r="T296" s="793"/>
      <c r="U296" s="793"/>
      <c r="V296" s="793"/>
      <c r="W296" s="793"/>
      <c r="X296" s="793"/>
      <c r="Y296" s="793"/>
      <c r="Z296" s="793"/>
      <c r="AA296" s="793"/>
      <c r="AB296" s="793"/>
      <c r="AC296" s="793"/>
      <c r="AD296" s="793"/>
      <c r="AE296" s="793"/>
      <c r="AF296" s="793"/>
      <c r="AG296" s="794"/>
      <c r="AH296" s="795"/>
    </row>
    <row r="297" s="762" customFormat="true" ht="13.5" hidden="false" customHeight="false" outlineLevel="0" collapsed="false">
      <c r="Q297" s="774"/>
      <c r="R297" s="793"/>
      <c r="S297" s="793"/>
      <c r="T297" s="793"/>
      <c r="U297" s="793"/>
      <c r="V297" s="793"/>
      <c r="W297" s="793"/>
      <c r="X297" s="793"/>
      <c r="Y297" s="793"/>
      <c r="Z297" s="793"/>
      <c r="AA297" s="793"/>
      <c r="AB297" s="793"/>
      <c r="AC297" s="793"/>
      <c r="AD297" s="793"/>
      <c r="AE297" s="793"/>
      <c r="AF297" s="793"/>
      <c r="AG297" s="794"/>
      <c r="AH297" s="795"/>
    </row>
    <row r="298" s="762" customFormat="true" ht="13.5" hidden="false" customHeight="false" outlineLevel="0" collapsed="false">
      <c r="Q298" s="774"/>
      <c r="R298" s="793"/>
      <c r="S298" s="793"/>
      <c r="T298" s="793"/>
      <c r="U298" s="793"/>
      <c r="V298" s="793"/>
      <c r="W298" s="793"/>
      <c r="X298" s="793"/>
      <c r="Y298" s="793"/>
      <c r="Z298" s="793"/>
      <c r="AA298" s="793"/>
      <c r="AB298" s="793"/>
      <c r="AC298" s="793"/>
      <c r="AD298" s="793"/>
      <c r="AE298" s="793"/>
      <c r="AF298" s="793"/>
      <c r="AG298" s="794"/>
      <c r="AH298" s="795"/>
    </row>
    <row r="299" s="762" customFormat="true" ht="13.5" hidden="false" customHeight="false" outlineLevel="0" collapsed="false">
      <c r="Q299" s="774"/>
      <c r="R299" s="793"/>
      <c r="S299" s="793"/>
      <c r="T299" s="793"/>
      <c r="U299" s="793"/>
      <c r="V299" s="793"/>
      <c r="W299" s="793"/>
      <c r="X299" s="793"/>
      <c r="Y299" s="793"/>
      <c r="Z299" s="793"/>
      <c r="AA299" s="793"/>
      <c r="AB299" s="793"/>
      <c r="AC299" s="793"/>
      <c r="AD299" s="793"/>
      <c r="AE299" s="793"/>
      <c r="AF299" s="793"/>
      <c r="AG299" s="794"/>
      <c r="AH299" s="795"/>
    </row>
    <row r="300" s="762" customFormat="true" ht="13.5" hidden="false" customHeight="false" outlineLevel="0" collapsed="false">
      <c r="Q300" s="774"/>
      <c r="R300" s="793"/>
      <c r="S300" s="793"/>
      <c r="T300" s="793"/>
      <c r="U300" s="793"/>
      <c r="V300" s="793"/>
      <c r="W300" s="793"/>
      <c r="X300" s="793"/>
      <c r="Y300" s="793"/>
      <c r="Z300" s="793"/>
      <c r="AA300" s="793"/>
      <c r="AB300" s="793"/>
      <c r="AC300" s="793"/>
      <c r="AD300" s="793"/>
      <c r="AE300" s="793"/>
      <c r="AF300" s="793"/>
      <c r="AG300" s="794"/>
      <c r="AH300" s="795"/>
    </row>
    <row r="301" s="762" customFormat="true" ht="13.5" hidden="false" customHeight="false" outlineLevel="0" collapsed="false">
      <c r="Q301" s="774"/>
      <c r="R301" s="793"/>
      <c r="S301" s="793"/>
      <c r="T301" s="793"/>
      <c r="U301" s="793"/>
      <c r="V301" s="793"/>
      <c r="W301" s="793"/>
      <c r="X301" s="793"/>
      <c r="Y301" s="793"/>
      <c r="Z301" s="793"/>
      <c r="AA301" s="793"/>
      <c r="AB301" s="793"/>
      <c r="AC301" s="793"/>
      <c r="AD301" s="793"/>
      <c r="AE301" s="793"/>
      <c r="AF301" s="793"/>
      <c r="AG301" s="794"/>
      <c r="AH301" s="795"/>
    </row>
    <row r="302" s="762" customFormat="true" ht="13.5" hidden="false" customHeight="false" outlineLevel="0" collapsed="false">
      <c r="Q302" s="774"/>
      <c r="R302" s="793"/>
      <c r="S302" s="793"/>
      <c r="T302" s="793"/>
      <c r="U302" s="793"/>
      <c r="V302" s="793"/>
      <c r="W302" s="793"/>
      <c r="X302" s="793"/>
      <c r="Y302" s="793"/>
      <c r="Z302" s="793"/>
      <c r="AA302" s="793"/>
      <c r="AB302" s="793"/>
      <c r="AC302" s="793"/>
      <c r="AD302" s="793"/>
      <c r="AE302" s="793"/>
      <c r="AF302" s="793"/>
      <c r="AG302" s="794"/>
      <c r="AH302" s="795"/>
    </row>
    <row r="303" s="762" customFormat="true" ht="13.5" hidden="false" customHeight="false" outlineLevel="0" collapsed="false">
      <c r="Q303" s="774"/>
      <c r="R303" s="793"/>
      <c r="S303" s="793"/>
      <c r="T303" s="793"/>
      <c r="U303" s="793"/>
      <c r="V303" s="793"/>
      <c r="W303" s="793"/>
      <c r="X303" s="793"/>
      <c r="Y303" s="793"/>
      <c r="Z303" s="793"/>
      <c r="AA303" s="793"/>
      <c r="AB303" s="793"/>
      <c r="AC303" s="793"/>
      <c r="AD303" s="793"/>
      <c r="AE303" s="793"/>
      <c r="AF303" s="793"/>
      <c r="AG303" s="794"/>
      <c r="AH303" s="795"/>
    </row>
    <row r="304" s="762" customFormat="true" ht="13.5" hidden="false" customHeight="false" outlineLevel="0" collapsed="false">
      <c r="Q304" s="774"/>
      <c r="R304" s="775"/>
      <c r="S304" s="775"/>
      <c r="T304" s="775"/>
      <c r="U304" s="775"/>
      <c r="V304" s="775"/>
      <c r="W304" s="775"/>
      <c r="X304" s="775"/>
      <c r="Y304" s="775"/>
      <c r="Z304" s="775"/>
      <c r="AA304" s="775"/>
      <c r="AB304" s="775"/>
      <c r="AC304" s="775"/>
      <c r="AD304" s="775"/>
      <c r="AE304" s="775"/>
      <c r="AF304" s="775"/>
      <c r="AG304" s="763"/>
      <c r="AH304" s="776"/>
    </row>
    <row r="305" s="762" customFormat="true" ht="13.5" hidden="false" customHeight="false" outlineLevel="0" collapsed="false">
      <c r="Q305" s="787"/>
      <c r="R305" s="775"/>
      <c r="S305" s="775"/>
      <c r="T305" s="775"/>
      <c r="U305" s="775"/>
      <c r="V305" s="775"/>
      <c r="W305" s="775"/>
      <c r="X305" s="775"/>
      <c r="Y305" s="775"/>
      <c r="Z305" s="775"/>
      <c r="AA305" s="775"/>
      <c r="AB305" s="775"/>
      <c r="AC305" s="775"/>
      <c r="AD305" s="775"/>
      <c r="AE305" s="775"/>
      <c r="AF305" s="775"/>
      <c r="AG305" s="775"/>
      <c r="AH305" s="776"/>
    </row>
    <row r="306" s="762" customFormat="true" ht="13.5" hidden="false" customHeight="false" outlineLevel="0" collapsed="false">
      <c r="Q306" s="774"/>
      <c r="R306" s="827"/>
      <c r="S306" s="827"/>
      <c r="T306" s="827"/>
      <c r="U306" s="827"/>
      <c r="V306" s="827"/>
      <c r="W306" s="827"/>
      <c r="X306" s="827"/>
      <c r="Y306" s="827"/>
      <c r="Z306" s="827"/>
      <c r="AA306" s="827"/>
      <c r="AB306" s="827"/>
      <c r="AC306" s="827"/>
      <c r="AD306" s="827"/>
      <c r="AE306" s="827"/>
      <c r="AF306" s="827"/>
      <c r="AG306" s="828"/>
      <c r="AH306" s="795"/>
    </row>
    <row r="307" s="762" customFormat="true" ht="13.5" hidden="false" customHeight="false" outlineLevel="0" collapsed="false">
      <c r="Q307" s="774"/>
      <c r="R307" s="827"/>
      <c r="S307" s="827"/>
      <c r="T307" s="827"/>
      <c r="U307" s="827"/>
      <c r="V307" s="827"/>
      <c r="W307" s="827"/>
      <c r="X307" s="827"/>
      <c r="Y307" s="827"/>
      <c r="Z307" s="827"/>
      <c r="AA307" s="827"/>
      <c r="AB307" s="827"/>
      <c r="AC307" s="827"/>
      <c r="AD307" s="827"/>
      <c r="AE307" s="827"/>
      <c r="AF307" s="827"/>
      <c r="AG307" s="828"/>
      <c r="AH307" s="795"/>
    </row>
    <row r="308" s="762" customFormat="true" ht="13.5" hidden="false" customHeight="false" outlineLevel="0" collapsed="false">
      <c r="Q308" s="774"/>
      <c r="R308" s="827"/>
      <c r="S308" s="827"/>
      <c r="T308" s="827"/>
      <c r="U308" s="827"/>
      <c r="V308" s="827"/>
      <c r="W308" s="827"/>
      <c r="X308" s="827"/>
      <c r="Y308" s="827"/>
      <c r="Z308" s="827"/>
      <c r="AA308" s="827"/>
      <c r="AB308" s="827"/>
      <c r="AC308" s="827"/>
      <c r="AD308" s="827"/>
      <c r="AE308" s="827"/>
      <c r="AF308" s="827"/>
      <c r="AG308" s="828"/>
      <c r="AH308" s="795"/>
    </row>
    <row r="309" s="762" customFormat="true" ht="13.5" hidden="false" customHeight="false" outlineLevel="0" collapsed="false">
      <c r="Q309" s="774"/>
      <c r="R309" s="827"/>
      <c r="S309" s="827"/>
      <c r="T309" s="827"/>
      <c r="U309" s="827"/>
      <c r="V309" s="827"/>
      <c r="W309" s="827"/>
      <c r="X309" s="827"/>
      <c r="Y309" s="827"/>
      <c r="Z309" s="827"/>
      <c r="AA309" s="827"/>
      <c r="AB309" s="827"/>
      <c r="AC309" s="827"/>
      <c r="AD309" s="827"/>
      <c r="AE309" s="827"/>
      <c r="AF309" s="827"/>
      <c r="AG309" s="828"/>
      <c r="AH309" s="795"/>
    </row>
    <row r="310" s="762" customFormat="true" ht="13.5" hidden="false" customHeight="false" outlineLevel="0" collapsed="false">
      <c r="Q310" s="774"/>
      <c r="R310" s="827"/>
      <c r="S310" s="827"/>
      <c r="T310" s="827"/>
      <c r="U310" s="827"/>
      <c r="V310" s="827"/>
      <c r="W310" s="827"/>
      <c r="X310" s="827"/>
      <c r="Y310" s="827"/>
      <c r="Z310" s="827"/>
      <c r="AA310" s="827"/>
      <c r="AB310" s="827"/>
      <c r="AC310" s="827"/>
      <c r="AD310" s="827"/>
      <c r="AE310" s="827"/>
      <c r="AF310" s="827"/>
      <c r="AG310" s="828"/>
      <c r="AH310" s="795"/>
    </row>
    <row r="311" s="762" customFormat="true" ht="13.5" hidden="false" customHeight="false" outlineLevel="0" collapsed="false">
      <c r="Q311" s="774"/>
      <c r="R311" s="827"/>
      <c r="S311" s="827"/>
      <c r="T311" s="827"/>
      <c r="U311" s="827"/>
      <c r="V311" s="827"/>
      <c r="W311" s="827"/>
      <c r="X311" s="827"/>
      <c r="Y311" s="827"/>
      <c r="Z311" s="827"/>
      <c r="AA311" s="827"/>
      <c r="AB311" s="827"/>
      <c r="AC311" s="827"/>
      <c r="AD311" s="827"/>
      <c r="AE311" s="827"/>
      <c r="AF311" s="827"/>
      <c r="AG311" s="828"/>
      <c r="AH311" s="795"/>
    </row>
    <row r="312" s="762" customFormat="true" ht="13.5" hidden="false" customHeight="false" outlineLevel="0" collapsed="false">
      <c r="Q312" s="774"/>
      <c r="R312" s="827"/>
      <c r="S312" s="827"/>
      <c r="T312" s="827"/>
      <c r="U312" s="827"/>
      <c r="V312" s="827"/>
      <c r="W312" s="827"/>
      <c r="X312" s="827"/>
      <c r="Y312" s="827"/>
      <c r="Z312" s="827"/>
      <c r="AA312" s="827"/>
      <c r="AB312" s="827"/>
      <c r="AC312" s="827"/>
      <c r="AD312" s="827"/>
      <c r="AE312" s="827"/>
      <c r="AF312" s="827"/>
      <c r="AG312" s="828"/>
      <c r="AH312" s="795"/>
    </row>
    <row r="313" s="762" customFormat="true" ht="13.5" hidden="false" customHeight="false" outlineLevel="0" collapsed="false">
      <c r="Q313" s="809"/>
      <c r="R313" s="794"/>
      <c r="S313" s="794"/>
      <c r="T313" s="794"/>
      <c r="U313" s="794"/>
      <c r="V313" s="794"/>
      <c r="W313" s="794"/>
      <c r="X313" s="794"/>
      <c r="Y313" s="794"/>
      <c r="Z313" s="794"/>
      <c r="AA313" s="794"/>
      <c r="AB313" s="794"/>
      <c r="AC313" s="794"/>
      <c r="AD313" s="794"/>
      <c r="AE313" s="794"/>
      <c r="AF313" s="794"/>
      <c r="AG313" s="794"/>
      <c r="AH313" s="795"/>
    </row>
    <row r="314" s="762" customFormat="true" ht="13.5" hidden="false" customHeight="false" outlineLevel="0" collapsed="false">
      <c r="Q314" s="831"/>
      <c r="AH314" s="776"/>
    </row>
    <row r="315" s="762" customFormat="true" ht="13.5" hidden="false" customHeight="false" outlineLevel="0" collapsed="false">
      <c r="Q315" s="774"/>
      <c r="R315" s="775"/>
      <c r="S315" s="775"/>
      <c r="T315" s="775"/>
      <c r="U315" s="775"/>
      <c r="V315" s="775"/>
      <c r="W315" s="775"/>
      <c r="X315" s="775"/>
      <c r="Y315" s="775"/>
      <c r="Z315" s="775"/>
      <c r="AA315" s="775"/>
      <c r="AB315" s="775"/>
      <c r="AC315" s="775"/>
      <c r="AD315" s="775"/>
      <c r="AE315" s="775"/>
      <c r="AF315" s="775"/>
      <c r="AG315" s="763"/>
      <c r="AH315" s="776"/>
    </row>
    <row r="316" s="762" customFormat="true" ht="13.5" hidden="false" customHeight="false" outlineLevel="0" collapsed="false">
      <c r="Q316" s="787"/>
      <c r="R316" s="775"/>
      <c r="S316" s="775"/>
      <c r="T316" s="775"/>
      <c r="U316" s="775"/>
      <c r="V316" s="775"/>
      <c r="W316" s="775"/>
      <c r="X316" s="775"/>
      <c r="Y316" s="775"/>
      <c r="Z316" s="775"/>
      <c r="AA316" s="775"/>
      <c r="AB316" s="775"/>
      <c r="AC316" s="775"/>
      <c r="AD316" s="775"/>
      <c r="AE316" s="775"/>
      <c r="AF316" s="775"/>
      <c r="AG316" s="775"/>
      <c r="AH316" s="776"/>
    </row>
    <row r="317" s="762" customFormat="true" ht="13.5" hidden="false" customHeight="false" outlineLevel="0" collapsed="false">
      <c r="Q317" s="774"/>
      <c r="R317" s="793"/>
      <c r="S317" s="793"/>
      <c r="T317" s="793"/>
      <c r="U317" s="793"/>
      <c r="V317" s="793"/>
      <c r="W317" s="793"/>
      <c r="X317" s="793"/>
      <c r="Y317" s="793"/>
      <c r="Z317" s="793"/>
      <c r="AA317" s="793"/>
      <c r="AB317" s="793"/>
      <c r="AC317" s="793"/>
      <c r="AD317" s="793"/>
      <c r="AE317" s="793"/>
      <c r="AF317" s="793"/>
      <c r="AG317" s="794"/>
      <c r="AH317" s="795"/>
    </row>
    <row r="318" s="762" customFormat="true" ht="13.5" hidden="false" customHeight="false" outlineLevel="0" collapsed="false">
      <c r="Q318" s="774"/>
      <c r="R318" s="793"/>
      <c r="S318" s="793"/>
      <c r="T318" s="793"/>
      <c r="U318" s="793"/>
      <c r="V318" s="793"/>
      <c r="W318" s="793"/>
      <c r="X318" s="793"/>
      <c r="Y318" s="793"/>
      <c r="Z318" s="793"/>
      <c r="AA318" s="793"/>
      <c r="AB318" s="793"/>
      <c r="AC318" s="793"/>
      <c r="AD318" s="793"/>
      <c r="AE318" s="793"/>
      <c r="AF318" s="793"/>
      <c r="AG318" s="794"/>
      <c r="AH318" s="795"/>
    </row>
    <row r="319" s="762" customFormat="true" ht="13.5" hidden="false" customHeight="false" outlineLevel="0" collapsed="false">
      <c r="Q319" s="774"/>
      <c r="R319" s="793"/>
      <c r="S319" s="793"/>
      <c r="T319" s="793"/>
      <c r="U319" s="793"/>
      <c r="V319" s="793"/>
      <c r="W319" s="793"/>
      <c r="X319" s="793"/>
      <c r="Y319" s="793"/>
      <c r="Z319" s="793"/>
      <c r="AA319" s="793"/>
      <c r="AB319" s="793"/>
      <c r="AC319" s="793"/>
      <c r="AD319" s="793"/>
      <c r="AE319" s="793"/>
      <c r="AF319" s="793"/>
      <c r="AG319" s="794"/>
      <c r="AH319" s="795"/>
    </row>
    <row r="320" s="762" customFormat="true" ht="13.5" hidden="false" customHeight="false" outlineLevel="0" collapsed="false">
      <c r="Q320" s="774"/>
      <c r="R320" s="793"/>
      <c r="S320" s="793"/>
      <c r="T320" s="793"/>
      <c r="U320" s="793"/>
      <c r="V320" s="793"/>
      <c r="W320" s="793"/>
      <c r="X320" s="793"/>
      <c r="Y320" s="793"/>
      <c r="Z320" s="793"/>
      <c r="AA320" s="793"/>
      <c r="AB320" s="793"/>
      <c r="AC320" s="793"/>
      <c r="AD320" s="793"/>
      <c r="AE320" s="793"/>
      <c r="AF320" s="793"/>
      <c r="AG320" s="794"/>
      <c r="AH320" s="795"/>
    </row>
    <row r="321" s="762" customFormat="true" ht="13.5" hidden="false" customHeight="false" outlineLevel="0" collapsed="false">
      <c r="Q321" s="774"/>
      <c r="R321" s="793"/>
      <c r="S321" s="793"/>
      <c r="T321" s="793"/>
      <c r="U321" s="793"/>
      <c r="V321" s="793"/>
      <c r="W321" s="793"/>
      <c r="X321" s="793"/>
      <c r="Y321" s="793"/>
      <c r="Z321" s="793"/>
      <c r="AA321" s="793"/>
      <c r="AB321" s="793"/>
      <c r="AC321" s="793"/>
      <c r="AD321" s="793"/>
      <c r="AE321" s="793"/>
      <c r="AF321" s="793"/>
      <c r="AG321" s="794"/>
      <c r="AH321" s="795"/>
    </row>
    <row r="322" s="762" customFormat="true" ht="13.5" hidden="false" customHeight="false" outlineLevel="0" collapsed="false">
      <c r="Q322" s="774"/>
      <c r="R322" s="793"/>
      <c r="S322" s="793"/>
      <c r="T322" s="793"/>
      <c r="U322" s="793"/>
      <c r="V322" s="793"/>
      <c r="W322" s="793"/>
      <c r="X322" s="793"/>
      <c r="Y322" s="793"/>
      <c r="Z322" s="793"/>
      <c r="AA322" s="793"/>
      <c r="AB322" s="793"/>
      <c r="AC322" s="793"/>
      <c r="AD322" s="793"/>
      <c r="AE322" s="793"/>
      <c r="AF322" s="793"/>
      <c r="AG322" s="794"/>
      <c r="AH322" s="795"/>
    </row>
    <row r="323" s="762" customFormat="true" ht="13.5" hidden="false" customHeight="false" outlineLevel="0" collapsed="false">
      <c r="Q323" s="774"/>
      <c r="R323" s="793"/>
      <c r="S323" s="793"/>
      <c r="T323" s="793"/>
      <c r="U323" s="793"/>
      <c r="V323" s="793"/>
      <c r="W323" s="793"/>
      <c r="X323" s="793"/>
      <c r="Y323" s="793"/>
      <c r="Z323" s="793"/>
      <c r="AA323" s="793"/>
      <c r="AB323" s="793"/>
      <c r="AC323" s="793"/>
      <c r="AD323" s="793"/>
      <c r="AE323" s="793"/>
      <c r="AF323" s="793"/>
      <c r="AG323" s="794"/>
      <c r="AH323" s="795"/>
    </row>
    <row r="324" s="762" customFormat="true" ht="13.5" hidden="false" customHeight="false" outlineLevel="0" collapsed="false">
      <c r="Q324" s="809"/>
      <c r="R324" s="794"/>
      <c r="S324" s="794"/>
      <c r="T324" s="794"/>
      <c r="U324" s="794"/>
      <c r="V324" s="794"/>
      <c r="W324" s="794"/>
      <c r="X324" s="794"/>
      <c r="Y324" s="794"/>
      <c r="Z324" s="794"/>
      <c r="AA324" s="794"/>
      <c r="AB324" s="794"/>
      <c r="AC324" s="794"/>
      <c r="AD324" s="794"/>
      <c r="AE324" s="794"/>
      <c r="AF324" s="794"/>
      <c r="AG324" s="794"/>
      <c r="AH324" s="795"/>
    </row>
    <row r="325" s="762" customFormat="true" ht="13.5" hidden="false" customHeight="false" outlineLevel="0" collapsed="false">
      <c r="Q325" s="831"/>
      <c r="AH325" s="776"/>
    </row>
    <row r="326" s="762" customFormat="true" ht="13.5" hidden="false" customHeight="false" outlineLevel="0" collapsed="false">
      <c r="Q326" s="774"/>
      <c r="R326" s="775"/>
      <c r="S326" s="775"/>
      <c r="T326" s="775"/>
      <c r="U326" s="775"/>
      <c r="V326" s="775"/>
      <c r="W326" s="775"/>
      <c r="X326" s="775"/>
      <c r="Y326" s="775"/>
      <c r="Z326" s="775"/>
      <c r="AA326" s="775"/>
      <c r="AB326" s="775"/>
      <c r="AC326" s="775"/>
      <c r="AD326" s="775"/>
      <c r="AE326" s="775"/>
      <c r="AF326" s="775"/>
      <c r="AG326" s="763"/>
      <c r="AH326" s="776"/>
    </row>
    <row r="327" s="762" customFormat="true" ht="13.5" hidden="false" customHeight="false" outlineLevel="0" collapsed="false">
      <c r="Q327" s="787"/>
      <c r="R327" s="775"/>
      <c r="S327" s="775"/>
      <c r="T327" s="775"/>
      <c r="U327" s="775"/>
      <c r="V327" s="775"/>
      <c r="W327" s="775"/>
      <c r="X327" s="775"/>
      <c r="Y327" s="775"/>
      <c r="Z327" s="775"/>
      <c r="AA327" s="775"/>
      <c r="AB327" s="775"/>
      <c r="AC327" s="775"/>
      <c r="AD327" s="775"/>
      <c r="AE327" s="775"/>
      <c r="AF327" s="775"/>
      <c r="AG327" s="775"/>
      <c r="AH327" s="776"/>
    </row>
    <row r="328" s="762" customFormat="true" ht="13.5" hidden="false" customHeight="false" outlineLevel="0" collapsed="false">
      <c r="Q328" s="774"/>
      <c r="R328" s="793"/>
      <c r="S328" s="793"/>
      <c r="T328" s="793"/>
      <c r="U328" s="793"/>
      <c r="V328" s="793"/>
      <c r="W328" s="793"/>
      <c r="X328" s="793"/>
      <c r="Y328" s="793"/>
      <c r="Z328" s="793"/>
      <c r="AA328" s="793"/>
      <c r="AB328" s="793"/>
      <c r="AC328" s="793"/>
      <c r="AD328" s="793"/>
      <c r="AE328" s="793"/>
      <c r="AF328" s="793"/>
      <c r="AG328" s="794"/>
      <c r="AH328" s="795"/>
    </row>
    <row r="329" s="762" customFormat="true" ht="13.5" hidden="false" customHeight="false" outlineLevel="0" collapsed="false">
      <c r="Q329" s="774"/>
      <c r="R329" s="793"/>
      <c r="S329" s="793"/>
      <c r="T329" s="793"/>
      <c r="U329" s="793"/>
      <c r="V329" s="793"/>
      <c r="W329" s="793"/>
      <c r="X329" s="793"/>
      <c r="Y329" s="793"/>
      <c r="Z329" s="793"/>
      <c r="AA329" s="793"/>
      <c r="AB329" s="793"/>
      <c r="AC329" s="793"/>
      <c r="AD329" s="793"/>
      <c r="AE329" s="793"/>
      <c r="AF329" s="793"/>
      <c r="AG329" s="794"/>
      <c r="AH329" s="795"/>
    </row>
    <row r="330" s="762" customFormat="true" ht="13.5" hidden="false" customHeight="false" outlineLevel="0" collapsed="false">
      <c r="Q330" s="774"/>
      <c r="R330" s="794"/>
      <c r="S330" s="794"/>
      <c r="T330" s="794"/>
      <c r="U330" s="794"/>
      <c r="V330" s="794"/>
      <c r="W330" s="794"/>
      <c r="X330" s="794"/>
      <c r="Y330" s="794"/>
      <c r="Z330" s="794"/>
      <c r="AA330" s="794"/>
      <c r="AB330" s="794"/>
      <c r="AC330" s="794"/>
      <c r="AD330" s="794"/>
      <c r="AE330" s="794"/>
      <c r="AF330" s="794"/>
      <c r="AG330" s="794"/>
      <c r="AH330" s="776"/>
    </row>
    <row r="331" s="762" customFormat="true" ht="13.5" hidden="false" customHeight="false" outlineLevel="0" collapsed="false">
      <c r="Q331" s="774"/>
      <c r="R331" s="832"/>
      <c r="S331" s="832"/>
      <c r="T331" s="832"/>
      <c r="U331" s="832"/>
      <c r="V331" s="832"/>
      <c r="W331" s="832"/>
      <c r="X331" s="832"/>
      <c r="Y331" s="832"/>
      <c r="Z331" s="832"/>
      <c r="AA331" s="832"/>
      <c r="AB331" s="832"/>
      <c r="AC331" s="832"/>
      <c r="AD331" s="832"/>
      <c r="AE331" s="832"/>
      <c r="AF331" s="832"/>
      <c r="AH331" s="776"/>
    </row>
    <row r="332" s="762" customFormat="true" ht="13.5" hidden="false" customHeight="false" outlineLevel="0" collapsed="false">
      <c r="Q332" s="774"/>
      <c r="R332" s="832"/>
      <c r="S332" s="832"/>
      <c r="T332" s="832"/>
      <c r="U332" s="832"/>
      <c r="V332" s="832"/>
      <c r="W332" s="832"/>
      <c r="X332" s="832"/>
      <c r="Y332" s="832"/>
      <c r="Z332" s="832"/>
      <c r="AA332" s="832"/>
      <c r="AB332" s="832"/>
      <c r="AC332" s="832"/>
      <c r="AD332" s="832"/>
      <c r="AE332" s="832"/>
      <c r="AF332" s="832"/>
      <c r="AH332" s="776"/>
    </row>
    <row r="333" s="762" customFormat="true" ht="13.5" hidden="false" customHeight="false" outlineLevel="0" collapsed="false">
      <c r="Q333" s="774"/>
      <c r="R333" s="775"/>
      <c r="S333" s="775"/>
      <c r="T333" s="775"/>
      <c r="U333" s="775"/>
      <c r="V333" s="775"/>
      <c r="W333" s="775"/>
      <c r="X333" s="775"/>
      <c r="Y333" s="775"/>
      <c r="Z333" s="775"/>
      <c r="AA333" s="775"/>
      <c r="AB333" s="775"/>
      <c r="AC333" s="775"/>
      <c r="AD333" s="775"/>
      <c r="AE333" s="775"/>
      <c r="AF333" s="775"/>
      <c r="AG333" s="794"/>
      <c r="AH333" s="776"/>
    </row>
    <row r="334" s="762" customFormat="true" ht="13.5" hidden="false" customHeight="false" outlineLevel="0" collapsed="false">
      <c r="Q334" s="774"/>
      <c r="R334" s="775"/>
      <c r="S334" s="775"/>
      <c r="T334" s="775"/>
      <c r="U334" s="775"/>
      <c r="V334" s="775"/>
      <c r="W334" s="775"/>
      <c r="X334" s="775"/>
      <c r="Y334" s="775"/>
      <c r="Z334" s="775"/>
      <c r="AA334" s="775"/>
      <c r="AB334" s="775"/>
      <c r="AC334" s="775"/>
      <c r="AD334" s="775"/>
      <c r="AE334" s="775"/>
      <c r="AF334" s="775"/>
      <c r="AG334" s="794"/>
      <c r="AH334" s="776"/>
    </row>
    <row r="335" s="762" customFormat="true" ht="13.5" hidden="false" customHeight="false" outlineLevel="0" collapsed="false">
      <c r="Q335" s="774"/>
      <c r="R335" s="793"/>
      <c r="S335" s="793"/>
      <c r="T335" s="793"/>
      <c r="U335" s="793"/>
      <c r="V335" s="793"/>
      <c r="W335" s="793"/>
      <c r="X335" s="793"/>
      <c r="Y335" s="793"/>
      <c r="Z335" s="793"/>
      <c r="AA335" s="793"/>
      <c r="AB335" s="793"/>
      <c r="AC335" s="793"/>
      <c r="AD335" s="793"/>
      <c r="AE335" s="793"/>
      <c r="AF335" s="793"/>
      <c r="AG335" s="794"/>
      <c r="AH335" s="795"/>
    </row>
    <row r="336" s="762" customFormat="true" ht="13.5" hidden="false" customHeight="false" outlineLevel="0" collapsed="false">
      <c r="Q336" s="774"/>
      <c r="R336" s="793"/>
      <c r="S336" s="793"/>
      <c r="T336" s="793"/>
      <c r="U336" s="793"/>
      <c r="V336" s="793"/>
      <c r="W336" s="793"/>
      <c r="X336" s="793"/>
      <c r="Y336" s="793"/>
      <c r="Z336" s="793"/>
      <c r="AA336" s="793"/>
      <c r="AB336" s="793"/>
      <c r="AC336" s="793"/>
      <c r="AD336" s="793"/>
      <c r="AE336" s="793"/>
      <c r="AF336" s="793"/>
      <c r="AG336" s="794"/>
      <c r="AH336" s="795"/>
    </row>
    <row r="337" s="762" customFormat="true" ht="14.25" hidden="false" customHeight="false" outlineLevel="0" collapsed="false">
      <c r="Q337" s="833"/>
      <c r="R337" s="834"/>
      <c r="S337" s="834"/>
      <c r="T337" s="834"/>
      <c r="U337" s="834"/>
      <c r="V337" s="834"/>
      <c r="W337" s="834"/>
      <c r="X337" s="834"/>
      <c r="Y337" s="834"/>
      <c r="Z337" s="834"/>
      <c r="AA337" s="834"/>
      <c r="AB337" s="834"/>
      <c r="AC337" s="834"/>
      <c r="AD337" s="834"/>
      <c r="AE337" s="834"/>
      <c r="AF337" s="834"/>
      <c r="AG337" s="835"/>
      <c r="AH337" s="836"/>
    </row>
  </sheetData>
  <mergeCells count="43">
    <mergeCell ref="A3:AD3"/>
    <mergeCell ref="R5:AF5"/>
    <mergeCell ref="AK5:AT5"/>
    <mergeCell ref="AW5:BF5"/>
    <mergeCell ref="BK5:BT5"/>
    <mergeCell ref="BY5:CM5"/>
    <mergeCell ref="R15:AF15"/>
    <mergeCell ref="BK15:BT15"/>
    <mergeCell ref="BY15:CM15"/>
    <mergeCell ref="R26:AF26"/>
    <mergeCell ref="BK26:BT26"/>
    <mergeCell ref="BY26:CM26"/>
    <mergeCell ref="R36:AF36"/>
    <mergeCell ref="BK36:BT36"/>
    <mergeCell ref="BY36:CM36"/>
    <mergeCell ref="BK46:BT46"/>
    <mergeCell ref="BY46:CM46"/>
    <mergeCell ref="R47:AF47"/>
    <mergeCell ref="R54:AF54"/>
    <mergeCell ref="R109:AF109"/>
    <mergeCell ref="R120:AF120"/>
    <mergeCell ref="R130:AF130"/>
    <mergeCell ref="R141:AF141"/>
    <mergeCell ref="R152:AF152"/>
    <mergeCell ref="R159:AF159"/>
    <mergeCell ref="R167:AF167"/>
    <mergeCell ref="R178:AF178"/>
    <mergeCell ref="R188:AF188"/>
    <mergeCell ref="R199:AF199"/>
    <mergeCell ref="R210:AF210"/>
    <mergeCell ref="R217:AF217"/>
    <mergeCell ref="R225:AF225"/>
    <mergeCell ref="R236:AF236"/>
    <mergeCell ref="R246:AF246"/>
    <mergeCell ref="R257:AF257"/>
    <mergeCell ref="R268:AF268"/>
    <mergeCell ref="R275:AF275"/>
    <mergeCell ref="R283:AF283"/>
    <mergeCell ref="R294:AF294"/>
    <mergeCell ref="R304:AF304"/>
    <mergeCell ref="R315:AF315"/>
    <mergeCell ref="R326:AF326"/>
    <mergeCell ref="R333:AF333"/>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worksheet>
</file>

<file path=xl/worksheets/sheet38.xml><?xml version="1.0" encoding="utf-8"?>
<worksheet xmlns="http://schemas.openxmlformats.org/spreadsheetml/2006/main" xmlns:r="http://schemas.openxmlformats.org/officeDocument/2006/relationships">
  <sheetPr filterMode="false">
    <tabColor rgb="FF969696"/>
    <pageSetUpPr fitToPage="true"/>
  </sheetPr>
  <dimension ref="A1:L98"/>
  <sheetViews>
    <sheetView showFormulas="false" showGridLines="false" showRowColHeaders="true" showZeros="true" rightToLeft="false" tabSelected="false" showOutlineSymbols="true" defaultGridColor="true" view="normal" topLeftCell="A1" colorId="64" zoomScale="80" zoomScaleNormal="80" zoomScalePageLayoutView="85" workbookViewId="0">
      <selection pane="topLeft" activeCell="G75" activeCellId="0" sqref="G75"/>
    </sheetView>
  </sheetViews>
  <sheetFormatPr defaultRowHeight="15" zeroHeight="true" outlineLevelRow="0" outlineLevelCol="0"/>
  <cols>
    <col collapsed="false" customWidth="true" hidden="false" outlineLevel="0" max="1" min="1" style="4" width="47.28"/>
    <col collapsed="false" customWidth="true" hidden="false" outlineLevel="0" max="2" min="2" style="4" width="9.14"/>
    <col collapsed="false" customWidth="true" hidden="false" outlineLevel="0" max="3" min="3" style="4" width="3.57"/>
    <col collapsed="false" customWidth="true" hidden="false" outlineLevel="0" max="4" min="4" style="4" width="9.14"/>
    <col collapsed="false" customWidth="true" hidden="false" outlineLevel="0" max="5" min="5" style="4" width="22.43"/>
    <col collapsed="false" customWidth="true" hidden="false" outlineLevel="0" max="6" min="6" style="4" width="9.14"/>
    <col collapsed="false" customWidth="true" hidden="false" outlineLevel="0" max="7" min="7" style="4" width="28.42"/>
    <col collapsed="false" customWidth="true" hidden="false" outlineLevel="0" max="8" min="8" style="4" width="9.71"/>
    <col collapsed="false" customWidth="true" hidden="false" outlineLevel="0" max="10" min="9" style="4" width="9.14"/>
    <col collapsed="false" customWidth="true" hidden="false" outlineLevel="0" max="11" min="11" style="4" width="42"/>
    <col collapsed="false" customWidth="true" hidden="false" outlineLevel="0" max="12" min="12" style="4" width="1.58"/>
    <col collapsed="false" customWidth="true" hidden="true" outlineLevel="0" max="1025" min="13" style="4" width="9.14"/>
  </cols>
  <sheetData>
    <row r="1" s="312" customFormat="true" ht="28.5" hidden="false" customHeight="false" outlineLevel="0" collapsed="false">
      <c r="A1" s="113" t="str">
        <f aca="false">'6.0 New Truck Sales'!A1</f>
        <v>Strategy and Implementation</v>
      </c>
      <c r="B1" s="114"/>
      <c r="C1" s="114"/>
      <c r="D1" s="114"/>
      <c r="E1" s="114"/>
      <c r="F1" s="114"/>
      <c r="G1" s="114"/>
      <c r="H1" s="114"/>
      <c r="I1" s="114"/>
      <c r="J1" s="114"/>
      <c r="K1" s="115" t="s">
        <v>512</v>
      </c>
    </row>
    <row r="2" customFormat="false" ht="15" hidden="false" customHeight="false" outlineLevel="0" collapsed="false">
      <c r="A2" s="52"/>
      <c r="B2" s="116"/>
      <c r="C2" s="117"/>
      <c r="D2" s="86"/>
      <c r="E2" s="118"/>
      <c r="F2" s="48"/>
      <c r="G2" s="48"/>
      <c r="H2" s="119"/>
      <c r="I2" s="86"/>
      <c r="J2" s="86"/>
      <c r="K2" s="120"/>
    </row>
    <row r="3" customFormat="false" ht="15" hidden="false" customHeight="false" outlineLevel="0" collapsed="false">
      <c r="A3" s="52" t="s">
        <v>103</v>
      </c>
      <c r="B3" s="116"/>
      <c r="C3" s="67" t="str">
        <f aca="false">'Reference sheet'!C12</f>
        <v>TEST</v>
      </c>
      <c r="D3" s="86"/>
      <c r="E3" s="118"/>
      <c r="F3" s="48"/>
      <c r="G3" s="121" t="s">
        <v>49</v>
      </c>
      <c r="H3" s="122" t="str">
        <f aca="false">'Reference sheet'!C17</f>
        <v>July</v>
      </c>
      <c r="I3" s="123" t="n">
        <f aca="false">'Reference sheet'!D17</f>
        <v>2018</v>
      </c>
      <c r="J3" s="121" t="s">
        <v>46</v>
      </c>
      <c r="K3" s="124" t="n">
        <f aca="false">'Reference sheet'!C15</f>
        <v>1</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c r="A5" s="257"/>
      <c r="B5" s="129"/>
      <c r="C5" s="48"/>
      <c r="D5" s="48"/>
      <c r="E5" s="48"/>
      <c r="F5" s="48"/>
      <c r="G5" s="130"/>
      <c r="H5" s="48"/>
      <c r="I5" s="48"/>
      <c r="J5" s="48"/>
      <c r="K5" s="129"/>
      <c r="L5" s="48"/>
    </row>
    <row r="6" customFormat="false" ht="18.75" hidden="false" customHeight="false" outlineLevel="0" collapsed="false">
      <c r="A6" s="837" t="s">
        <v>513</v>
      </c>
      <c r="B6" s="129"/>
      <c r="C6" s="48"/>
      <c r="D6" s="48"/>
      <c r="E6" s="48"/>
      <c r="F6" s="48"/>
      <c r="G6" s="838" t="s">
        <v>514</v>
      </c>
      <c r="H6" s="48"/>
      <c r="I6" s="48"/>
      <c r="J6" s="48"/>
      <c r="K6" s="129"/>
      <c r="L6" s="48"/>
    </row>
    <row r="7" customFormat="false" ht="13.15" hidden="false" customHeight="true" outlineLevel="0" collapsed="false">
      <c r="A7" s="107"/>
      <c r="B7" s="48"/>
      <c r="C7" s="48"/>
      <c r="D7" s="48"/>
      <c r="E7" s="107"/>
      <c r="F7" s="2"/>
      <c r="G7" s="48"/>
      <c r="H7" s="48"/>
      <c r="I7" s="48"/>
      <c r="J7" s="48"/>
      <c r="K7" s="48"/>
      <c r="L7" s="48"/>
    </row>
    <row r="8" customFormat="false" ht="28.5" hidden="false" customHeight="true" outlineLevel="0" collapsed="false">
      <c r="A8" s="839" t="s">
        <v>385</v>
      </c>
      <c r="B8" s="840"/>
      <c r="C8" s="840"/>
      <c r="D8" s="840"/>
      <c r="E8" s="841"/>
      <c r="F8" s="2"/>
      <c r="G8" s="131" t="s">
        <v>515</v>
      </c>
      <c r="H8" s="132"/>
      <c r="I8" s="132"/>
      <c r="J8" s="132"/>
      <c r="K8" s="133"/>
    </row>
    <row r="9" customFormat="false" ht="15" hidden="false" customHeight="false" outlineLevel="0" collapsed="false">
      <c r="A9" s="548" t="s">
        <v>386</v>
      </c>
      <c r="B9" s="548"/>
      <c r="C9" s="548"/>
      <c r="D9" s="548"/>
      <c r="E9" s="548"/>
      <c r="F9" s="2"/>
      <c r="G9" s="548" t="s">
        <v>386</v>
      </c>
      <c r="H9" s="548"/>
      <c r="I9" s="548"/>
      <c r="J9" s="548"/>
      <c r="K9" s="548"/>
    </row>
    <row r="10" customFormat="false" ht="15" hidden="false" customHeight="false" outlineLevel="0" collapsed="false">
      <c r="A10" s="548"/>
      <c r="B10" s="548"/>
      <c r="C10" s="548"/>
      <c r="D10" s="548"/>
      <c r="E10" s="548"/>
      <c r="F10" s="2"/>
      <c r="G10" s="548"/>
      <c r="H10" s="548"/>
      <c r="I10" s="548"/>
      <c r="J10" s="548"/>
      <c r="K10" s="548"/>
    </row>
    <row r="11" customFormat="false" ht="15" hidden="false" customHeight="false" outlineLevel="0" collapsed="false">
      <c r="A11" s="548" t="s">
        <v>387</v>
      </c>
      <c r="B11" s="548"/>
      <c r="C11" s="548"/>
      <c r="D11" s="548"/>
      <c r="E11" s="548"/>
      <c r="F11" s="2"/>
      <c r="G11" s="548" t="s">
        <v>387</v>
      </c>
      <c r="H11" s="548"/>
      <c r="I11" s="548"/>
      <c r="J11" s="548"/>
      <c r="K11" s="548"/>
    </row>
    <row r="12" customFormat="false" ht="15" hidden="false" customHeight="false" outlineLevel="0" collapsed="false">
      <c r="A12" s="548"/>
      <c r="B12" s="548"/>
      <c r="C12" s="548"/>
      <c r="D12" s="548"/>
      <c r="E12" s="548"/>
      <c r="F12" s="2"/>
      <c r="G12" s="548"/>
      <c r="H12" s="548"/>
      <c r="I12" s="548"/>
      <c r="J12" s="548"/>
      <c r="K12" s="548"/>
    </row>
    <row r="13" customFormat="false" ht="15" hidden="false" customHeight="false" outlineLevel="0" collapsed="false">
      <c r="A13" s="548" t="s">
        <v>391</v>
      </c>
      <c r="B13" s="548"/>
      <c r="C13" s="548"/>
      <c r="D13" s="548"/>
      <c r="E13" s="548"/>
      <c r="F13" s="2"/>
      <c r="G13" s="548" t="s">
        <v>391</v>
      </c>
      <c r="H13" s="548"/>
      <c r="I13" s="548"/>
      <c r="J13" s="548"/>
      <c r="K13" s="548"/>
    </row>
    <row r="14" customFormat="false" ht="15" hidden="false" customHeight="false" outlineLevel="0" collapsed="false">
      <c r="A14" s="548"/>
      <c r="B14" s="548"/>
      <c r="C14" s="548"/>
      <c r="D14" s="548"/>
      <c r="E14" s="548"/>
      <c r="F14" s="2"/>
      <c r="G14" s="548"/>
      <c r="H14" s="548"/>
      <c r="I14" s="548"/>
      <c r="J14" s="548"/>
      <c r="K14" s="548"/>
    </row>
    <row r="15" customFormat="false" ht="15" hidden="false" customHeight="false" outlineLevel="0" collapsed="false">
      <c r="A15" s="548" t="s">
        <v>516</v>
      </c>
      <c r="B15" s="548"/>
      <c r="C15" s="548"/>
      <c r="D15" s="548"/>
      <c r="E15" s="548"/>
      <c r="F15" s="2"/>
      <c r="G15" s="548" t="s">
        <v>516</v>
      </c>
      <c r="H15" s="548"/>
      <c r="I15" s="548"/>
      <c r="J15" s="548"/>
      <c r="K15" s="548"/>
    </row>
    <row r="16" customFormat="false" ht="15" hidden="false" customHeight="false" outlineLevel="0" collapsed="false">
      <c r="A16" s="548"/>
      <c r="B16" s="548"/>
      <c r="C16" s="548"/>
      <c r="D16" s="548"/>
      <c r="E16" s="548"/>
      <c r="F16" s="2"/>
      <c r="G16" s="548"/>
      <c r="H16" s="548"/>
      <c r="I16" s="548"/>
      <c r="J16" s="548"/>
      <c r="K16" s="548"/>
    </row>
    <row r="17" customFormat="false" ht="15" hidden="false" customHeight="false" outlineLevel="0" collapsed="false">
      <c r="A17" s="548" t="s">
        <v>517</v>
      </c>
      <c r="B17" s="548"/>
      <c r="C17" s="548"/>
      <c r="D17" s="548"/>
      <c r="E17" s="548"/>
      <c r="F17" s="2"/>
      <c r="G17" s="548" t="s">
        <v>517</v>
      </c>
      <c r="H17" s="548"/>
      <c r="I17" s="548"/>
      <c r="J17" s="548"/>
      <c r="K17" s="548"/>
    </row>
    <row r="18" customFormat="false" ht="15" hidden="false" customHeight="false" outlineLevel="0" collapsed="false">
      <c r="A18" s="548"/>
      <c r="B18" s="548"/>
      <c r="C18" s="548"/>
      <c r="D18" s="548"/>
      <c r="E18" s="548"/>
      <c r="F18" s="2"/>
      <c r="G18" s="548"/>
      <c r="H18" s="548"/>
      <c r="I18" s="548"/>
      <c r="J18" s="548"/>
      <c r="K18" s="548"/>
    </row>
    <row r="19" customFormat="false" ht="15" hidden="false" customHeight="false" outlineLevel="0" collapsed="false">
      <c r="A19" s="548" t="s">
        <v>405</v>
      </c>
      <c r="B19" s="548"/>
      <c r="C19" s="548"/>
      <c r="D19" s="548"/>
      <c r="E19" s="548"/>
      <c r="F19" s="2"/>
      <c r="G19" s="548" t="s">
        <v>405</v>
      </c>
      <c r="H19" s="548"/>
      <c r="I19" s="548"/>
      <c r="J19" s="548"/>
      <c r="K19" s="548"/>
    </row>
    <row r="20" customFormat="false" ht="15" hidden="false" customHeight="false" outlineLevel="0" collapsed="false">
      <c r="A20" s="548"/>
      <c r="B20" s="548"/>
      <c r="C20" s="548"/>
      <c r="D20" s="548"/>
      <c r="E20" s="548"/>
      <c r="F20" s="2"/>
      <c r="G20" s="548"/>
      <c r="H20" s="548"/>
      <c r="I20" s="548"/>
      <c r="J20" s="548"/>
      <c r="K20" s="548"/>
    </row>
    <row r="21" customFormat="false" ht="15" hidden="false" customHeight="false" outlineLevel="0" collapsed="false">
      <c r="A21" s="548" t="s">
        <v>518</v>
      </c>
      <c r="B21" s="548"/>
      <c r="C21" s="548"/>
      <c r="D21" s="548"/>
      <c r="E21" s="548"/>
      <c r="F21" s="2"/>
      <c r="G21" s="548" t="s">
        <v>518</v>
      </c>
      <c r="H21" s="548"/>
      <c r="I21" s="548"/>
      <c r="J21" s="548"/>
      <c r="K21" s="548"/>
    </row>
    <row r="22" customFormat="false" ht="15" hidden="false" customHeight="false" outlineLevel="0" collapsed="false">
      <c r="A22" s="548"/>
      <c r="B22" s="548"/>
      <c r="C22" s="548"/>
      <c r="D22" s="548"/>
      <c r="E22" s="548"/>
      <c r="F22" s="2"/>
      <c r="G22" s="548"/>
      <c r="H22" s="548"/>
      <c r="I22" s="548"/>
      <c r="J22" s="548"/>
      <c r="K22" s="548"/>
    </row>
    <row r="23" customFormat="false" ht="15" hidden="false" customHeight="false" outlineLevel="0" collapsed="false">
      <c r="A23" s="548" t="s">
        <v>407</v>
      </c>
      <c r="B23" s="548"/>
      <c r="C23" s="548"/>
      <c r="D23" s="548"/>
      <c r="E23" s="548"/>
      <c r="F23" s="2"/>
      <c r="G23" s="548" t="s">
        <v>407</v>
      </c>
      <c r="H23" s="548"/>
      <c r="I23" s="548"/>
      <c r="J23" s="548"/>
      <c r="K23" s="548"/>
    </row>
    <row r="24" customFormat="false" ht="15" hidden="false" customHeight="false" outlineLevel="0" collapsed="false">
      <c r="A24" s="548"/>
      <c r="B24" s="548"/>
      <c r="C24" s="548"/>
      <c r="D24" s="548"/>
      <c r="E24" s="548"/>
      <c r="F24" s="2"/>
      <c r="G24" s="548"/>
      <c r="H24" s="548"/>
      <c r="I24" s="548"/>
      <c r="J24" s="548"/>
      <c r="K24" s="548"/>
    </row>
    <row r="25" customFormat="false" ht="15" hidden="false" customHeight="false" outlineLevel="0" collapsed="false">
      <c r="A25" s="548" t="s">
        <v>408</v>
      </c>
      <c r="B25" s="548"/>
      <c r="C25" s="548"/>
      <c r="D25" s="548"/>
      <c r="E25" s="548"/>
      <c r="F25" s="2"/>
      <c r="G25" s="548" t="s">
        <v>408</v>
      </c>
      <c r="H25" s="548"/>
      <c r="I25" s="548"/>
      <c r="J25" s="548"/>
      <c r="K25" s="548"/>
    </row>
    <row r="26" customFormat="false" ht="15" hidden="false" customHeight="false" outlineLevel="0" collapsed="false">
      <c r="A26" s="548"/>
      <c r="B26" s="548"/>
      <c r="C26" s="548"/>
      <c r="D26" s="548"/>
      <c r="E26" s="548"/>
      <c r="F26" s="2"/>
      <c r="G26" s="548"/>
      <c r="H26" s="548"/>
      <c r="I26" s="548"/>
      <c r="J26" s="548"/>
      <c r="K26" s="548"/>
    </row>
    <row r="27" customFormat="false" ht="15" hidden="false" customHeight="true" outlineLevel="0" collapsed="false">
      <c r="A27" s="842" t="s">
        <v>519</v>
      </c>
      <c r="B27" s="842"/>
      <c r="C27" s="842"/>
      <c r="D27" s="842"/>
      <c r="E27" s="842"/>
      <c r="F27" s="2"/>
      <c r="G27" s="842" t="s">
        <v>519</v>
      </c>
      <c r="H27" s="842"/>
      <c r="I27" s="842"/>
      <c r="J27" s="842"/>
      <c r="K27" s="842"/>
    </row>
    <row r="28" customFormat="false" ht="15" hidden="false" customHeight="false" outlineLevel="0" collapsed="false">
      <c r="A28" s="842"/>
      <c r="B28" s="842"/>
      <c r="C28" s="842"/>
      <c r="D28" s="842"/>
      <c r="E28" s="842"/>
      <c r="F28" s="2"/>
      <c r="G28" s="842"/>
      <c r="H28" s="842"/>
      <c r="I28" s="842"/>
      <c r="J28" s="842"/>
      <c r="K28" s="842"/>
    </row>
    <row r="29" customFormat="false" ht="15" hidden="false" customHeight="false" outlineLevel="0" collapsed="false">
      <c r="A29" s="843"/>
      <c r="B29" s="265"/>
      <c r="C29" s="265"/>
      <c r="D29" s="265"/>
      <c r="E29" s="265"/>
      <c r="F29" s="844"/>
      <c r="G29" s="265"/>
      <c r="H29" s="265"/>
      <c r="I29" s="265"/>
      <c r="J29" s="265"/>
      <c r="K29" s="265"/>
      <c r="L29" s="86"/>
    </row>
    <row r="30" customFormat="false" ht="28.5" hidden="false" customHeight="true" outlineLevel="0" collapsed="false">
      <c r="A30" s="839" t="s">
        <v>389</v>
      </c>
      <c r="B30" s="132"/>
      <c r="C30" s="132"/>
      <c r="D30" s="132"/>
      <c r="E30" s="133"/>
      <c r="F30" s="181"/>
      <c r="G30" s="131" t="s">
        <v>520</v>
      </c>
      <c r="H30" s="132"/>
      <c r="I30" s="132"/>
      <c r="J30" s="132"/>
      <c r="K30" s="133"/>
    </row>
    <row r="31" customFormat="false" ht="15" hidden="false" customHeight="false" outlineLevel="0" collapsed="false">
      <c r="A31" s="548" t="s">
        <v>386</v>
      </c>
      <c r="B31" s="548"/>
      <c r="C31" s="548"/>
      <c r="D31" s="548"/>
      <c r="E31" s="548"/>
      <c r="F31" s="181"/>
      <c r="G31" s="548" t="s">
        <v>386</v>
      </c>
      <c r="H31" s="548"/>
      <c r="I31" s="548"/>
      <c r="J31" s="548"/>
      <c r="K31" s="548"/>
    </row>
    <row r="32" customFormat="false" ht="15" hidden="false" customHeight="false" outlineLevel="0" collapsed="false">
      <c r="A32" s="548"/>
      <c r="B32" s="548"/>
      <c r="C32" s="548"/>
      <c r="D32" s="548"/>
      <c r="E32" s="548"/>
      <c r="F32" s="181"/>
      <c r="G32" s="548"/>
      <c r="H32" s="548"/>
      <c r="I32" s="548"/>
      <c r="J32" s="548"/>
      <c r="K32" s="548"/>
    </row>
    <row r="33" customFormat="false" ht="15" hidden="false" customHeight="true" outlineLevel="0" collapsed="false">
      <c r="A33" s="548" t="s">
        <v>387</v>
      </c>
      <c r="B33" s="548"/>
      <c r="C33" s="548"/>
      <c r="D33" s="548"/>
      <c r="E33" s="548"/>
      <c r="F33" s="181"/>
      <c r="G33" s="548" t="s">
        <v>387</v>
      </c>
      <c r="H33" s="548"/>
      <c r="I33" s="548"/>
      <c r="J33" s="548"/>
      <c r="K33" s="548"/>
    </row>
    <row r="34" customFormat="false" ht="15" hidden="false" customHeight="false" outlineLevel="0" collapsed="false">
      <c r="A34" s="548"/>
      <c r="B34" s="548"/>
      <c r="C34" s="548"/>
      <c r="D34" s="548"/>
      <c r="E34" s="548"/>
      <c r="F34" s="181"/>
      <c r="G34" s="548"/>
      <c r="H34" s="548"/>
      <c r="I34" s="548"/>
      <c r="J34" s="548"/>
      <c r="K34" s="548"/>
    </row>
    <row r="35" customFormat="false" ht="15" hidden="false" customHeight="false" outlineLevel="0" collapsed="false">
      <c r="A35" s="548" t="s">
        <v>391</v>
      </c>
      <c r="B35" s="548"/>
      <c r="C35" s="548"/>
      <c r="D35" s="548"/>
      <c r="E35" s="548"/>
      <c r="F35" s="181"/>
      <c r="G35" s="548" t="s">
        <v>391</v>
      </c>
      <c r="H35" s="548"/>
      <c r="I35" s="548"/>
      <c r="J35" s="548"/>
      <c r="K35" s="548"/>
    </row>
    <row r="36" customFormat="false" ht="15" hidden="false" customHeight="false" outlineLevel="0" collapsed="false">
      <c r="A36" s="548"/>
      <c r="B36" s="548"/>
      <c r="C36" s="548"/>
      <c r="D36" s="548"/>
      <c r="E36" s="548"/>
      <c r="F36" s="181"/>
      <c r="G36" s="548"/>
      <c r="H36" s="548"/>
      <c r="I36" s="548"/>
      <c r="J36" s="548"/>
      <c r="K36" s="548"/>
    </row>
    <row r="37" customFormat="false" ht="15" hidden="false" customHeight="false" outlineLevel="0" collapsed="false">
      <c r="A37" s="548" t="s">
        <v>516</v>
      </c>
      <c r="B37" s="548"/>
      <c r="C37" s="548"/>
      <c r="D37" s="548"/>
      <c r="E37" s="548"/>
      <c r="F37" s="181"/>
      <c r="G37" s="548" t="s">
        <v>516</v>
      </c>
      <c r="H37" s="548"/>
      <c r="I37" s="548"/>
      <c r="J37" s="548"/>
      <c r="K37" s="548"/>
    </row>
    <row r="38" customFormat="false" ht="15" hidden="false" customHeight="false" outlineLevel="0" collapsed="false">
      <c r="A38" s="548"/>
      <c r="B38" s="548"/>
      <c r="C38" s="548"/>
      <c r="D38" s="548"/>
      <c r="E38" s="548"/>
      <c r="F38" s="181"/>
      <c r="G38" s="548"/>
      <c r="H38" s="548"/>
      <c r="I38" s="548"/>
      <c r="J38" s="548"/>
      <c r="K38" s="548"/>
    </row>
    <row r="39" customFormat="false" ht="15" hidden="false" customHeight="false" outlineLevel="0" collapsed="false">
      <c r="A39" s="548" t="s">
        <v>517</v>
      </c>
      <c r="B39" s="548"/>
      <c r="C39" s="548"/>
      <c r="D39" s="548"/>
      <c r="E39" s="548"/>
      <c r="F39" s="181"/>
      <c r="G39" s="548" t="s">
        <v>517</v>
      </c>
      <c r="H39" s="548"/>
      <c r="I39" s="548"/>
      <c r="J39" s="548"/>
      <c r="K39" s="548"/>
    </row>
    <row r="40" customFormat="false" ht="15" hidden="false" customHeight="false" outlineLevel="0" collapsed="false">
      <c r="A40" s="548"/>
      <c r="B40" s="548"/>
      <c r="C40" s="548"/>
      <c r="D40" s="548"/>
      <c r="E40" s="548"/>
      <c r="F40" s="181"/>
      <c r="G40" s="548"/>
      <c r="H40" s="548"/>
      <c r="I40" s="548"/>
      <c r="J40" s="548"/>
      <c r="K40" s="548"/>
    </row>
    <row r="41" customFormat="false" ht="15" hidden="false" customHeight="false" outlineLevel="0" collapsed="false">
      <c r="A41" s="548" t="s">
        <v>405</v>
      </c>
      <c r="B41" s="548"/>
      <c r="C41" s="548"/>
      <c r="D41" s="548"/>
      <c r="E41" s="548"/>
      <c r="F41" s="181"/>
      <c r="G41" s="548" t="s">
        <v>405</v>
      </c>
      <c r="H41" s="548"/>
      <c r="I41" s="548"/>
      <c r="J41" s="548"/>
      <c r="K41" s="548"/>
    </row>
    <row r="42" customFormat="false" ht="15" hidden="false" customHeight="false" outlineLevel="0" collapsed="false">
      <c r="A42" s="548"/>
      <c r="B42" s="548"/>
      <c r="C42" s="548"/>
      <c r="D42" s="548"/>
      <c r="E42" s="548"/>
      <c r="F42" s="181"/>
      <c r="G42" s="548"/>
      <c r="H42" s="548"/>
      <c r="I42" s="548"/>
      <c r="J42" s="548"/>
      <c r="K42" s="548"/>
    </row>
    <row r="43" customFormat="false" ht="15" hidden="false" customHeight="false" outlineLevel="0" collapsed="false">
      <c r="A43" s="548" t="s">
        <v>518</v>
      </c>
      <c r="B43" s="548"/>
      <c r="C43" s="548"/>
      <c r="D43" s="548"/>
      <c r="E43" s="548"/>
      <c r="F43" s="181"/>
      <c r="G43" s="548" t="s">
        <v>518</v>
      </c>
      <c r="H43" s="548"/>
      <c r="I43" s="548"/>
      <c r="J43" s="548"/>
      <c r="K43" s="548"/>
    </row>
    <row r="44" customFormat="false" ht="15" hidden="false" customHeight="false" outlineLevel="0" collapsed="false">
      <c r="A44" s="548"/>
      <c r="B44" s="548"/>
      <c r="C44" s="548"/>
      <c r="D44" s="548"/>
      <c r="E44" s="548"/>
      <c r="F44" s="181"/>
      <c r="G44" s="548"/>
      <c r="H44" s="548"/>
      <c r="I44" s="548"/>
      <c r="J44" s="548"/>
      <c r="K44" s="548"/>
    </row>
    <row r="45" s="87" customFormat="true" ht="15" hidden="false" customHeight="false" outlineLevel="0" collapsed="false">
      <c r="A45" s="548" t="s">
        <v>407</v>
      </c>
      <c r="B45" s="548"/>
      <c r="C45" s="548"/>
      <c r="D45" s="548"/>
      <c r="E45" s="548"/>
      <c r="F45" s="181"/>
      <c r="G45" s="548" t="s">
        <v>407</v>
      </c>
      <c r="H45" s="548"/>
      <c r="I45" s="548"/>
      <c r="J45" s="548"/>
      <c r="K45" s="548"/>
    </row>
    <row r="46" s="87" customFormat="true" ht="15" hidden="false" customHeight="false" outlineLevel="0" collapsed="false">
      <c r="A46" s="548"/>
      <c r="B46" s="548"/>
      <c r="C46" s="548"/>
      <c r="D46" s="548"/>
      <c r="E46" s="548"/>
      <c r="F46" s="181"/>
      <c r="G46" s="548"/>
      <c r="H46" s="548"/>
      <c r="I46" s="548"/>
      <c r="J46" s="548"/>
      <c r="K46" s="548"/>
    </row>
    <row r="47" s="87" customFormat="true" ht="15" hidden="false" customHeight="false" outlineLevel="0" collapsed="false">
      <c r="A47" s="548" t="s">
        <v>408</v>
      </c>
      <c r="B47" s="548"/>
      <c r="C47" s="548"/>
      <c r="D47" s="548"/>
      <c r="E47" s="548"/>
      <c r="F47" s="181"/>
      <c r="G47" s="548" t="s">
        <v>408</v>
      </c>
      <c r="H47" s="548"/>
      <c r="I47" s="548"/>
      <c r="J47" s="548"/>
      <c r="K47" s="548"/>
    </row>
    <row r="48" s="87" customFormat="true" ht="15" hidden="false" customHeight="false" outlineLevel="0" collapsed="false">
      <c r="A48" s="548"/>
      <c r="B48" s="548"/>
      <c r="C48" s="548"/>
      <c r="D48" s="548"/>
      <c r="E48" s="548"/>
      <c r="F48" s="181"/>
      <c r="G48" s="548"/>
      <c r="H48" s="548"/>
      <c r="I48" s="548"/>
      <c r="J48" s="548"/>
      <c r="K48" s="548"/>
    </row>
    <row r="49" s="87" customFormat="true" ht="15" hidden="false" customHeight="true" outlineLevel="0" collapsed="false">
      <c r="A49" s="842" t="s">
        <v>519</v>
      </c>
      <c r="B49" s="842"/>
      <c r="C49" s="842"/>
      <c r="D49" s="842"/>
      <c r="E49" s="842"/>
      <c r="F49" s="181"/>
      <c r="G49" s="842" t="s">
        <v>519</v>
      </c>
      <c r="H49" s="842"/>
      <c r="I49" s="842"/>
      <c r="J49" s="842"/>
      <c r="K49" s="842"/>
    </row>
    <row r="50" s="87" customFormat="true" ht="15" hidden="false" customHeight="false" outlineLevel="0" collapsed="false">
      <c r="A50" s="842"/>
      <c r="B50" s="842"/>
      <c r="C50" s="842"/>
      <c r="D50" s="842"/>
      <c r="E50" s="842"/>
      <c r="F50" s="181"/>
      <c r="G50" s="842"/>
      <c r="H50" s="842"/>
      <c r="I50" s="842"/>
      <c r="J50" s="842"/>
      <c r="K50" s="842"/>
    </row>
    <row r="51" s="87" customFormat="true" ht="15" hidden="false" customHeight="false" outlineLevel="0" collapsed="false">
      <c r="A51" s="843"/>
      <c r="B51" s="265"/>
      <c r="C51" s="265"/>
      <c r="D51" s="265"/>
      <c r="E51" s="265"/>
      <c r="F51" s="844"/>
      <c r="G51" s="265"/>
      <c r="H51" s="265"/>
      <c r="I51" s="265"/>
      <c r="J51" s="265"/>
      <c r="K51" s="265"/>
      <c r="L51" s="86"/>
    </row>
    <row r="52" customFormat="false" ht="33" hidden="false" customHeight="true" outlineLevel="0" collapsed="false">
      <c r="A52" s="839" t="s">
        <v>521</v>
      </c>
      <c r="B52" s="132"/>
      <c r="C52" s="132"/>
      <c r="D52" s="132"/>
      <c r="E52" s="133"/>
      <c r="F52" s="2"/>
      <c r="G52" s="131" t="s">
        <v>522</v>
      </c>
      <c r="H52" s="132"/>
      <c r="I52" s="132"/>
      <c r="J52" s="132"/>
      <c r="K52" s="133"/>
    </row>
    <row r="53" customFormat="false" ht="15" hidden="false" customHeight="false" outlineLevel="0" collapsed="false">
      <c r="A53" s="548" t="s">
        <v>386</v>
      </c>
      <c r="B53" s="548"/>
      <c r="C53" s="548"/>
      <c r="D53" s="548"/>
      <c r="E53" s="548"/>
      <c r="F53" s="2"/>
      <c r="G53" s="548" t="s">
        <v>386</v>
      </c>
      <c r="H53" s="548"/>
      <c r="I53" s="548"/>
      <c r="J53" s="548"/>
      <c r="K53" s="548"/>
    </row>
    <row r="54" customFormat="false" ht="15" hidden="false" customHeight="true" outlineLevel="0" collapsed="false">
      <c r="A54" s="548"/>
      <c r="B54" s="548"/>
      <c r="C54" s="548"/>
      <c r="D54" s="548"/>
      <c r="E54" s="548"/>
      <c r="F54" s="2"/>
      <c r="G54" s="548"/>
      <c r="H54" s="548"/>
      <c r="I54" s="548"/>
      <c r="J54" s="548"/>
      <c r="K54" s="548"/>
    </row>
    <row r="55" customFormat="false" ht="15" hidden="false" customHeight="true" outlineLevel="0" collapsed="false">
      <c r="A55" s="548" t="s">
        <v>387</v>
      </c>
      <c r="B55" s="548"/>
      <c r="C55" s="548"/>
      <c r="D55" s="548"/>
      <c r="E55" s="548"/>
      <c r="F55" s="2"/>
      <c r="G55" s="548" t="s">
        <v>387</v>
      </c>
      <c r="H55" s="548"/>
      <c r="I55" s="548"/>
      <c r="J55" s="548"/>
      <c r="K55" s="548"/>
    </row>
    <row r="56" customFormat="false" ht="15" hidden="false" customHeight="false" outlineLevel="0" collapsed="false">
      <c r="A56" s="548"/>
      <c r="B56" s="548"/>
      <c r="C56" s="548"/>
      <c r="D56" s="548"/>
      <c r="E56" s="548"/>
      <c r="F56" s="2"/>
      <c r="G56" s="548"/>
      <c r="H56" s="548"/>
      <c r="I56" s="548"/>
      <c r="J56" s="548"/>
      <c r="K56" s="548"/>
    </row>
    <row r="57" customFormat="false" ht="15" hidden="false" customHeight="false" outlineLevel="0" collapsed="false">
      <c r="A57" s="548" t="s">
        <v>391</v>
      </c>
      <c r="B57" s="548"/>
      <c r="C57" s="548"/>
      <c r="D57" s="548"/>
      <c r="E57" s="548"/>
      <c r="F57" s="2"/>
      <c r="G57" s="548" t="s">
        <v>391</v>
      </c>
      <c r="H57" s="548"/>
      <c r="I57" s="548"/>
      <c r="J57" s="548"/>
      <c r="K57" s="548"/>
    </row>
    <row r="58" customFormat="false" ht="15" hidden="false" customHeight="false" outlineLevel="0" collapsed="false">
      <c r="A58" s="548"/>
      <c r="B58" s="548"/>
      <c r="C58" s="548"/>
      <c r="D58" s="548"/>
      <c r="E58" s="548"/>
      <c r="F58" s="2"/>
      <c r="G58" s="548"/>
      <c r="H58" s="548"/>
      <c r="I58" s="548"/>
      <c r="J58" s="548"/>
      <c r="K58" s="548"/>
    </row>
    <row r="59" customFormat="false" ht="15" hidden="false" customHeight="false" outlineLevel="0" collapsed="false">
      <c r="A59" s="548" t="s">
        <v>516</v>
      </c>
      <c r="B59" s="548"/>
      <c r="C59" s="548"/>
      <c r="D59" s="548"/>
      <c r="E59" s="548"/>
      <c r="F59" s="2"/>
      <c r="G59" s="548" t="s">
        <v>516</v>
      </c>
      <c r="H59" s="548"/>
      <c r="I59" s="548"/>
      <c r="J59" s="548"/>
      <c r="K59" s="548"/>
    </row>
    <row r="60" customFormat="false" ht="15" hidden="false" customHeight="false" outlineLevel="0" collapsed="false">
      <c r="A60" s="548"/>
      <c r="B60" s="548"/>
      <c r="C60" s="548"/>
      <c r="D60" s="548"/>
      <c r="E60" s="548"/>
      <c r="F60" s="2"/>
      <c r="G60" s="548"/>
      <c r="H60" s="548"/>
      <c r="I60" s="548"/>
      <c r="J60" s="548"/>
      <c r="K60" s="548"/>
    </row>
    <row r="61" customFormat="false" ht="15" hidden="false" customHeight="false" outlineLevel="0" collapsed="false">
      <c r="A61" s="548" t="s">
        <v>517</v>
      </c>
      <c r="B61" s="548"/>
      <c r="C61" s="548"/>
      <c r="D61" s="548"/>
      <c r="E61" s="548"/>
      <c r="F61" s="2"/>
      <c r="G61" s="548" t="s">
        <v>517</v>
      </c>
      <c r="H61" s="548"/>
      <c r="I61" s="548"/>
      <c r="J61" s="548"/>
      <c r="K61" s="548"/>
    </row>
    <row r="62" customFormat="false" ht="15" hidden="false" customHeight="false" outlineLevel="0" collapsed="false">
      <c r="A62" s="548"/>
      <c r="B62" s="548"/>
      <c r="C62" s="548"/>
      <c r="D62" s="548"/>
      <c r="E62" s="548"/>
      <c r="F62" s="2"/>
      <c r="G62" s="548"/>
      <c r="H62" s="548"/>
      <c r="I62" s="548"/>
      <c r="J62" s="548"/>
      <c r="K62" s="548"/>
    </row>
    <row r="63" customFormat="false" ht="15" hidden="false" customHeight="false" outlineLevel="0" collapsed="false">
      <c r="A63" s="548" t="s">
        <v>405</v>
      </c>
      <c r="B63" s="548"/>
      <c r="C63" s="548"/>
      <c r="D63" s="548"/>
      <c r="E63" s="548"/>
      <c r="F63" s="2"/>
      <c r="G63" s="548" t="s">
        <v>405</v>
      </c>
      <c r="H63" s="548"/>
      <c r="I63" s="548"/>
      <c r="J63" s="548"/>
      <c r="K63" s="548"/>
    </row>
    <row r="64" customFormat="false" ht="15" hidden="false" customHeight="false" outlineLevel="0" collapsed="false">
      <c r="A64" s="548"/>
      <c r="B64" s="548"/>
      <c r="C64" s="548"/>
      <c r="D64" s="548"/>
      <c r="E64" s="548"/>
      <c r="F64" s="2"/>
      <c r="G64" s="548"/>
      <c r="H64" s="548"/>
      <c r="I64" s="548"/>
      <c r="J64" s="548"/>
      <c r="K64" s="548"/>
    </row>
    <row r="65" customFormat="false" ht="15" hidden="false" customHeight="false" outlineLevel="0" collapsed="false">
      <c r="A65" s="548" t="s">
        <v>518</v>
      </c>
      <c r="B65" s="548"/>
      <c r="C65" s="548"/>
      <c r="D65" s="548"/>
      <c r="E65" s="548"/>
      <c r="F65" s="2"/>
      <c r="G65" s="548" t="s">
        <v>518</v>
      </c>
      <c r="H65" s="548"/>
      <c r="I65" s="548"/>
      <c r="J65" s="548"/>
      <c r="K65" s="548"/>
    </row>
    <row r="66" customFormat="false" ht="15" hidden="false" customHeight="false" outlineLevel="0" collapsed="false">
      <c r="A66" s="548"/>
      <c r="B66" s="548"/>
      <c r="C66" s="548"/>
      <c r="D66" s="548"/>
      <c r="E66" s="548"/>
      <c r="F66" s="2"/>
      <c r="G66" s="548"/>
      <c r="H66" s="548"/>
      <c r="I66" s="548"/>
      <c r="J66" s="548"/>
      <c r="K66" s="548"/>
    </row>
    <row r="67" customFormat="false" ht="15" hidden="false" customHeight="false" outlineLevel="0" collapsed="false">
      <c r="A67" s="548" t="s">
        <v>407</v>
      </c>
      <c r="B67" s="548"/>
      <c r="C67" s="548"/>
      <c r="D67" s="548"/>
      <c r="E67" s="548"/>
      <c r="F67" s="2"/>
      <c r="G67" s="548" t="s">
        <v>407</v>
      </c>
      <c r="H67" s="548"/>
      <c r="I67" s="548"/>
      <c r="J67" s="548"/>
      <c r="K67" s="548"/>
    </row>
    <row r="68" customFormat="false" ht="15" hidden="false" customHeight="false" outlineLevel="0" collapsed="false">
      <c r="A68" s="548"/>
      <c r="B68" s="548"/>
      <c r="C68" s="548"/>
      <c r="D68" s="548"/>
      <c r="E68" s="548"/>
      <c r="F68" s="2"/>
      <c r="G68" s="548"/>
      <c r="H68" s="548"/>
      <c r="I68" s="548"/>
      <c r="J68" s="548"/>
      <c r="K68" s="548"/>
    </row>
    <row r="69" customFormat="false" ht="15" hidden="false" customHeight="false" outlineLevel="0" collapsed="false">
      <c r="A69" s="548" t="s">
        <v>408</v>
      </c>
      <c r="B69" s="548"/>
      <c r="C69" s="548"/>
      <c r="D69" s="548"/>
      <c r="E69" s="548"/>
      <c r="F69" s="2"/>
      <c r="G69" s="548" t="s">
        <v>408</v>
      </c>
      <c r="H69" s="548"/>
      <c r="I69" s="548"/>
      <c r="J69" s="548"/>
      <c r="K69" s="548"/>
    </row>
    <row r="70" customFormat="false" ht="15" hidden="false" customHeight="false" outlineLevel="0" collapsed="false">
      <c r="A70" s="548"/>
      <c r="B70" s="548"/>
      <c r="C70" s="548"/>
      <c r="D70" s="548"/>
      <c r="E70" s="548"/>
      <c r="F70" s="2"/>
      <c r="G70" s="548"/>
      <c r="H70" s="548"/>
      <c r="I70" s="548"/>
      <c r="J70" s="548"/>
      <c r="K70" s="548"/>
    </row>
    <row r="71" customFormat="false" ht="15" hidden="false" customHeight="true" outlineLevel="0" collapsed="false">
      <c r="A71" s="842" t="s">
        <v>519</v>
      </c>
      <c r="B71" s="842"/>
      <c r="C71" s="842"/>
      <c r="D71" s="842"/>
      <c r="E71" s="842"/>
      <c r="F71" s="2"/>
      <c r="G71" s="842" t="s">
        <v>519</v>
      </c>
      <c r="H71" s="842"/>
      <c r="I71" s="842"/>
      <c r="J71" s="842"/>
      <c r="K71" s="842"/>
    </row>
    <row r="72" customFormat="false" ht="15" hidden="false" customHeight="false" outlineLevel="0" collapsed="false">
      <c r="A72" s="842"/>
      <c r="B72" s="842"/>
      <c r="C72" s="842"/>
      <c r="D72" s="842"/>
      <c r="E72" s="842"/>
      <c r="F72" s="2"/>
      <c r="G72" s="842"/>
      <c r="H72" s="842"/>
      <c r="I72" s="842"/>
      <c r="J72" s="842"/>
      <c r="K72" s="842"/>
    </row>
    <row r="73" customFormat="false" ht="15" hidden="false" customHeight="false" outlineLevel="0" collapsed="false">
      <c r="A73" s="314"/>
      <c r="B73" s="48"/>
      <c r="C73" s="48"/>
      <c r="D73" s="48"/>
      <c r="E73" s="48"/>
      <c r="F73" s="2"/>
      <c r="G73" s="48"/>
      <c r="H73" s="48"/>
      <c r="I73" s="48"/>
      <c r="J73" s="48"/>
      <c r="K73" s="48"/>
      <c r="L73" s="48"/>
    </row>
    <row r="74" customFormat="false" ht="40.5" hidden="false" customHeight="true" outlineLevel="0" collapsed="false">
      <c r="A74" s="839" t="s">
        <v>523</v>
      </c>
      <c r="B74" s="132"/>
      <c r="C74" s="132"/>
      <c r="D74" s="132"/>
      <c r="E74" s="133"/>
      <c r="F74" s="2"/>
      <c r="G74" s="131" t="s">
        <v>524</v>
      </c>
      <c r="H74" s="132"/>
      <c r="I74" s="132"/>
      <c r="J74" s="132"/>
      <c r="K74" s="133"/>
    </row>
    <row r="75" customFormat="false" ht="15" hidden="false" customHeight="true" outlineLevel="0" collapsed="false">
      <c r="A75" s="548" t="s">
        <v>386</v>
      </c>
      <c r="B75" s="548"/>
      <c r="C75" s="548"/>
      <c r="D75" s="548"/>
      <c r="E75" s="548"/>
      <c r="F75" s="2"/>
      <c r="G75" s="548" t="s">
        <v>386</v>
      </c>
      <c r="H75" s="548"/>
      <c r="I75" s="548"/>
      <c r="J75" s="548"/>
      <c r="K75" s="548"/>
    </row>
    <row r="76" customFormat="false" ht="15" hidden="false" customHeight="false" outlineLevel="0" collapsed="false">
      <c r="A76" s="548"/>
      <c r="B76" s="548"/>
      <c r="C76" s="548"/>
      <c r="D76" s="548"/>
      <c r="E76" s="548"/>
      <c r="F76" s="2"/>
      <c r="G76" s="548"/>
      <c r="H76" s="548"/>
      <c r="I76" s="548"/>
      <c r="J76" s="548"/>
      <c r="K76" s="548"/>
    </row>
    <row r="77" customFormat="false" ht="15" hidden="false" customHeight="false" outlineLevel="0" collapsed="false">
      <c r="A77" s="548" t="s">
        <v>387</v>
      </c>
      <c r="B77" s="548"/>
      <c r="C77" s="548"/>
      <c r="D77" s="548"/>
      <c r="E77" s="548"/>
      <c r="F77" s="2"/>
      <c r="G77" s="548" t="s">
        <v>387</v>
      </c>
      <c r="H77" s="548"/>
      <c r="I77" s="548"/>
      <c r="J77" s="548"/>
      <c r="K77" s="548"/>
    </row>
    <row r="78" customFormat="false" ht="15" hidden="false" customHeight="false" outlineLevel="0" collapsed="false">
      <c r="A78" s="548"/>
      <c r="B78" s="548"/>
      <c r="C78" s="548"/>
      <c r="D78" s="548"/>
      <c r="E78" s="548"/>
      <c r="F78" s="2"/>
      <c r="G78" s="548"/>
      <c r="H78" s="548"/>
      <c r="I78" s="548"/>
      <c r="J78" s="548"/>
      <c r="K78" s="548"/>
    </row>
    <row r="79" customFormat="false" ht="15" hidden="false" customHeight="false" outlineLevel="0" collapsed="false">
      <c r="A79" s="548" t="s">
        <v>391</v>
      </c>
      <c r="B79" s="548"/>
      <c r="C79" s="548"/>
      <c r="D79" s="548"/>
      <c r="E79" s="548"/>
      <c r="F79" s="2"/>
      <c r="G79" s="548" t="s">
        <v>391</v>
      </c>
      <c r="H79" s="548"/>
      <c r="I79" s="548"/>
      <c r="J79" s="548"/>
      <c r="K79" s="548"/>
    </row>
    <row r="80" customFormat="false" ht="15" hidden="false" customHeight="false" outlineLevel="0" collapsed="false">
      <c r="A80" s="548"/>
      <c r="B80" s="548"/>
      <c r="C80" s="548"/>
      <c r="D80" s="548"/>
      <c r="E80" s="548"/>
      <c r="F80" s="2"/>
      <c r="G80" s="548"/>
      <c r="H80" s="548"/>
      <c r="I80" s="548"/>
      <c r="J80" s="548"/>
      <c r="K80" s="548"/>
    </row>
    <row r="81" customFormat="false" ht="15" hidden="false" customHeight="true" outlineLevel="0" collapsed="false">
      <c r="A81" s="548" t="s">
        <v>516</v>
      </c>
      <c r="B81" s="548"/>
      <c r="C81" s="548"/>
      <c r="D81" s="548"/>
      <c r="E81" s="548"/>
      <c r="F81" s="2"/>
      <c r="G81" s="548" t="s">
        <v>516</v>
      </c>
      <c r="H81" s="548"/>
      <c r="I81" s="548"/>
      <c r="J81" s="548"/>
      <c r="K81" s="548"/>
    </row>
    <row r="82" customFormat="false" ht="15" hidden="false" customHeight="false" outlineLevel="0" collapsed="false">
      <c r="A82" s="548"/>
      <c r="B82" s="548"/>
      <c r="C82" s="548"/>
      <c r="D82" s="548"/>
      <c r="E82" s="548"/>
      <c r="F82" s="2"/>
      <c r="G82" s="548"/>
      <c r="H82" s="548"/>
      <c r="I82" s="548"/>
      <c r="J82" s="548"/>
      <c r="K82" s="548"/>
    </row>
    <row r="83" customFormat="false" ht="15" hidden="false" customHeight="false" outlineLevel="0" collapsed="false">
      <c r="A83" s="548" t="s">
        <v>517</v>
      </c>
      <c r="B83" s="548"/>
      <c r="C83" s="548"/>
      <c r="D83" s="548"/>
      <c r="E83" s="548"/>
      <c r="F83" s="2"/>
      <c r="G83" s="548" t="s">
        <v>517</v>
      </c>
      <c r="H83" s="548"/>
      <c r="I83" s="548"/>
      <c r="J83" s="548"/>
      <c r="K83" s="548"/>
    </row>
    <row r="84" customFormat="false" ht="15" hidden="false" customHeight="false" outlineLevel="0" collapsed="false">
      <c r="A84" s="548"/>
      <c r="B84" s="548"/>
      <c r="C84" s="548"/>
      <c r="D84" s="548"/>
      <c r="E84" s="548"/>
      <c r="F84" s="2"/>
      <c r="G84" s="548"/>
      <c r="H84" s="548"/>
      <c r="I84" s="548"/>
      <c r="J84" s="548"/>
      <c r="K84" s="548"/>
    </row>
    <row r="85" customFormat="false" ht="15" hidden="false" customHeight="false" outlineLevel="0" collapsed="false">
      <c r="A85" s="548" t="s">
        <v>405</v>
      </c>
      <c r="B85" s="548"/>
      <c r="C85" s="548"/>
      <c r="D85" s="548"/>
      <c r="E85" s="548"/>
      <c r="F85" s="2"/>
      <c r="G85" s="548" t="s">
        <v>405</v>
      </c>
      <c r="H85" s="548"/>
      <c r="I85" s="548"/>
      <c r="J85" s="548"/>
      <c r="K85" s="548"/>
    </row>
    <row r="86" customFormat="false" ht="15" hidden="false" customHeight="false" outlineLevel="0" collapsed="false">
      <c r="A86" s="548"/>
      <c r="B86" s="548"/>
      <c r="C86" s="548"/>
      <c r="D86" s="548"/>
      <c r="E86" s="548"/>
      <c r="F86" s="2"/>
      <c r="G86" s="548"/>
      <c r="H86" s="548"/>
      <c r="I86" s="548"/>
      <c r="J86" s="548"/>
      <c r="K86" s="548"/>
    </row>
    <row r="87" customFormat="false" ht="15" hidden="false" customHeight="false" outlineLevel="0" collapsed="false">
      <c r="A87" s="548" t="s">
        <v>518</v>
      </c>
      <c r="B87" s="548"/>
      <c r="C87" s="548"/>
      <c r="D87" s="548"/>
      <c r="E87" s="548"/>
      <c r="F87" s="2"/>
      <c r="G87" s="548" t="s">
        <v>518</v>
      </c>
      <c r="H87" s="548"/>
      <c r="I87" s="548"/>
      <c r="J87" s="548"/>
      <c r="K87" s="548"/>
    </row>
    <row r="88" customFormat="false" ht="15" hidden="false" customHeight="false" outlineLevel="0" collapsed="false">
      <c r="A88" s="548"/>
      <c r="B88" s="548"/>
      <c r="C88" s="548"/>
      <c r="D88" s="548"/>
      <c r="E88" s="548"/>
      <c r="F88" s="2"/>
      <c r="G88" s="548"/>
      <c r="H88" s="548"/>
      <c r="I88" s="548"/>
      <c r="J88" s="548"/>
      <c r="K88" s="548"/>
    </row>
    <row r="89" customFormat="false" ht="15" hidden="false" customHeight="false" outlineLevel="0" collapsed="false">
      <c r="A89" s="548" t="s">
        <v>407</v>
      </c>
      <c r="B89" s="548"/>
      <c r="C89" s="548"/>
      <c r="D89" s="548"/>
      <c r="E89" s="548"/>
      <c r="F89" s="2"/>
      <c r="G89" s="548" t="s">
        <v>407</v>
      </c>
      <c r="H89" s="548"/>
      <c r="I89" s="548"/>
      <c r="J89" s="548"/>
      <c r="K89" s="548"/>
    </row>
    <row r="90" customFormat="false" ht="15" hidden="false" customHeight="false" outlineLevel="0" collapsed="false">
      <c r="A90" s="548"/>
      <c r="B90" s="548"/>
      <c r="C90" s="548"/>
      <c r="D90" s="548"/>
      <c r="E90" s="548"/>
      <c r="F90" s="2"/>
      <c r="G90" s="548"/>
      <c r="H90" s="548"/>
      <c r="I90" s="548"/>
      <c r="J90" s="548"/>
      <c r="K90" s="548"/>
    </row>
    <row r="91" customFormat="false" ht="15" hidden="false" customHeight="false" outlineLevel="0" collapsed="false">
      <c r="A91" s="548" t="s">
        <v>408</v>
      </c>
      <c r="B91" s="548"/>
      <c r="C91" s="548"/>
      <c r="D91" s="548"/>
      <c r="E91" s="548"/>
      <c r="F91" s="2"/>
      <c r="G91" s="548" t="s">
        <v>408</v>
      </c>
      <c r="H91" s="548"/>
      <c r="I91" s="548"/>
      <c r="J91" s="548"/>
      <c r="K91" s="548"/>
    </row>
    <row r="92" customFormat="false" ht="15" hidden="false" customHeight="false" outlineLevel="0" collapsed="false">
      <c r="A92" s="548"/>
      <c r="B92" s="548"/>
      <c r="C92" s="548"/>
      <c r="D92" s="548"/>
      <c r="E92" s="548"/>
      <c r="F92" s="2"/>
      <c r="G92" s="548"/>
      <c r="H92" s="548"/>
      <c r="I92" s="548"/>
      <c r="J92" s="548"/>
      <c r="K92" s="548"/>
    </row>
    <row r="93" customFormat="false" ht="15" hidden="false" customHeight="true" outlineLevel="0" collapsed="false">
      <c r="A93" s="842" t="s">
        <v>519</v>
      </c>
      <c r="B93" s="842"/>
      <c r="C93" s="842"/>
      <c r="D93" s="842"/>
      <c r="E93" s="842"/>
      <c r="F93" s="2"/>
      <c r="G93" s="842" t="s">
        <v>519</v>
      </c>
      <c r="H93" s="842"/>
      <c r="I93" s="842"/>
      <c r="J93" s="842"/>
      <c r="K93" s="842"/>
    </row>
    <row r="94" customFormat="false" ht="15" hidden="false" customHeight="false" outlineLevel="0" collapsed="false">
      <c r="A94" s="842"/>
      <c r="B94" s="842"/>
      <c r="C94" s="842"/>
      <c r="D94" s="842"/>
      <c r="E94" s="842"/>
      <c r="F94" s="2"/>
      <c r="G94" s="842"/>
      <c r="H94" s="842"/>
      <c r="I94" s="842"/>
      <c r="J94" s="842"/>
      <c r="K94" s="842"/>
    </row>
    <row r="95" customFormat="false" ht="15" hidden="true" customHeight="false" outlineLevel="0" collapsed="false">
      <c r="A95" s="845"/>
      <c r="B95" s="846"/>
      <c r="C95" s="846"/>
      <c r="D95" s="846"/>
      <c r="E95" s="846"/>
      <c r="F95" s="48"/>
      <c r="G95" s="846"/>
      <c r="H95" s="846"/>
      <c r="I95" s="846"/>
      <c r="J95" s="846"/>
      <c r="K95" s="847"/>
    </row>
    <row r="96" customFormat="false" ht="15" hidden="true" customHeight="false" outlineLevel="0" collapsed="false">
      <c r="A96" s="845"/>
      <c r="B96" s="846"/>
      <c r="C96" s="846"/>
      <c r="D96" s="846"/>
      <c r="E96" s="846"/>
      <c r="F96" s="48"/>
      <c r="G96" s="846"/>
      <c r="H96" s="846"/>
      <c r="I96" s="846"/>
      <c r="J96" s="846"/>
      <c r="K96" s="847"/>
    </row>
    <row r="97" customFormat="false" ht="15" hidden="true" customHeight="false" outlineLevel="0" collapsed="false">
      <c r="A97" s="52"/>
      <c r="B97" s="48"/>
      <c r="C97" s="48"/>
      <c r="D97" s="48"/>
      <c r="E97" s="48"/>
      <c r="F97" s="48"/>
      <c r="G97" s="48"/>
      <c r="H97" s="48"/>
      <c r="I97" s="48"/>
      <c r="J97" s="48"/>
      <c r="K97" s="54"/>
    </row>
    <row r="98" customFormat="false" ht="15" hidden="true" customHeight="false" outlineLevel="0" collapsed="false">
      <c r="A98" s="52"/>
      <c r="B98" s="48"/>
      <c r="C98" s="48"/>
      <c r="D98" s="48"/>
      <c r="E98" s="48"/>
      <c r="F98" s="48"/>
      <c r="G98" s="48"/>
      <c r="H98" s="48"/>
      <c r="I98" s="48"/>
      <c r="J98" s="48"/>
      <c r="K98" s="54"/>
    </row>
  </sheetData>
  <mergeCells count="80">
    <mergeCell ref="A9:E10"/>
    <mergeCell ref="G9:K10"/>
    <mergeCell ref="A11:E12"/>
    <mergeCell ref="G11:K12"/>
    <mergeCell ref="A13:E14"/>
    <mergeCell ref="G13:K14"/>
    <mergeCell ref="A15:E16"/>
    <mergeCell ref="G15:K16"/>
    <mergeCell ref="A17:E18"/>
    <mergeCell ref="G17:K18"/>
    <mergeCell ref="A19:E20"/>
    <mergeCell ref="G19:K20"/>
    <mergeCell ref="A21:E22"/>
    <mergeCell ref="G21:K22"/>
    <mergeCell ref="A23:E24"/>
    <mergeCell ref="G23:K24"/>
    <mergeCell ref="A25:E26"/>
    <mergeCell ref="G25:K26"/>
    <mergeCell ref="A27:E28"/>
    <mergeCell ref="G27:K28"/>
    <mergeCell ref="A31:E32"/>
    <mergeCell ref="G31:K32"/>
    <mergeCell ref="A33:E34"/>
    <mergeCell ref="G33:K34"/>
    <mergeCell ref="A35:E36"/>
    <mergeCell ref="G35:K36"/>
    <mergeCell ref="A37:E38"/>
    <mergeCell ref="G37:K38"/>
    <mergeCell ref="A39:E40"/>
    <mergeCell ref="G39:K40"/>
    <mergeCell ref="A41:E42"/>
    <mergeCell ref="G41:K42"/>
    <mergeCell ref="A43:E44"/>
    <mergeCell ref="G43:K44"/>
    <mergeCell ref="A45:E46"/>
    <mergeCell ref="G45:K46"/>
    <mergeCell ref="A47:E48"/>
    <mergeCell ref="G47:K48"/>
    <mergeCell ref="A49:E50"/>
    <mergeCell ref="G49:K50"/>
    <mergeCell ref="A53:E54"/>
    <mergeCell ref="G53:K54"/>
    <mergeCell ref="A55:E56"/>
    <mergeCell ref="G55:K56"/>
    <mergeCell ref="A57:E58"/>
    <mergeCell ref="G57:K58"/>
    <mergeCell ref="A59:E60"/>
    <mergeCell ref="G59:K60"/>
    <mergeCell ref="A61:E62"/>
    <mergeCell ref="G61:K62"/>
    <mergeCell ref="A63:E64"/>
    <mergeCell ref="G63:K64"/>
    <mergeCell ref="A65:E66"/>
    <mergeCell ref="G65:K66"/>
    <mergeCell ref="A67:E68"/>
    <mergeCell ref="G67:K68"/>
    <mergeCell ref="A69:E70"/>
    <mergeCell ref="G69:K70"/>
    <mergeCell ref="A71:E72"/>
    <mergeCell ref="G71:K72"/>
    <mergeCell ref="A75:E76"/>
    <mergeCell ref="G75:K76"/>
    <mergeCell ref="A77:E78"/>
    <mergeCell ref="G77:K78"/>
    <mergeCell ref="A79:E80"/>
    <mergeCell ref="G79:K80"/>
    <mergeCell ref="A81:E82"/>
    <mergeCell ref="G81:K82"/>
    <mergeCell ref="A83:E84"/>
    <mergeCell ref="G83:K84"/>
    <mergeCell ref="A85:E86"/>
    <mergeCell ref="G85:K86"/>
    <mergeCell ref="A87:E88"/>
    <mergeCell ref="G87:K88"/>
    <mergeCell ref="A89:E90"/>
    <mergeCell ref="G89:K90"/>
    <mergeCell ref="A91:E92"/>
    <mergeCell ref="G91:K92"/>
    <mergeCell ref="A93:E94"/>
    <mergeCell ref="G93:K94"/>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1" manualBreakCount="1">
    <brk id="104" man="true" max="16383" min="0"/>
  </rowBreaks>
  <drawing r:id="rId1"/>
</worksheet>
</file>

<file path=xl/worksheets/sheet39.xml><?xml version="1.0" encoding="utf-8"?>
<worksheet xmlns="http://schemas.openxmlformats.org/spreadsheetml/2006/main" xmlns:r="http://schemas.openxmlformats.org/officeDocument/2006/relationships">
  <sheetPr filterMode="false">
    <tabColor rgb="FFC0C0C0"/>
    <pageSetUpPr fitToPage="true"/>
  </sheetPr>
  <dimension ref="A1:Z69"/>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5" topLeftCell="A6" activePane="bottomLeft" state="frozen"/>
      <selection pane="topLeft" activeCell="A1" activeCellId="0" sqref="A1"/>
      <selection pane="bottomLeft" activeCell="I12" activeCellId="0" sqref="I12"/>
    </sheetView>
  </sheetViews>
  <sheetFormatPr defaultRowHeight="15" zeroHeight="true" outlineLevelRow="0" outlineLevelCol="0"/>
  <cols>
    <col collapsed="false" customWidth="true" hidden="false" outlineLevel="0" max="6" min="1" style="4" width="16"/>
    <col collapsed="false" customWidth="true" hidden="false" outlineLevel="0" max="7" min="7" style="4" width="15.42"/>
    <col collapsed="false" customWidth="true" hidden="false" outlineLevel="0" max="11" min="8" style="4" width="16"/>
    <col collapsed="false" customWidth="true" hidden="false" outlineLevel="0" max="12" min="12" style="22" width="1.58"/>
    <col collapsed="false" customWidth="true" hidden="true" outlineLevel="0" max="1025" min="13" style="4" width="9.58"/>
  </cols>
  <sheetData>
    <row r="1" s="312" customFormat="true" ht="28.5" hidden="false" customHeight="false" outlineLevel="0" collapsed="false">
      <c r="A1" s="113" t="s">
        <v>525</v>
      </c>
      <c r="B1" s="114"/>
      <c r="C1" s="114"/>
      <c r="D1" s="114"/>
      <c r="E1" s="114"/>
      <c r="F1" s="114"/>
      <c r="G1" s="114"/>
      <c r="H1" s="114"/>
      <c r="I1" s="114"/>
      <c r="J1" s="114"/>
      <c r="K1" s="115" t="s">
        <v>526</v>
      </c>
      <c r="L1" s="310"/>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851"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'Reference sheet'!C21</f>
        <v>EUR</v>
      </c>
    </row>
    <row r="4" customFormat="false" ht="15" hidden="false" customHeight="false" outlineLevel="0" collapsed="false">
      <c r="A4" s="52"/>
      <c r="B4" s="856"/>
      <c r="C4" s="857" t="s">
        <v>499</v>
      </c>
      <c r="D4" s="858"/>
      <c r="E4" s="858"/>
      <c r="F4" s="48"/>
      <c r="G4" s="48"/>
      <c r="H4" s="48"/>
      <c r="I4" s="48"/>
      <c r="J4" s="48"/>
      <c r="K4" s="54"/>
    </row>
    <row r="5" customFormat="false" ht="15" hidden="false" customHeight="false" outlineLevel="0" collapsed="false">
      <c r="A5" s="82"/>
      <c r="B5" s="107"/>
      <c r="C5" s="859" t="n">
        <v>2019</v>
      </c>
      <c r="D5" s="67"/>
      <c r="E5" s="860" t="n">
        <f aca="false">C5+1</f>
        <v>2020</v>
      </c>
      <c r="F5" s="861"/>
      <c r="G5" s="860" t="n">
        <f aca="false">E5+1</f>
        <v>2021</v>
      </c>
      <c r="H5" s="862"/>
      <c r="I5" s="860" t="n">
        <f aca="false">G5+1</f>
        <v>2022</v>
      </c>
      <c r="J5" s="862"/>
      <c r="K5" s="860" t="n">
        <f aca="false">I5+1</f>
        <v>2023</v>
      </c>
    </row>
    <row r="6" customFormat="false" ht="18.75" hidden="false" customHeight="false" outlineLevel="0" collapsed="false">
      <c r="A6" s="839" t="s">
        <v>528</v>
      </c>
      <c r="B6" s="863"/>
      <c r="C6" s="132"/>
      <c r="D6" s="132"/>
      <c r="E6" s="132"/>
      <c r="F6" s="132"/>
      <c r="G6" s="132"/>
      <c r="H6" s="132"/>
      <c r="I6" s="132"/>
      <c r="J6" s="864"/>
      <c r="K6" s="133"/>
      <c r="O6" s="87"/>
    </row>
    <row r="7" customFormat="false" ht="15" hidden="false" customHeight="false" outlineLevel="0" collapsed="false">
      <c r="A7" s="562" t="s">
        <v>529</v>
      </c>
      <c r="B7" s="696" t="n">
        <f aca="false">'9.0 Scenario''s'!D9</f>
        <v>1</v>
      </c>
      <c r="C7" s="54"/>
      <c r="D7" s="48"/>
      <c r="E7" s="865"/>
      <c r="F7" s="865"/>
      <c r="G7" s="865"/>
      <c r="H7" s="866"/>
      <c r="I7" s="866"/>
      <c r="J7" s="866"/>
      <c r="K7" s="867"/>
    </row>
    <row r="8" customFormat="false" ht="15" hidden="false" customHeight="false" outlineLevel="0" collapsed="false">
      <c r="A8" s="52" t="s">
        <v>530</v>
      </c>
      <c r="B8" s="48"/>
      <c r="C8" s="868" t="n">
        <f aca="false">'5.1.2 NT market-Dealer area'!G8*$B$7</f>
        <v>0</v>
      </c>
      <c r="D8" s="869"/>
      <c r="E8" s="869" t="n">
        <f aca="false">'5.1.2 NT market-Dealer area'!H8*$B$7</f>
        <v>0</v>
      </c>
      <c r="F8" s="870"/>
      <c r="G8" s="869" t="n">
        <f aca="false">'5.1.2 NT market-Dealer area'!I8*$B$7</f>
        <v>0</v>
      </c>
      <c r="H8" s="871"/>
      <c r="I8" s="869" t="n">
        <f aca="false">'5.1.2 NT market-Dealer area'!J8*$B$7</f>
        <v>0</v>
      </c>
      <c r="J8" s="870"/>
      <c r="K8" s="868" t="n">
        <f aca="false">'5.1.2 NT market-Dealer area'!K8*$B$7</f>
        <v>0</v>
      </c>
      <c r="N8" s="87"/>
      <c r="P8" s="872"/>
      <c r="U8" s="872"/>
    </row>
    <row r="9" customFormat="false" ht="15" hidden="false" customHeight="false" outlineLevel="0" collapsed="false">
      <c r="A9" s="52" t="s">
        <v>531</v>
      </c>
      <c r="B9" s="48"/>
      <c r="C9" s="873" t="n">
        <f aca="false">'5.1.2 NT market-Dealer area'!G9*$B$7</f>
        <v>100</v>
      </c>
      <c r="D9" s="869"/>
      <c r="E9" s="874" t="n">
        <f aca="false">'5.1.2 NT market-Dealer area'!H9*$B$7</f>
        <v>0</v>
      </c>
      <c r="F9" s="870"/>
      <c r="G9" s="874" t="n">
        <f aca="false">'5.1.2 NT market-Dealer area'!I9*$B$7</f>
        <v>0</v>
      </c>
      <c r="H9" s="871"/>
      <c r="I9" s="874" t="n">
        <f aca="false">'5.1.2 NT market-Dealer area'!J9*$B$7</f>
        <v>0</v>
      </c>
      <c r="J9" s="870"/>
      <c r="K9" s="868" t="n">
        <f aca="false">'5.1.2 NT market-Dealer area'!K9*$B$7</f>
        <v>0</v>
      </c>
      <c r="N9" s="87"/>
      <c r="P9" s="872"/>
      <c r="U9" s="872"/>
    </row>
    <row r="10" customFormat="false" ht="15" hidden="false" customHeight="false" outlineLevel="0" collapsed="false">
      <c r="A10" s="562" t="s">
        <v>293</v>
      </c>
      <c r="B10" s="48"/>
      <c r="C10" s="875" t="n">
        <f aca="false">+C8+C9</f>
        <v>100</v>
      </c>
      <c r="D10" s="876"/>
      <c r="E10" s="876" t="n">
        <f aca="false">+E8+E9</f>
        <v>0</v>
      </c>
      <c r="F10" s="876"/>
      <c r="G10" s="876" t="n">
        <f aca="false">+G8+G9</f>
        <v>0</v>
      </c>
      <c r="H10" s="876"/>
      <c r="I10" s="876" t="n">
        <f aca="false">+I8+I9</f>
        <v>0</v>
      </c>
      <c r="J10" s="876"/>
      <c r="K10" s="877" t="n">
        <f aca="false">+K8+K9</f>
        <v>0</v>
      </c>
    </row>
    <row r="11" customFormat="false" ht="15" hidden="false" customHeight="false" outlineLevel="0" collapsed="false">
      <c r="A11" s="82"/>
      <c r="B11" s="107"/>
      <c r="C11" s="84"/>
      <c r="D11" s="107"/>
      <c r="E11" s="107"/>
      <c r="F11" s="107"/>
      <c r="G11" s="107"/>
      <c r="H11" s="107"/>
      <c r="I11" s="107"/>
      <c r="J11" s="107"/>
      <c r="K11" s="84"/>
    </row>
    <row r="12" customFormat="false" ht="18.75" hidden="false" customHeight="false" outlineLevel="0" collapsed="false">
      <c r="A12" s="839" t="s">
        <v>532</v>
      </c>
      <c r="B12" s="132"/>
      <c r="C12" s="132"/>
      <c r="D12" s="132"/>
      <c r="E12" s="132"/>
      <c r="F12" s="132"/>
      <c r="G12" s="132"/>
      <c r="H12" s="132"/>
      <c r="I12" s="132"/>
      <c r="J12" s="132"/>
      <c r="K12" s="133"/>
    </row>
    <row r="13" customFormat="false" ht="15" hidden="false" customHeight="false" outlineLevel="0" collapsed="false">
      <c r="A13" s="562"/>
      <c r="B13" s="696"/>
      <c r="C13" s="54"/>
      <c r="D13" s="48"/>
      <c r="E13" s="48"/>
      <c r="F13" s="2"/>
      <c r="G13" s="48"/>
      <c r="H13" s="48"/>
      <c r="I13" s="48"/>
      <c r="J13" s="2"/>
      <c r="K13" s="54"/>
    </row>
    <row r="14" customFormat="false" ht="15" hidden="false" customHeight="false" outlineLevel="0" collapsed="false">
      <c r="A14" s="52" t="s">
        <v>530</v>
      </c>
      <c r="B14" s="48"/>
      <c r="C14" s="878" t="n">
        <v>0.1</v>
      </c>
      <c r="D14" s="879"/>
      <c r="E14" s="880" t="n">
        <v>0</v>
      </c>
      <c r="F14" s="879"/>
      <c r="G14" s="880" t="n">
        <v>0</v>
      </c>
      <c r="H14" s="879"/>
      <c r="I14" s="880" t="n">
        <v>0</v>
      </c>
      <c r="J14" s="879"/>
      <c r="K14" s="878" t="n">
        <v>0</v>
      </c>
    </row>
    <row r="15" customFormat="false" ht="15" hidden="false" customHeight="false" outlineLevel="0" collapsed="false">
      <c r="A15" s="52" t="s">
        <v>531</v>
      </c>
      <c r="B15" s="48"/>
      <c r="C15" s="878" t="n">
        <v>0.1</v>
      </c>
      <c r="D15" s="879"/>
      <c r="E15" s="880" t="n">
        <v>1</v>
      </c>
      <c r="F15" s="879"/>
      <c r="G15" s="880" t="n">
        <v>1</v>
      </c>
      <c r="H15" s="879"/>
      <c r="I15" s="880" t="n">
        <v>1</v>
      </c>
      <c r="J15" s="879"/>
      <c r="K15" s="878" t="n">
        <v>1</v>
      </c>
    </row>
    <row r="16" customFormat="false" ht="15" hidden="false" customHeight="false" outlineLevel="0" collapsed="false">
      <c r="A16" s="562" t="str">
        <f aca="false">+A10</f>
        <v>Total</v>
      </c>
      <c r="B16" s="48"/>
      <c r="C16" s="881" t="n">
        <f aca="false">IF(C10=0,0,((C8*C14)+(C9*C15))/C10)</f>
        <v>0.1</v>
      </c>
      <c r="D16" s="882"/>
      <c r="E16" s="883" t="n">
        <f aca="false">IF(E10=0,0,((E8*E14)+(E9*E15))/E10)</f>
        <v>0</v>
      </c>
      <c r="F16" s="563"/>
      <c r="G16" s="883" t="n">
        <f aca="false">IF(G10=0,0,((G8*G14)+(G9*G15))/G10)</f>
        <v>0</v>
      </c>
      <c r="H16" s="884"/>
      <c r="I16" s="883" t="n">
        <f aca="false">IF(I10=0,0,((I8*I14)+(I9*I15))/I10)</f>
        <v>0</v>
      </c>
      <c r="J16" s="884"/>
      <c r="K16" s="881" t="n">
        <f aca="false">IF(K10=0,0,((K8*K14)+(K9*K15))/K10)</f>
        <v>0</v>
      </c>
    </row>
    <row r="17" customFormat="false" ht="15" hidden="false" customHeight="false" outlineLevel="0" collapsed="false">
      <c r="A17" s="82"/>
      <c r="B17" s="107"/>
      <c r="C17" s="885"/>
      <c r="D17" s="886"/>
      <c r="E17" s="886"/>
      <c r="F17" s="886"/>
      <c r="G17" s="886"/>
      <c r="H17" s="886"/>
      <c r="I17" s="886"/>
      <c r="J17" s="886"/>
      <c r="K17" s="885"/>
    </row>
    <row r="18" customFormat="false" ht="18.75" hidden="true" customHeight="false" outlineLevel="0" collapsed="false">
      <c r="A18" s="887" t="s">
        <v>533</v>
      </c>
      <c r="B18" s="314"/>
      <c r="C18" s="314"/>
      <c r="D18" s="314"/>
      <c r="E18" s="314"/>
      <c r="F18" s="314"/>
      <c r="G18" s="314"/>
      <c r="H18" s="314"/>
      <c r="I18" s="314"/>
      <c r="J18" s="314"/>
      <c r="K18" s="513"/>
    </row>
    <row r="19" customFormat="false" ht="15" hidden="true" customHeight="false" outlineLevel="0" collapsed="false">
      <c r="A19" s="562" t="s">
        <v>529</v>
      </c>
      <c r="B19" s="696" t="n">
        <f aca="false">'9.0 Scenario''s'!D10</f>
        <v>1</v>
      </c>
      <c r="C19" s="54"/>
      <c r="D19" s="48"/>
      <c r="E19" s="48"/>
      <c r="F19" s="48"/>
      <c r="G19" s="48"/>
      <c r="H19" s="48"/>
      <c r="I19" s="48"/>
      <c r="J19" s="48"/>
      <c r="K19" s="54"/>
    </row>
    <row r="20" customFormat="false" ht="15" hidden="true" customHeight="false" outlineLevel="0" collapsed="false">
      <c r="A20" s="52" t="s">
        <v>530</v>
      </c>
      <c r="B20" s="48"/>
      <c r="C20" s="880" t="n">
        <f aca="false">IF(AND(C14&lt;&gt;"",ISNUMBER(C14)),C14*$B$19,0)</f>
        <v>0.1</v>
      </c>
      <c r="D20" s="888"/>
      <c r="E20" s="880" t="n">
        <f aca="false">IF(AND(E14&lt;&gt;"",ISNUMBER(E14)),E14*$B$19,0)</f>
        <v>0</v>
      </c>
      <c r="F20" s="889"/>
      <c r="G20" s="880" t="n">
        <f aca="false">IF(AND(G14&lt;&gt;"",ISNUMBER(G14)),G14*$B$19,0)</f>
        <v>0</v>
      </c>
      <c r="H20" s="889"/>
      <c r="I20" s="880" t="n">
        <f aca="false">IF(AND(I14&lt;&gt;"",ISNUMBER(I14)),I14*$B$19,0)</f>
        <v>0</v>
      </c>
      <c r="J20" s="889"/>
      <c r="K20" s="878" t="n">
        <f aca="false">IF(AND(K14&lt;&gt;"",ISNUMBER(K14)),K14*$B$19,0)</f>
        <v>0</v>
      </c>
    </row>
    <row r="21" customFormat="false" ht="15" hidden="true" customHeight="false" outlineLevel="0" collapsed="false">
      <c r="A21" s="52" t="s">
        <v>531</v>
      </c>
      <c r="B21" s="48"/>
      <c r="C21" s="890" t="n">
        <f aca="false">IF(AND(C15&lt;&gt;"",ISNUMBER(C15)),C15*$B$19,0)</f>
        <v>0.1</v>
      </c>
      <c r="D21" s="888"/>
      <c r="E21" s="890" t="n">
        <f aca="false">IF(AND(E15&lt;&gt;"",ISNUMBER(E15)),E15*$B$19,0)</f>
        <v>1</v>
      </c>
      <c r="F21" s="889"/>
      <c r="G21" s="890" t="n">
        <f aca="false">IF(AND(G15&lt;&gt;"",ISNUMBER(G15)),G15*$B$19,0)</f>
        <v>1</v>
      </c>
      <c r="H21" s="889"/>
      <c r="I21" s="890" t="n">
        <f aca="false">IF(AND(I15&lt;&gt;"",ISNUMBER(I15)),I15*$B$19,0)</f>
        <v>1</v>
      </c>
      <c r="J21" s="889"/>
      <c r="K21" s="891" t="n">
        <f aca="false">IF(AND(K15&lt;&gt;"",ISNUMBER(K15)),K15*$B$19,0)</f>
        <v>1</v>
      </c>
    </row>
    <row r="22" customFormat="false" ht="15" hidden="true" customHeight="false" outlineLevel="0" collapsed="false">
      <c r="A22" s="562" t="str">
        <f aca="false">+A10</f>
        <v>Total</v>
      </c>
      <c r="B22" s="48"/>
      <c r="C22" s="892" t="n">
        <f aca="false">IF(C10=0,0,((C20*C8)+(C21*C9))/C10)</f>
        <v>0.1</v>
      </c>
      <c r="D22" s="563"/>
      <c r="E22" s="893" t="n">
        <f aca="false">IF(E10=0,0,((E20*E8)+(E21*E9))/E10)</f>
        <v>0</v>
      </c>
      <c r="F22" s="563"/>
      <c r="G22" s="893" t="n">
        <f aca="false">IF(G10=0,0,((G20*G8)+(G21*G9))/G10)</f>
        <v>0</v>
      </c>
      <c r="H22" s="563"/>
      <c r="I22" s="893" t="n">
        <f aca="false">IF(I10=0,0,((I20*I8)+(I21*I9))/I10)</f>
        <v>0</v>
      </c>
      <c r="J22" s="563"/>
      <c r="K22" s="892" t="n">
        <f aca="false">IF(K10=0,0,((K20*K8)+(K21*K9))/K10)</f>
        <v>0</v>
      </c>
    </row>
    <row r="23" customFormat="false" ht="15" hidden="true" customHeight="false" outlineLevel="0" collapsed="false">
      <c r="A23" s="82"/>
      <c r="B23" s="107"/>
      <c r="C23" s="885"/>
      <c r="D23" s="886"/>
      <c r="E23" s="886"/>
      <c r="F23" s="886"/>
      <c r="G23" s="886"/>
      <c r="H23" s="886"/>
      <c r="I23" s="886"/>
      <c r="J23" s="886"/>
      <c r="K23" s="885"/>
    </row>
    <row r="24" customFormat="false" ht="15" hidden="true" customHeight="false" outlineLevel="0" collapsed="false">
      <c r="A24" s="82"/>
      <c r="B24" s="107"/>
      <c r="C24" s="886"/>
      <c r="D24" s="886"/>
      <c r="E24" s="886"/>
      <c r="F24" s="886"/>
      <c r="G24" s="886"/>
      <c r="H24" s="886"/>
      <c r="I24" s="886"/>
      <c r="J24" s="886"/>
      <c r="K24" s="885"/>
    </row>
    <row r="25" customFormat="false" ht="18" hidden="false" customHeight="false" outlineLevel="0" collapsed="false">
      <c r="A25" s="315" t="s">
        <v>534</v>
      </c>
      <c r="B25" s="132"/>
      <c r="C25" s="894"/>
      <c r="D25" s="894"/>
      <c r="E25" s="894"/>
      <c r="F25" s="894"/>
      <c r="G25" s="894"/>
      <c r="H25" s="894"/>
      <c r="I25" s="894"/>
      <c r="J25" s="894"/>
      <c r="K25" s="895"/>
    </row>
    <row r="26" customFormat="false" ht="15" hidden="false" customHeight="false" outlineLevel="0" collapsed="false">
      <c r="A26" s="52"/>
      <c r="B26" s="48"/>
      <c r="C26" s="896"/>
      <c r="D26" s="897"/>
      <c r="E26" s="897"/>
      <c r="F26" s="897"/>
      <c r="G26" s="897"/>
      <c r="H26" s="897"/>
      <c r="I26" s="897"/>
      <c r="J26" s="897"/>
      <c r="K26" s="898"/>
    </row>
    <row r="27" customFormat="false" ht="15" hidden="false" customHeight="false" outlineLevel="0" collapsed="false">
      <c r="A27" s="52" t="s">
        <v>530</v>
      </c>
      <c r="B27" s="48"/>
      <c r="C27" s="899" t="n">
        <f aca="false">ROUND(C8*C20,0)</f>
        <v>0</v>
      </c>
      <c r="D27" s="900"/>
      <c r="E27" s="900" t="n">
        <f aca="false">ROUND(E8*E20,0)</f>
        <v>0</v>
      </c>
      <c r="F27" s="900"/>
      <c r="G27" s="900" t="n">
        <f aca="false">ROUND(G8*G20,0)</f>
        <v>0</v>
      </c>
      <c r="H27" s="900"/>
      <c r="I27" s="900" t="n">
        <f aca="false">ROUND(I8*I20,0)</f>
        <v>0</v>
      </c>
      <c r="J27" s="900"/>
      <c r="K27" s="899" t="n">
        <f aca="false">ROUND(K8*K20,0)</f>
        <v>0</v>
      </c>
      <c r="N27" s="47"/>
      <c r="P27" s="47"/>
    </row>
    <row r="28" customFormat="false" ht="15" hidden="false" customHeight="false" outlineLevel="0" collapsed="false">
      <c r="A28" s="52" t="s">
        <v>531</v>
      </c>
      <c r="B28" s="48"/>
      <c r="C28" s="901" t="n">
        <f aca="false">ROUND(C9*C21,0)</f>
        <v>10</v>
      </c>
      <c r="D28" s="900"/>
      <c r="E28" s="902" t="n">
        <f aca="false">ROUND(E9*E21,0)</f>
        <v>0</v>
      </c>
      <c r="F28" s="900"/>
      <c r="G28" s="902" t="n">
        <f aca="false">ROUND(G9*G21,0)</f>
        <v>0</v>
      </c>
      <c r="H28" s="900"/>
      <c r="I28" s="902" t="n">
        <f aca="false">ROUND(I9*I21,0)</f>
        <v>0</v>
      </c>
      <c r="J28" s="900"/>
      <c r="K28" s="901" t="n">
        <f aca="false">ROUND(K9*K21,0)</f>
        <v>0</v>
      </c>
      <c r="N28" s="47"/>
      <c r="P28" s="47"/>
    </row>
    <row r="29" customFormat="false" ht="15" hidden="false" customHeight="false" outlineLevel="0" collapsed="false">
      <c r="A29" s="562" t="str">
        <f aca="false">A10</f>
        <v>Total</v>
      </c>
      <c r="B29" s="48"/>
      <c r="C29" s="903" t="n">
        <f aca="false">+C27+C28</f>
        <v>10</v>
      </c>
      <c r="D29" s="876"/>
      <c r="E29" s="904" t="n">
        <f aca="false">(E27+E28)</f>
        <v>0</v>
      </c>
      <c r="F29" s="876"/>
      <c r="G29" s="904" t="n">
        <f aca="false">(G27+G28)</f>
        <v>0</v>
      </c>
      <c r="H29" s="876"/>
      <c r="I29" s="904" t="n">
        <f aca="false">(I27+I28)</f>
        <v>0</v>
      </c>
      <c r="J29" s="876"/>
      <c r="K29" s="903" t="n">
        <f aca="false">(K27+K28)</f>
        <v>0</v>
      </c>
    </row>
    <row r="30" customFormat="false" ht="15" hidden="false" customHeight="false" outlineLevel="0" collapsed="false">
      <c r="A30" s="82"/>
      <c r="B30" s="107"/>
      <c r="C30" s="885"/>
      <c r="D30" s="886"/>
      <c r="E30" s="886"/>
      <c r="F30" s="886"/>
      <c r="G30" s="886"/>
      <c r="H30" s="886"/>
      <c r="I30" s="886"/>
      <c r="J30" s="886"/>
      <c r="K30" s="885"/>
    </row>
    <row r="31" customFormat="false" ht="18.75" hidden="true" customHeight="false" outlineLevel="0" collapsed="false">
      <c r="A31" s="887" t="s">
        <v>535</v>
      </c>
      <c r="B31" s="314"/>
      <c r="C31" s="314"/>
      <c r="D31" s="314"/>
      <c r="E31" s="314"/>
      <c r="F31" s="314"/>
      <c r="G31" s="314"/>
      <c r="H31" s="314"/>
      <c r="I31" s="314"/>
      <c r="J31" s="314"/>
      <c r="K31" s="513"/>
    </row>
    <row r="32" customFormat="false" ht="15" hidden="true" customHeight="false" outlineLevel="0" collapsed="false">
      <c r="A32" s="562" t="s">
        <v>529</v>
      </c>
      <c r="B32" s="696" t="n">
        <v>1</v>
      </c>
      <c r="C32" s="54"/>
      <c r="D32" s="48"/>
      <c r="E32" s="48"/>
      <c r="F32" s="48"/>
      <c r="G32" s="48"/>
      <c r="H32" s="48"/>
      <c r="I32" s="48"/>
      <c r="J32" s="48"/>
      <c r="K32" s="54"/>
    </row>
    <row r="33" customFormat="false" ht="15" hidden="true" customHeight="false" outlineLevel="0" collapsed="false">
      <c r="A33" s="52" t="s">
        <v>530</v>
      </c>
      <c r="B33" s="48"/>
      <c r="C33" s="899" t="n">
        <f aca="false">$B$32*C27</f>
        <v>0</v>
      </c>
      <c r="D33" s="905"/>
      <c r="E33" s="900" t="n">
        <f aca="false">$B$32*E27</f>
        <v>0</v>
      </c>
      <c r="F33" s="900"/>
      <c r="G33" s="900" t="n">
        <f aca="false">$B$32*G27</f>
        <v>0</v>
      </c>
      <c r="H33" s="900"/>
      <c r="I33" s="900" t="n">
        <f aca="false">$B$32*I27</f>
        <v>0</v>
      </c>
      <c r="J33" s="900"/>
      <c r="K33" s="899" t="n">
        <f aca="false">$B$32*K27</f>
        <v>0</v>
      </c>
    </row>
    <row r="34" customFormat="false" ht="15" hidden="true" customHeight="false" outlineLevel="0" collapsed="false">
      <c r="A34" s="52" t="s">
        <v>531</v>
      </c>
      <c r="B34" s="48"/>
      <c r="C34" s="901" t="n">
        <f aca="false">$B$32*C28</f>
        <v>10</v>
      </c>
      <c r="D34" s="900"/>
      <c r="E34" s="902" t="n">
        <f aca="false">$B$32*E28</f>
        <v>0</v>
      </c>
      <c r="F34" s="900"/>
      <c r="G34" s="902" t="n">
        <f aca="false">$B$32*G28</f>
        <v>0</v>
      </c>
      <c r="H34" s="900"/>
      <c r="I34" s="902" t="n">
        <f aca="false">$B$32*I28</f>
        <v>0</v>
      </c>
      <c r="J34" s="900"/>
      <c r="K34" s="901" t="n">
        <f aca="false">$B$32*K28</f>
        <v>0</v>
      </c>
    </row>
    <row r="35" customFormat="false" ht="15" hidden="true" customHeight="false" outlineLevel="0" collapsed="false">
      <c r="A35" s="562" t="str">
        <f aca="false">+A10</f>
        <v>Total</v>
      </c>
      <c r="B35" s="48"/>
      <c r="C35" s="565" t="n">
        <f aca="false">+C33+C34</f>
        <v>10</v>
      </c>
      <c r="D35" s="696"/>
      <c r="E35" s="564" t="n">
        <f aca="false">(E33+E34)</f>
        <v>0</v>
      </c>
      <c r="F35" s="564"/>
      <c r="G35" s="564" t="n">
        <f aca="false">(G33+G34)</f>
        <v>0</v>
      </c>
      <c r="H35" s="564"/>
      <c r="I35" s="564" t="n">
        <f aca="false">(I33+I34)</f>
        <v>0</v>
      </c>
      <c r="J35" s="564"/>
      <c r="K35" s="565" t="n">
        <f aca="false">(K33+K34)</f>
        <v>0</v>
      </c>
    </row>
    <row r="36" customFormat="false" ht="15" hidden="true" customHeight="false" outlineLevel="0" collapsed="false">
      <c r="A36" s="82"/>
      <c r="B36" s="107"/>
      <c r="C36" s="84"/>
      <c r="D36" s="107"/>
      <c r="E36" s="107"/>
      <c r="F36" s="107"/>
      <c r="G36" s="107"/>
      <c r="H36" s="107"/>
      <c r="I36" s="107"/>
      <c r="J36" s="107"/>
      <c r="K36" s="84"/>
    </row>
    <row r="37" s="281" customFormat="true" ht="18.75" hidden="false" customHeight="false" outlineLevel="0" collapsed="false">
      <c r="A37" s="839" t="s">
        <v>536</v>
      </c>
      <c r="B37" s="132"/>
      <c r="C37" s="132"/>
      <c r="D37" s="132"/>
      <c r="E37" s="132"/>
      <c r="F37" s="132"/>
      <c r="G37" s="132"/>
      <c r="H37" s="132"/>
      <c r="I37" s="132"/>
      <c r="J37" s="132"/>
      <c r="K37" s="133"/>
      <c r="L37" s="22"/>
    </row>
    <row r="38" customFormat="false" ht="15" hidden="false" customHeight="false" outlineLevel="0" collapsed="false">
      <c r="A38" s="562"/>
      <c r="B38" s="48"/>
      <c r="C38" s="48"/>
      <c r="D38" s="506"/>
      <c r="E38" s="257"/>
      <c r="F38" s="257"/>
      <c r="G38" s="257"/>
      <c r="H38" s="257"/>
      <c r="I38" s="257"/>
      <c r="J38" s="257"/>
      <c r="K38" s="260"/>
    </row>
    <row r="39" customFormat="false" ht="15" hidden="false" customHeight="false" outlineLevel="0" collapsed="false">
      <c r="A39" s="52" t="s">
        <v>165</v>
      </c>
      <c r="B39" s="906" t="n">
        <v>0</v>
      </c>
      <c r="C39" s="869" t="n">
        <f aca="false">ROUND(B39*C$27,0)</f>
        <v>0</v>
      </c>
      <c r="D39" s="907" t="n">
        <f aca="false">B39</f>
        <v>0</v>
      </c>
      <c r="E39" s="869" t="n">
        <f aca="false">ROUND(D39*E$27,0)</f>
        <v>0</v>
      </c>
      <c r="F39" s="906" t="n">
        <f aca="false">D39</f>
        <v>0</v>
      </c>
      <c r="G39" s="869" t="n">
        <f aca="false">ROUND(F39*G$27,0)</f>
        <v>0</v>
      </c>
      <c r="H39" s="906" t="n">
        <f aca="false">F39</f>
        <v>0</v>
      </c>
      <c r="I39" s="869" t="n">
        <f aca="false">ROUND(H39*I$27,0)</f>
        <v>0</v>
      </c>
      <c r="J39" s="906" t="n">
        <f aca="false">H39</f>
        <v>0</v>
      </c>
      <c r="K39" s="908" t="n">
        <f aca="false">ROUND(J39*K$27,0)</f>
        <v>0</v>
      </c>
      <c r="P39" s="47"/>
    </row>
    <row r="40" customFormat="false" ht="15" hidden="false" customHeight="false" outlineLevel="0" collapsed="false">
      <c r="A40" s="52" t="s">
        <v>166</v>
      </c>
      <c r="B40" s="695" t="n">
        <v>0</v>
      </c>
      <c r="C40" s="869" t="n">
        <f aca="false">ROUND(B40*C$27,0)</f>
        <v>0</v>
      </c>
      <c r="D40" s="909" t="n">
        <f aca="false">B40</f>
        <v>0</v>
      </c>
      <c r="E40" s="869" t="n">
        <f aca="false">ROUND(D40*E$27,0)</f>
        <v>0</v>
      </c>
      <c r="F40" s="695" t="n">
        <f aca="false">D40</f>
        <v>0</v>
      </c>
      <c r="G40" s="869" t="n">
        <f aca="false">ROUND(F40*G$27,0)</f>
        <v>0</v>
      </c>
      <c r="H40" s="695" t="n">
        <f aca="false">F40</f>
        <v>0</v>
      </c>
      <c r="I40" s="869" t="n">
        <f aca="false">ROUND(H40*I$27,0)</f>
        <v>0</v>
      </c>
      <c r="J40" s="695" t="n">
        <f aca="false">H40</f>
        <v>0</v>
      </c>
      <c r="K40" s="908" t="n">
        <f aca="false">ROUND(J40*K$27,0)</f>
        <v>0</v>
      </c>
      <c r="P40" s="47"/>
    </row>
    <row r="41" customFormat="false" ht="15" hidden="false" customHeight="false" outlineLevel="0" collapsed="false">
      <c r="A41" s="562" t="s">
        <v>537</v>
      </c>
      <c r="B41" s="910" t="n">
        <f aca="false">SUM(B39:B40)</f>
        <v>0</v>
      </c>
      <c r="C41" s="911" t="n">
        <f aca="false">SUM(C39:C40)</f>
        <v>0</v>
      </c>
      <c r="D41" s="912" t="n">
        <f aca="false">SUM(D39:D40)</f>
        <v>0</v>
      </c>
      <c r="E41" s="911" t="n">
        <f aca="false">SUM(E39:E40)</f>
        <v>0</v>
      </c>
      <c r="F41" s="910" t="n">
        <f aca="false">SUM(F39:F40)</f>
        <v>0</v>
      </c>
      <c r="G41" s="911" t="n">
        <f aca="false">SUM(G39:G40)</f>
        <v>0</v>
      </c>
      <c r="H41" s="910" t="n">
        <f aca="false">SUM(H39:H40)</f>
        <v>0</v>
      </c>
      <c r="I41" s="911" t="n">
        <f aca="false">SUM(I39:I40)</f>
        <v>0</v>
      </c>
      <c r="J41" s="910" t="n">
        <f aca="false">SUM(J39:J40)</f>
        <v>0</v>
      </c>
      <c r="K41" s="913" t="n">
        <f aca="false">SUM(K39:K40)</f>
        <v>0</v>
      </c>
      <c r="P41" s="47"/>
    </row>
    <row r="42" customFormat="false" ht="15" hidden="false" customHeight="false" outlineLevel="0" collapsed="false">
      <c r="A42" s="134"/>
      <c r="B42" s="914" t="str">
        <f aca="false">IF(B41&lt;&gt;100%,"MIX DOES NOT EQUAL 100%"," ")</f>
        <v>MIX DOES NOT EQUAL 100%</v>
      </c>
      <c r="C42" s="915"/>
      <c r="D42" s="914" t="str">
        <f aca="false">IF(D41&lt;&gt;100%,"MIX DOES NOT EQUAL 100%"," ")</f>
        <v>MIX DOES NOT EQUAL 100%</v>
      </c>
      <c r="E42" s="512"/>
      <c r="F42" s="914" t="str">
        <f aca="false">IF(F41&lt;&gt;100%,"MIX DOES NOT EQUAL 100%"," ")</f>
        <v>MIX DOES NOT EQUAL 100%</v>
      </c>
      <c r="G42" s="512"/>
      <c r="H42" s="914" t="str">
        <f aca="false">IF(H41&lt;&gt;100%,"MIX DOES NOT EQUAL 100%"," ")</f>
        <v>MIX DOES NOT EQUAL 100%</v>
      </c>
      <c r="I42" s="512"/>
      <c r="J42" s="914" t="str">
        <f aca="false">IF(J41&lt;&gt;100%,"MIX DOES NOT EQUAL 100%"," ")</f>
        <v>MIX DOES NOT EQUAL 100%</v>
      </c>
      <c r="K42" s="915"/>
      <c r="P42" s="47"/>
    </row>
    <row r="43" customFormat="false" ht="15" hidden="false" customHeight="false" outlineLevel="0" collapsed="false">
      <c r="A43" s="52" t="s">
        <v>167</v>
      </c>
      <c r="B43" s="906" t="n">
        <v>0</v>
      </c>
      <c r="C43" s="512" t="n">
        <f aca="false">ROUND(B43*C$28,0)</f>
        <v>0</v>
      </c>
      <c r="D43" s="907" t="n">
        <f aca="false">B43</f>
        <v>0</v>
      </c>
      <c r="E43" s="512" t="n">
        <f aca="false">ROUND(D43*E$28,0)</f>
        <v>0</v>
      </c>
      <c r="F43" s="906" t="n">
        <f aca="false">D43</f>
        <v>0</v>
      </c>
      <c r="G43" s="512" t="n">
        <f aca="false">ROUND(F43*G$28,0)</f>
        <v>0</v>
      </c>
      <c r="H43" s="906" t="n">
        <f aca="false">F43</f>
        <v>0</v>
      </c>
      <c r="I43" s="512" t="n">
        <f aca="false">ROUND(H43*I$28,0)</f>
        <v>0</v>
      </c>
      <c r="J43" s="906" t="n">
        <f aca="false">H43</f>
        <v>0</v>
      </c>
      <c r="K43" s="915" t="n">
        <f aca="false">ROUND(J43*K$28,0)</f>
        <v>0</v>
      </c>
    </row>
    <row r="44" customFormat="false" ht="15" hidden="false" customHeight="false" outlineLevel="0" collapsed="false">
      <c r="A44" s="52" t="s">
        <v>168</v>
      </c>
      <c r="B44" s="906" t="n">
        <v>0</v>
      </c>
      <c r="C44" s="512" t="n">
        <f aca="false">ROUND(B44*C$28,0)</f>
        <v>0</v>
      </c>
      <c r="D44" s="907" t="n">
        <f aca="false">B44</f>
        <v>0</v>
      </c>
      <c r="E44" s="512" t="n">
        <f aca="false">ROUND(D44*E$28,0)</f>
        <v>0</v>
      </c>
      <c r="F44" s="906" t="n">
        <f aca="false">D44</f>
        <v>0</v>
      </c>
      <c r="G44" s="512" t="n">
        <f aca="false">ROUND(F44*G$28,0)</f>
        <v>0</v>
      </c>
      <c r="H44" s="906" t="n">
        <f aca="false">F44</f>
        <v>0</v>
      </c>
      <c r="I44" s="512" t="n">
        <f aca="false">ROUND(H44*I$28,0)</f>
        <v>0</v>
      </c>
      <c r="J44" s="906" t="n">
        <f aca="false">H44</f>
        <v>0</v>
      </c>
      <c r="K44" s="915" t="n">
        <f aca="false">ROUND(J44*K$28,0)</f>
        <v>0</v>
      </c>
    </row>
    <row r="45" customFormat="false" ht="15" hidden="false" customHeight="false" outlineLevel="0" collapsed="false">
      <c r="A45" s="52" t="s">
        <v>169</v>
      </c>
      <c r="B45" s="906" t="n">
        <v>1</v>
      </c>
      <c r="C45" s="512" t="n">
        <f aca="false">ROUND(B45*C$28,0)</f>
        <v>10</v>
      </c>
      <c r="D45" s="907" t="n">
        <f aca="false">B45</f>
        <v>1</v>
      </c>
      <c r="E45" s="512" t="n">
        <f aca="false">ROUND(D45*E$28,0)</f>
        <v>0</v>
      </c>
      <c r="F45" s="906" t="n">
        <f aca="false">D45</f>
        <v>1</v>
      </c>
      <c r="G45" s="512" t="n">
        <f aca="false">ROUND(F45*G$28,0)</f>
        <v>0</v>
      </c>
      <c r="H45" s="906" t="n">
        <f aca="false">F45</f>
        <v>1</v>
      </c>
      <c r="I45" s="512" t="n">
        <f aca="false">ROUND(H45*I$28,0)</f>
        <v>0</v>
      </c>
      <c r="J45" s="906" t="n">
        <f aca="false">H45</f>
        <v>1</v>
      </c>
      <c r="K45" s="915" t="n">
        <f aca="false">ROUND(J45*K$28,0)</f>
        <v>0</v>
      </c>
    </row>
    <row r="46" customFormat="false" ht="15" hidden="false" customHeight="false" outlineLevel="0" collapsed="false">
      <c r="A46" s="52" t="s">
        <v>170</v>
      </c>
      <c r="B46" s="695" t="n">
        <v>0</v>
      </c>
      <c r="C46" s="512" t="n">
        <f aca="false">ROUND(B46*C$28,0)</f>
        <v>0</v>
      </c>
      <c r="D46" s="909" t="n">
        <f aca="false">B46</f>
        <v>0</v>
      </c>
      <c r="E46" s="512" t="n">
        <f aca="false">ROUND(D46*E$28,0)</f>
        <v>0</v>
      </c>
      <c r="F46" s="695" t="n">
        <f aca="false">D46</f>
        <v>0</v>
      </c>
      <c r="G46" s="512" t="n">
        <f aca="false">ROUND(F46*G$28,0)</f>
        <v>0</v>
      </c>
      <c r="H46" s="695" t="n">
        <f aca="false">F46</f>
        <v>0</v>
      </c>
      <c r="I46" s="512" t="n">
        <f aca="false">ROUND(H46*I$28,0)</f>
        <v>0</v>
      </c>
      <c r="J46" s="695" t="n">
        <f aca="false">H46</f>
        <v>0</v>
      </c>
      <c r="K46" s="915" t="n">
        <f aca="false">ROUND(J46*K$28,0)</f>
        <v>0</v>
      </c>
    </row>
    <row r="47" customFormat="false" ht="15" hidden="false" customHeight="false" outlineLevel="0" collapsed="false">
      <c r="A47" s="562" t="s">
        <v>538</v>
      </c>
      <c r="B47" s="696" t="n">
        <f aca="false">SUM(B43:B46)</f>
        <v>1</v>
      </c>
      <c r="C47" s="916" t="n">
        <f aca="false">SUM(C43:C46)</f>
        <v>10</v>
      </c>
      <c r="D47" s="696" t="n">
        <f aca="false">SUM(D43:D46)</f>
        <v>1</v>
      </c>
      <c r="E47" s="917" t="n">
        <f aca="false">SUM(E43:E46)</f>
        <v>0</v>
      </c>
      <c r="F47" s="696" t="n">
        <f aca="false">SUM(F43:F46)</f>
        <v>1</v>
      </c>
      <c r="G47" s="917" t="n">
        <f aca="false">SUM(G43:G46)</f>
        <v>0</v>
      </c>
      <c r="H47" s="696" t="n">
        <f aca="false">SUM(H43:H46)</f>
        <v>1</v>
      </c>
      <c r="I47" s="917" t="n">
        <f aca="false">SUM(I43:I46)</f>
        <v>0</v>
      </c>
      <c r="J47" s="696" t="n">
        <f aca="false">SUM(J43:J46)</f>
        <v>1</v>
      </c>
      <c r="K47" s="916" t="n">
        <f aca="false">SUM(K43:K46)</f>
        <v>0</v>
      </c>
    </row>
    <row r="48" s="770" customFormat="true" ht="13.5" hidden="false" customHeight="false" outlineLevel="0" collapsed="false">
      <c r="A48" s="918"/>
      <c r="B48" s="914" t="str">
        <f aca="false">IF(B47&lt;&gt;100%,"MIX DOES NOT EQUAL 100%"," ")</f>
        <v> </v>
      </c>
      <c r="C48" s="919"/>
      <c r="D48" s="914" t="str">
        <f aca="false">IF(D47&lt;&gt;100%,"MIX DOES NOT EQUAL 100%"," ")</f>
        <v> </v>
      </c>
      <c r="E48" s="920"/>
      <c r="F48" s="914" t="str">
        <f aca="false">IF(F47&lt;&gt;100%,"MIX DOES NOT EQUAL 100%"," ")</f>
        <v> </v>
      </c>
      <c r="G48" s="920"/>
      <c r="H48" s="914" t="str">
        <f aca="false">IF(H47&lt;&gt;100%,"MIX DOES NOT EQUAL 100%"," ")</f>
        <v> </v>
      </c>
      <c r="I48" s="920"/>
      <c r="J48" s="914" t="str">
        <f aca="false">IF(J47&lt;&gt;100%,"MIX DOES NOT EQUAL 100%"," ")</f>
        <v> </v>
      </c>
      <c r="K48" s="919"/>
      <c r="L48" s="921"/>
    </row>
    <row r="49" s="281" customFormat="true" ht="18.75" hidden="false" customHeight="false" outlineLevel="0" collapsed="false">
      <c r="A49" s="839" t="s">
        <v>539</v>
      </c>
      <c r="B49" s="132"/>
      <c r="C49" s="132"/>
      <c r="D49" s="132"/>
      <c r="E49" s="132"/>
      <c r="F49" s="132"/>
      <c r="G49" s="132"/>
      <c r="H49" s="132"/>
      <c r="I49" s="132"/>
      <c r="J49" s="132"/>
      <c r="K49" s="133"/>
      <c r="L49" s="22"/>
    </row>
    <row r="50" customFormat="false" ht="15" hidden="false" customHeight="false" outlineLevel="0" collapsed="false">
      <c r="A50" s="562"/>
      <c r="B50" s="563"/>
      <c r="C50" s="922"/>
      <c r="D50" s="563"/>
      <c r="E50" s="564"/>
      <c r="F50" s="48"/>
      <c r="G50" s="564"/>
      <c r="H50" s="48"/>
      <c r="I50" s="564"/>
      <c r="J50" s="48"/>
      <c r="K50" s="922"/>
    </row>
    <row r="51" customFormat="false" ht="15" hidden="false" customHeight="false" outlineLevel="0" collapsed="false">
      <c r="A51" s="52" t="s">
        <v>165</v>
      </c>
      <c r="B51" s="923" t="n">
        <v>0</v>
      </c>
      <c r="C51" s="924" t="n">
        <f aca="false">TRUNC(C39*$B51)</f>
        <v>0</v>
      </c>
      <c r="D51" s="906" t="n">
        <f aca="false">B51</f>
        <v>0</v>
      </c>
      <c r="E51" s="925" t="n">
        <f aca="false">TRUNC(E39*D51)</f>
        <v>0</v>
      </c>
      <c r="F51" s="906" t="n">
        <f aca="false">D51</f>
        <v>0</v>
      </c>
      <c r="G51" s="925" t="n">
        <f aca="false">TRUNC(G39*F51)</f>
        <v>0</v>
      </c>
      <c r="H51" s="906" t="n">
        <f aca="false">F51</f>
        <v>0</v>
      </c>
      <c r="I51" s="925" t="n">
        <f aca="false">TRUNC(I39*H51)</f>
        <v>0</v>
      </c>
      <c r="J51" s="906" t="n">
        <f aca="false">H51</f>
        <v>0</v>
      </c>
      <c r="K51" s="924" t="n">
        <f aca="false">TRUNC(K39*J51)</f>
        <v>0</v>
      </c>
    </row>
    <row r="52" customFormat="false" ht="15" hidden="false" customHeight="false" outlineLevel="0" collapsed="false">
      <c r="A52" s="52" t="s">
        <v>166</v>
      </c>
      <c r="B52" s="923" t="n">
        <v>0</v>
      </c>
      <c r="C52" s="924" t="n">
        <f aca="false">TRUNC(C40*$B52)</f>
        <v>0</v>
      </c>
      <c r="D52" s="906" t="n">
        <f aca="false">B52</f>
        <v>0</v>
      </c>
      <c r="E52" s="925" t="n">
        <f aca="false">TRUNC(E40*D52)</f>
        <v>0</v>
      </c>
      <c r="F52" s="906" t="n">
        <f aca="false">D52</f>
        <v>0</v>
      </c>
      <c r="G52" s="925" t="n">
        <f aca="false">TRUNC(G40*F52)</f>
        <v>0</v>
      </c>
      <c r="H52" s="906" t="n">
        <f aca="false">F52</f>
        <v>0</v>
      </c>
      <c r="I52" s="925" t="n">
        <f aca="false">TRUNC(I40*H52)</f>
        <v>0</v>
      </c>
      <c r="J52" s="906" t="n">
        <f aca="false">H52</f>
        <v>0</v>
      </c>
      <c r="K52" s="924" t="n">
        <f aca="false">TRUNC(K40*J52)</f>
        <v>0</v>
      </c>
    </row>
    <row r="53" customFormat="false" ht="15" hidden="false" customHeight="false" outlineLevel="0" collapsed="false">
      <c r="A53" s="52" t="s">
        <v>167</v>
      </c>
      <c r="B53" s="923" t="n">
        <v>0</v>
      </c>
      <c r="C53" s="924" t="n">
        <f aca="false">TRUNC(C43*$B53)</f>
        <v>0</v>
      </c>
      <c r="D53" s="906" t="n">
        <f aca="false">B53</f>
        <v>0</v>
      </c>
      <c r="E53" s="925" t="n">
        <f aca="false">TRUNC(E43*D53)</f>
        <v>0</v>
      </c>
      <c r="F53" s="906" t="n">
        <f aca="false">D53</f>
        <v>0</v>
      </c>
      <c r="G53" s="925" t="n">
        <f aca="false">TRUNC(G43*F53)</f>
        <v>0</v>
      </c>
      <c r="H53" s="906" t="n">
        <f aca="false">F53</f>
        <v>0</v>
      </c>
      <c r="I53" s="925" t="n">
        <f aca="false">TRUNC(I43*H53)</f>
        <v>0</v>
      </c>
      <c r="J53" s="906" t="n">
        <f aca="false">H53</f>
        <v>0</v>
      </c>
      <c r="K53" s="924" t="n">
        <f aca="false">TRUNC(K43*J53)</f>
        <v>0</v>
      </c>
    </row>
    <row r="54" customFormat="false" ht="15" hidden="false" customHeight="false" outlineLevel="0" collapsed="false">
      <c r="A54" s="52" t="s">
        <v>168</v>
      </c>
      <c r="B54" s="923" t="n">
        <v>0</v>
      </c>
      <c r="C54" s="924" t="n">
        <f aca="false">TRUNC(C44*$B54)</f>
        <v>0</v>
      </c>
      <c r="D54" s="906" t="n">
        <f aca="false">B54</f>
        <v>0</v>
      </c>
      <c r="E54" s="925" t="n">
        <f aca="false">TRUNC(E44*D54)</f>
        <v>0</v>
      </c>
      <c r="F54" s="906" t="n">
        <f aca="false">D54</f>
        <v>0</v>
      </c>
      <c r="G54" s="925" t="n">
        <f aca="false">TRUNC(G44*F54)</f>
        <v>0</v>
      </c>
      <c r="H54" s="906" t="n">
        <f aca="false">F54</f>
        <v>0</v>
      </c>
      <c r="I54" s="925" t="n">
        <f aca="false">TRUNC(I44*H54)</f>
        <v>0</v>
      </c>
      <c r="J54" s="906" t="n">
        <f aca="false">H54</f>
        <v>0</v>
      </c>
      <c r="K54" s="924" t="n">
        <f aca="false">TRUNC(K44*J54)</f>
        <v>0</v>
      </c>
    </row>
    <row r="55" customFormat="false" ht="15" hidden="false" customHeight="false" outlineLevel="0" collapsed="false">
      <c r="A55" s="52" t="s">
        <v>169</v>
      </c>
      <c r="B55" s="923" t="n">
        <v>0.1</v>
      </c>
      <c r="C55" s="924" t="n">
        <f aca="false">TRUNC(C45*$B55)</f>
        <v>1</v>
      </c>
      <c r="D55" s="906" t="n">
        <v>0.2</v>
      </c>
      <c r="E55" s="925" t="n">
        <f aca="false">TRUNC(E45*D55)</f>
        <v>0</v>
      </c>
      <c r="F55" s="906" t="n">
        <v>0.3</v>
      </c>
      <c r="G55" s="925" t="n">
        <f aca="false">TRUNC(G45*F55)</f>
        <v>0</v>
      </c>
      <c r="H55" s="906" t="n">
        <v>0.3</v>
      </c>
      <c r="I55" s="925" t="n">
        <f aca="false">TRUNC(I45*H55)</f>
        <v>0</v>
      </c>
      <c r="J55" s="906" t="n">
        <f aca="false">H55</f>
        <v>0.3</v>
      </c>
      <c r="K55" s="924" t="n">
        <f aca="false">TRUNC(K45*J55)</f>
        <v>0</v>
      </c>
    </row>
    <row r="56" customFormat="false" ht="15" hidden="false" customHeight="false" outlineLevel="0" collapsed="false">
      <c r="A56" s="52" t="s">
        <v>170</v>
      </c>
      <c r="B56" s="923" t="n">
        <v>0</v>
      </c>
      <c r="C56" s="926" t="n">
        <f aca="false">TRUNC(C46*$B56)</f>
        <v>0</v>
      </c>
      <c r="D56" s="906" t="n">
        <f aca="false">B56</f>
        <v>0</v>
      </c>
      <c r="E56" s="927" t="n">
        <f aca="false">TRUNC(E46*D56)</f>
        <v>0</v>
      </c>
      <c r="F56" s="906" t="n">
        <f aca="false">D56</f>
        <v>0</v>
      </c>
      <c r="G56" s="927" t="n">
        <f aca="false">TRUNC(G46*F56)</f>
        <v>0</v>
      </c>
      <c r="H56" s="906" t="n">
        <f aca="false">F56</f>
        <v>0</v>
      </c>
      <c r="I56" s="927" t="n">
        <f aca="false">TRUNC(I46*H56)</f>
        <v>0</v>
      </c>
      <c r="J56" s="906" t="n">
        <f aca="false">H56</f>
        <v>0</v>
      </c>
      <c r="K56" s="926" t="n">
        <f aca="false">TRUNC(K46*J56)</f>
        <v>0</v>
      </c>
    </row>
    <row r="57" customFormat="false" ht="15" hidden="false" customHeight="false" outlineLevel="0" collapsed="false">
      <c r="A57" s="562" t="s">
        <v>293</v>
      </c>
      <c r="B57" s="563"/>
      <c r="C57" s="875" t="n">
        <f aca="false">SUM(C51:C56)</f>
        <v>1</v>
      </c>
      <c r="D57" s="563"/>
      <c r="E57" s="876" t="n">
        <f aca="false">SUM(E51:E56)</f>
        <v>0</v>
      </c>
      <c r="F57" s="48"/>
      <c r="G57" s="876" t="n">
        <f aca="false">SUM(G51:G56)</f>
        <v>0</v>
      </c>
      <c r="H57" s="48"/>
      <c r="I57" s="876" t="n">
        <f aca="false">SUM(I51:I56)</f>
        <v>0</v>
      </c>
      <c r="J57" s="48"/>
      <c r="K57" s="875" t="n">
        <f aca="false">SUM(K51:K56)</f>
        <v>0</v>
      </c>
    </row>
    <row r="58" customFormat="false" ht="15" hidden="false" customHeight="false" outlineLevel="0" collapsed="false">
      <c r="A58" s="82"/>
      <c r="B58" s="928"/>
      <c r="C58" s="54"/>
      <c r="D58" s="107"/>
      <c r="E58" s="107"/>
      <c r="F58" s="107"/>
      <c r="G58" s="107"/>
      <c r="H58" s="107"/>
      <c r="I58" s="107"/>
      <c r="J58" s="107"/>
      <c r="K58" s="84"/>
    </row>
    <row r="59" customFormat="false" ht="18.75" hidden="false" customHeight="false" outlineLevel="0" collapsed="false">
      <c r="A59" s="839" t="s">
        <v>540</v>
      </c>
      <c r="B59" s="132"/>
      <c r="C59" s="132"/>
      <c r="D59" s="132"/>
      <c r="E59" s="132"/>
      <c r="F59" s="132"/>
      <c r="G59" s="132"/>
      <c r="H59" s="132"/>
      <c r="I59" s="132"/>
      <c r="J59" s="132"/>
      <c r="K59" s="133"/>
    </row>
    <row r="60" customFormat="false" ht="15" hidden="false" customHeight="false" outlineLevel="0" collapsed="false">
      <c r="A60" s="134"/>
      <c r="B60" s="86"/>
      <c r="C60" s="80"/>
      <c r="D60" s="134"/>
      <c r="E60" s="86"/>
      <c r="F60" s="86"/>
      <c r="G60" s="86"/>
      <c r="H60" s="86"/>
      <c r="I60" s="925"/>
      <c r="J60" s="86"/>
      <c r="K60" s="80"/>
      <c r="L60" s="16"/>
    </row>
    <row r="61" customFormat="false" ht="15" hidden="false" customHeight="false" outlineLevel="0" collapsed="false">
      <c r="A61" s="52" t="s">
        <v>165</v>
      </c>
      <c r="B61" s="86"/>
      <c r="C61" s="929" t="n">
        <f aca="false">'Calculation (short)'!N7</f>
        <v>0</v>
      </c>
      <c r="D61" s="930"/>
      <c r="E61" s="929" t="n">
        <f aca="false">'Calculation (short)'!N17</f>
        <v>0</v>
      </c>
      <c r="F61" s="118"/>
      <c r="G61" s="929" t="n">
        <f aca="false">'Calculation (short)'!N28</f>
        <v>0</v>
      </c>
      <c r="H61" s="118"/>
      <c r="I61" s="929" t="n">
        <f aca="false">'Calculation (short)'!N38</f>
        <v>0</v>
      </c>
      <c r="J61" s="118"/>
      <c r="K61" s="931" t="n">
        <f aca="false">'Calculation (short)'!N48</f>
        <v>0</v>
      </c>
      <c r="L61" s="16"/>
    </row>
    <row r="62" customFormat="false" ht="15" hidden="false" customHeight="false" outlineLevel="0" collapsed="false">
      <c r="A62" s="52" t="s">
        <v>166</v>
      </c>
      <c r="B62" s="86"/>
      <c r="C62" s="929" t="n">
        <f aca="false">'Calculation (short)'!N8</f>
        <v>0</v>
      </c>
      <c r="D62" s="930"/>
      <c r="E62" s="929" t="n">
        <f aca="false">'Calculation (short)'!N18</f>
        <v>0</v>
      </c>
      <c r="F62" s="118"/>
      <c r="G62" s="929" t="n">
        <f aca="false">'Calculation (short)'!N29</f>
        <v>0</v>
      </c>
      <c r="H62" s="118"/>
      <c r="I62" s="929" t="n">
        <f aca="false">'Calculation (short)'!N39</f>
        <v>0</v>
      </c>
      <c r="J62" s="118"/>
      <c r="K62" s="931" t="n">
        <f aca="false">'Calculation (short)'!N49</f>
        <v>0</v>
      </c>
      <c r="L62" s="16"/>
      <c r="P62" s="872"/>
      <c r="U62" s="872"/>
      <c r="X62" s="872"/>
      <c r="Z62" s="932"/>
    </row>
    <row r="63" customFormat="false" ht="15" hidden="false" customHeight="false" outlineLevel="0" collapsed="false">
      <c r="A63" s="52" t="s">
        <v>167</v>
      </c>
      <c r="B63" s="86"/>
      <c r="C63" s="929" t="n">
        <f aca="false">'Calculation (short)'!N9</f>
        <v>0</v>
      </c>
      <c r="D63" s="930"/>
      <c r="E63" s="929" t="n">
        <f aca="false">'Calculation (short)'!N19</f>
        <v>0</v>
      </c>
      <c r="F63" s="118"/>
      <c r="G63" s="929" t="n">
        <f aca="false">'Calculation (short)'!N30</f>
        <v>0</v>
      </c>
      <c r="H63" s="118"/>
      <c r="I63" s="929" t="n">
        <f aca="false">'Calculation (short)'!N40</f>
        <v>0</v>
      </c>
      <c r="J63" s="118"/>
      <c r="K63" s="931" t="n">
        <f aca="false">'Calculation (short)'!N50</f>
        <v>0</v>
      </c>
      <c r="L63" s="16"/>
      <c r="P63" s="872"/>
      <c r="U63" s="872"/>
      <c r="X63" s="872"/>
      <c r="Z63" s="932"/>
    </row>
    <row r="64" customFormat="false" ht="15" hidden="false" customHeight="false" outlineLevel="0" collapsed="false">
      <c r="A64" s="52" t="s">
        <v>168</v>
      </c>
      <c r="B64" s="86"/>
      <c r="C64" s="929" t="n">
        <f aca="false">'Calculation (short)'!N10</f>
        <v>0</v>
      </c>
      <c r="D64" s="930"/>
      <c r="E64" s="929" t="n">
        <f aca="false">'Calculation (short)'!N20</f>
        <v>0</v>
      </c>
      <c r="F64" s="118"/>
      <c r="G64" s="929" t="n">
        <f aca="false">'Calculation (short)'!N31</f>
        <v>0</v>
      </c>
      <c r="H64" s="118"/>
      <c r="I64" s="929" t="n">
        <f aca="false">'Calculation (short)'!N41</f>
        <v>0</v>
      </c>
      <c r="J64" s="118"/>
      <c r="K64" s="931" t="n">
        <f aca="false">'Calculation (short)'!N51</f>
        <v>0</v>
      </c>
      <c r="L64" s="16"/>
      <c r="P64" s="872"/>
      <c r="U64" s="872"/>
      <c r="X64" s="872"/>
      <c r="Z64" s="932"/>
    </row>
    <row r="65" customFormat="false" ht="15" hidden="false" customHeight="false" outlineLevel="0" collapsed="false">
      <c r="A65" s="52" t="s">
        <v>169</v>
      </c>
      <c r="B65" s="86"/>
      <c r="C65" s="929" t="n">
        <f aca="false">'Calculation (short)'!N11</f>
        <v>10</v>
      </c>
      <c r="D65" s="930"/>
      <c r="E65" s="929" t="n">
        <f aca="false">'Calculation (short)'!N21</f>
        <v>10</v>
      </c>
      <c r="F65" s="118"/>
      <c r="G65" s="929" t="n">
        <f aca="false">'Calculation (short)'!N32</f>
        <v>10</v>
      </c>
      <c r="H65" s="118"/>
      <c r="I65" s="929" t="n">
        <f aca="false">'Calculation (short)'!N42</f>
        <v>10</v>
      </c>
      <c r="J65" s="118"/>
      <c r="K65" s="931" t="n">
        <f aca="false">'Calculation (short)'!N52</f>
        <v>10</v>
      </c>
      <c r="L65" s="16"/>
      <c r="P65" s="872"/>
      <c r="U65" s="872"/>
      <c r="X65" s="872"/>
      <c r="Z65" s="932"/>
    </row>
    <row r="66" customFormat="false" ht="15" hidden="false" customHeight="false" outlineLevel="0" collapsed="false">
      <c r="A66" s="52" t="s">
        <v>343</v>
      </c>
      <c r="B66" s="86"/>
      <c r="C66" s="933" t="n">
        <f aca="false">'Calculation (short)'!N12</f>
        <v>0</v>
      </c>
      <c r="E66" s="934" t="n">
        <f aca="false">'Calculation (short)'!N22</f>
        <v>0</v>
      </c>
      <c r="G66" s="929" t="n">
        <f aca="false">'Calculation (short)'!N33</f>
        <v>0</v>
      </c>
      <c r="I66" s="934" t="n">
        <f aca="false">'Calculation (short)'!N43</f>
        <v>0</v>
      </c>
      <c r="K66" s="931" t="n">
        <f aca="false">'Calculation (short)'!N53</f>
        <v>0</v>
      </c>
      <c r="L66" s="16"/>
      <c r="P66" s="872"/>
      <c r="U66" s="872"/>
      <c r="X66" s="872"/>
      <c r="Z66" s="932"/>
    </row>
    <row r="67" customFormat="false" ht="15" hidden="false" customHeight="false" outlineLevel="0" collapsed="false">
      <c r="A67" s="52" t="s">
        <v>170</v>
      </c>
      <c r="B67" s="86"/>
      <c r="C67" s="935" t="n">
        <f aca="false">'Calculation (short)'!N13</f>
        <v>0</v>
      </c>
      <c r="D67" s="930"/>
      <c r="E67" s="936" t="n">
        <f aca="false">'Calculation (short)'!N23</f>
        <v>0</v>
      </c>
      <c r="F67" s="118"/>
      <c r="G67" s="936" t="n">
        <f aca="false">'Calculation (short)'!N34</f>
        <v>0</v>
      </c>
      <c r="H67" s="118"/>
      <c r="I67" s="936" t="n">
        <f aca="false">'Calculation (short)'!N44</f>
        <v>0</v>
      </c>
      <c r="J67" s="118"/>
      <c r="K67" s="935" t="n">
        <f aca="false">'Calculation (short)'!N54</f>
        <v>0</v>
      </c>
      <c r="L67" s="16"/>
    </row>
    <row r="68" customFormat="false" ht="15" hidden="false" customHeight="false" outlineLevel="0" collapsed="false">
      <c r="A68" s="562" t="s">
        <v>541</v>
      </c>
      <c r="B68" s="48"/>
      <c r="C68" s="937" t="n">
        <f aca="false">SUM(C61:C67)</f>
        <v>10</v>
      </c>
      <c r="D68" s="930"/>
      <c r="E68" s="938" t="n">
        <f aca="false">SUM(E61:E67)</f>
        <v>10</v>
      </c>
      <c r="F68" s="118"/>
      <c r="G68" s="938" t="n">
        <f aca="false">SUM(G61:G67)</f>
        <v>10</v>
      </c>
      <c r="H68" s="118"/>
      <c r="I68" s="938" t="n">
        <f aca="false">SUM(I61:I67)</f>
        <v>10</v>
      </c>
      <c r="J68" s="118"/>
      <c r="K68" s="937" t="n">
        <f aca="false">SUM(K61:K67)</f>
        <v>10</v>
      </c>
      <c r="L68" s="16"/>
    </row>
    <row r="69" customFormat="false" ht="15" hidden="false" customHeight="false" outlineLevel="0" collapsed="false">
      <c r="A69" s="82"/>
      <c r="B69" s="107"/>
      <c r="C69" s="136"/>
      <c r="D69" s="135"/>
      <c r="E69" s="83"/>
      <c r="F69" s="83"/>
      <c r="G69" s="83"/>
      <c r="H69" s="83"/>
      <c r="I69" s="927"/>
      <c r="J69" s="83"/>
      <c r="K69" s="136"/>
      <c r="L69" s="16"/>
    </row>
  </sheetData>
  <scenarios current="0" show="0">
    <scenario name="Increase DAF volume" locked="true" count="5" user="Calc" comment="Gemaakt door marco eijkens op 22-7-2008">
      <inputCells r="C33" val="200"/>
      <inputCells r="E33" val="2000"/>
      <inputCells r="G33" val="3000"/>
      <inputCells r="I33" val="4120"/>
      <inputCells r="K33" val="42133"/>
    </scenario>
    <scenario name="Increase used trucks_-1" locked="true" count="7" user="Calc" comment="Gemaakt door marco eijkens op 22-7-2008">
      <inputCells r="C55" val="5000"/>
      <inputCells r="D55" val="800"/>
      <inputCells r="E55" val="200"/>
      <inputCells r="G55" val="0"/>
      <inputCells r="I55" val="0"/>
      <inputCells r="K20" val="100"/>
      <inputCells r="K55" val="0"/>
    </scenario>
  </scenario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2.xml><?xml version="1.0" encoding="utf-8"?>
<worksheet xmlns="http://schemas.openxmlformats.org/spreadsheetml/2006/main" xmlns:r="http://schemas.openxmlformats.org/officeDocument/2006/relationships">
  <sheetPr filterMode="false">
    <tabColor rgb="FFC0C0C0"/>
    <pageSetUpPr fitToPage="true"/>
  </sheetPr>
  <dimension ref="A1:L91"/>
  <sheetViews>
    <sheetView showFormulas="false" showGridLines="false" showRowColHeaders="true" showZeros="true" rightToLeft="false" tabSelected="false" showOutlineSymbols="true" defaultGridColor="true" view="normal" topLeftCell="A76" colorId="64" zoomScale="80" zoomScaleNormal="80" zoomScalePageLayoutView="100" workbookViewId="0">
      <selection pane="topLeft" activeCell="F7" activeCellId="0" sqref="F7"/>
    </sheetView>
  </sheetViews>
  <sheetFormatPr defaultRowHeight="15" zeroHeight="true" outlineLevelRow="0" outlineLevelCol="0"/>
  <cols>
    <col collapsed="false" customWidth="true" hidden="false" outlineLevel="0" max="1" min="1" style="4" width="21.71"/>
    <col collapsed="false" customWidth="true" hidden="false" outlineLevel="0" max="2" min="2" style="4" width="13.43"/>
    <col collapsed="false" customWidth="true" hidden="false" outlineLevel="0" max="3" min="3" style="4" width="14.86"/>
    <col collapsed="false" customWidth="true" hidden="false" outlineLevel="0" max="4" min="4" style="4" width="9.58"/>
    <col collapsed="false" customWidth="true" hidden="false" outlineLevel="0" max="5" min="5" style="4" width="14.86"/>
    <col collapsed="false" customWidth="true" hidden="false" outlineLevel="0" max="6" min="6" style="4" width="9.85"/>
    <col collapsed="false" customWidth="true" hidden="false" outlineLevel="0" max="7" min="7" style="4" width="14.43"/>
    <col collapsed="false" customWidth="true" hidden="false" outlineLevel="0" max="8" min="8" style="4" width="9.14"/>
    <col collapsed="false" customWidth="true" hidden="false" outlineLevel="0" max="9" min="9" style="4" width="14.86"/>
    <col collapsed="false" customWidth="true" hidden="false" outlineLevel="0" max="10" min="10" style="4" width="11.86"/>
    <col collapsed="false" customWidth="true" hidden="false" outlineLevel="0" max="11" min="11" style="4" width="14.86"/>
    <col collapsed="false" customWidth="true" hidden="false" outlineLevel="0" max="12" min="12" style="4" width="1.42"/>
    <col collapsed="false" customWidth="true" hidden="true" outlineLevel="0" max="13" min="13" style="4" width="10"/>
    <col collapsed="false" customWidth="true" hidden="true" outlineLevel="0" max="14" min="14" style="4" width="9.14"/>
    <col collapsed="false" customWidth="true" hidden="true" outlineLevel="0" max="15" min="15" style="4" width="12.29"/>
    <col collapsed="false" customWidth="true" hidden="true" outlineLevel="0" max="16" min="16" style="4" width="9.14"/>
    <col collapsed="false" customWidth="true" hidden="true" outlineLevel="0" max="17" min="17" style="4" width="12.29"/>
    <col collapsed="false" customWidth="true" hidden="true" outlineLevel="0" max="18" min="18" style="4" width="9.14"/>
    <col collapsed="false" customWidth="true" hidden="true" outlineLevel="0" max="19" min="19" style="4" width="10"/>
    <col collapsed="false" customWidth="true" hidden="true" outlineLevel="0" max="20" min="20" style="4" width="9.14"/>
    <col collapsed="false" customWidth="true" hidden="true" outlineLevel="0" max="21" min="21" style="4" width="10"/>
    <col collapsed="false" customWidth="true" hidden="true" outlineLevel="0" max="1025" min="22" style="4" width="9.14"/>
  </cols>
  <sheetData>
    <row r="1" customFormat="false" ht="28.5" hidden="false" customHeight="false" outlineLevel="0" collapsed="false">
      <c r="A1" s="113" t="s">
        <v>525</v>
      </c>
      <c r="B1" s="114"/>
      <c r="C1" s="114"/>
      <c r="D1" s="114"/>
      <c r="E1" s="114"/>
      <c r="F1" s="114"/>
      <c r="G1" s="114"/>
      <c r="H1" s="114"/>
      <c r="I1" s="114"/>
      <c r="J1" s="114"/>
      <c r="K1" s="115" t="s">
        <v>542</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851"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'Reference sheet'!C21</f>
        <v>EUR</v>
      </c>
    </row>
    <row r="4" customFormat="false" ht="15" hidden="false" customHeight="false" outlineLevel="0" collapsed="false">
      <c r="A4" s="52"/>
      <c r="B4" s="129"/>
      <c r="C4" s="48"/>
      <c r="D4" s="48"/>
      <c r="E4" s="48"/>
      <c r="F4" s="48"/>
      <c r="G4" s="130"/>
      <c r="H4" s="48"/>
      <c r="I4" s="48"/>
      <c r="J4" s="48"/>
      <c r="K4" s="939"/>
    </row>
    <row r="5" customFormat="false" ht="15" hidden="false" customHeight="false" outlineLevel="0" collapsed="false">
      <c r="A5" s="82"/>
      <c r="B5" s="107"/>
      <c r="C5" s="940" t="n">
        <f aca="false">'7.1 Dealer area'!C5</f>
        <v>2019</v>
      </c>
      <c r="D5" s="941"/>
      <c r="E5" s="860" t="n">
        <f aca="false">'7.1 Dealer area'!E5</f>
        <v>2020</v>
      </c>
      <c r="F5" s="942"/>
      <c r="G5" s="860" t="n">
        <f aca="false">'7.1 Dealer area'!G5</f>
        <v>2021</v>
      </c>
      <c r="H5" s="943"/>
      <c r="I5" s="860" t="n">
        <f aca="false">'7.1 Dealer area'!I5</f>
        <v>2022</v>
      </c>
      <c r="J5" s="943"/>
      <c r="K5" s="860" t="n">
        <f aca="false">'7.1 Dealer area'!K5</f>
        <v>2023</v>
      </c>
    </row>
    <row r="6" customFormat="false" ht="18.75" hidden="false" customHeight="false" outlineLevel="0" collapsed="false">
      <c r="A6" s="944" t="s">
        <v>543</v>
      </c>
      <c r="B6" s="945"/>
      <c r="C6" s="945"/>
      <c r="D6" s="945"/>
      <c r="E6" s="945"/>
      <c r="F6" s="945"/>
      <c r="G6" s="945"/>
      <c r="H6" s="945"/>
      <c r="I6" s="945"/>
      <c r="J6" s="945"/>
      <c r="K6" s="946"/>
    </row>
    <row r="7" customFormat="false" ht="18" hidden="false" customHeight="false" outlineLevel="0" collapsed="false">
      <c r="A7" s="947" t="s">
        <v>544</v>
      </c>
      <c r="B7" s="132"/>
      <c r="C7" s="132"/>
      <c r="D7" s="132"/>
      <c r="E7" s="132"/>
      <c r="F7" s="132"/>
      <c r="G7" s="132"/>
      <c r="H7" s="132"/>
      <c r="I7" s="132"/>
      <c r="J7" s="132"/>
      <c r="K7" s="133"/>
    </row>
    <row r="8" customFormat="false" ht="15" hidden="false" customHeight="false" outlineLevel="0" collapsed="false">
      <c r="A8" s="52"/>
      <c r="B8" s="48"/>
      <c r="C8" s="54"/>
      <c r="D8" s="48"/>
      <c r="E8" s="48"/>
      <c r="F8" s="48"/>
      <c r="G8" s="48"/>
      <c r="H8" s="48"/>
      <c r="I8" s="48"/>
      <c r="J8" s="48"/>
      <c r="K8" s="54"/>
    </row>
    <row r="9" customFormat="false" ht="15" hidden="false" customHeight="false" outlineLevel="0" collapsed="false">
      <c r="A9" s="52"/>
      <c r="B9" s="252"/>
      <c r="C9" s="54"/>
      <c r="D9" s="948" t="s">
        <v>545</v>
      </c>
      <c r="E9" s="48"/>
      <c r="F9" s="949" t="s">
        <v>545</v>
      </c>
      <c r="G9" s="48"/>
      <c r="H9" s="48" t="s">
        <v>545</v>
      </c>
      <c r="I9" s="48"/>
      <c r="J9" s="48" t="s">
        <v>545</v>
      </c>
      <c r="K9" s="54"/>
    </row>
    <row r="10" customFormat="false" ht="15" hidden="false" customHeight="false" outlineLevel="0" collapsed="false">
      <c r="A10" s="52" t="s">
        <v>165</v>
      </c>
      <c r="B10" s="950"/>
      <c r="C10" s="951" t="n">
        <v>0</v>
      </c>
      <c r="D10" s="952" t="n">
        <v>0</v>
      </c>
      <c r="E10" s="876" t="n">
        <f aca="false">ROUND(C10*(1+D10),0)</f>
        <v>0</v>
      </c>
      <c r="F10" s="952" t="n">
        <f aca="false">D10</f>
        <v>0</v>
      </c>
      <c r="G10" s="876" t="n">
        <f aca="false">ROUND(E10*(1+F10),0)</f>
        <v>0</v>
      </c>
      <c r="H10" s="952" t="n">
        <f aca="false">F10</f>
        <v>0</v>
      </c>
      <c r="I10" s="876" t="n">
        <f aca="false">ROUND(G10*(1+H10),0)</f>
        <v>0</v>
      </c>
      <c r="J10" s="952" t="n">
        <f aca="false">H10</f>
        <v>0</v>
      </c>
      <c r="K10" s="875" t="n">
        <f aca="false">ROUND(I10*(1+J10),0)</f>
        <v>0</v>
      </c>
    </row>
    <row r="11" customFormat="false" ht="15" hidden="false" customHeight="false" outlineLevel="0" collapsed="false">
      <c r="A11" s="52" t="s">
        <v>166</v>
      </c>
      <c r="B11" s="950"/>
      <c r="C11" s="951" t="n">
        <v>0</v>
      </c>
      <c r="D11" s="952" t="n">
        <v>0</v>
      </c>
      <c r="E11" s="876" t="n">
        <f aca="false">ROUND(C11*(1+D11),0)</f>
        <v>0</v>
      </c>
      <c r="F11" s="952" t="n">
        <f aca="false">D11</f>
        <v>0</v>
      </c>
      <c r="G11" s="876" t="n">
        <f aca="false">ROUND(E11*(1+F11),0)</f>
        <v>0</v>
      </c>
      <c r="H11" s="952" t="n">
        <f aca="false">F11</f>
        <v>0</v>
      </c>
      <c r="I11" s="876" t="n">
        <f aca="false">ROUND(G11*(1+H11),0)</f>
        <v>0</v>
      </c>
      <c r="J11" s="952" t="n">
        <f aca="false">H11</f>
        <v>0</v>
      </c>
      <c r="K11" s="875" t="n">
        <f aca="false">ROUND(I11*(1+J11),0)</f>
        <v>0</v>
      </c>
    </row>
    <row r="12" customFormat="false" ht="15" hidden="false" customHeight="false" outlineLevel="0" collapsed="false">
      <c r="A12" s="52" t="s">
        <v>167</v>
      </c>
      <c r="B12" s="950"/>
      <c r="C12" s="951" t="n">
        <v>0</v>
      </c>
      <c r="D12" s="952" t="n">
        <v>0</v>
      </c>
      <c r="E12" s="876" t="n">
        <f aca="false">ROUND(C12*(1+D12),0)</f>
        <v>0</v>
      </c>
      <c r="F12" s="952" t="n">
        <f aca="false">D12</f>
        <v>0</v>
      </c>
      <c r="G12" s="876" t="n">
        <f aca="false">ROUND(E12*(1+F12),0)</f>
        <v>0</v>
      </c>
      <c r="H12" s="952" t="n">
        <f aca="false">F12</f>
        <v>0</v>
      </c>
      <c r="I12" s="876" t="n">
        <f aca="false">ROUND(G12*(1+H12),0)</f>
        <v>0</v>
      </c>
      <c r="J12" s="952" t="n">
        <f aca="false">H12</f>
        <v>0</v>
      </c>
      <c r="K12" s="875" t="n">
        <f aca="false">ROUND(I12*(1+J12),0)</f>
        <v>0</v>
      </c>
    </row>
    <row r="13" customFormat="false" ht="15" hidden="false" customHeight="false" outlineLevel="0" collapsed="false">
      <c r="A13" s="52" t="s">
        <v>168</v>
      </c>
      <c r="B13" s="950"/>
      <c r="C13" s="951" t="n">
        <v>50000</v>
      </c>
      <c r="D13" s="952" t="n">
        <v>0</v>
      </c>
      <c r="E13" s="876" t="n">
        <f aca="false">ROUND(C13*(1+D13),0)</f>
        <v>50000</v>
      </c>
      <c r="F13" s="952" t="n">
        <f aca="false">D13</f>
        <v>0</v>
      </c>
      <c r="G13" s="876" t="n">
        <f aca="false">ROUND(E13*(1+F13),0)</f>
        <v>50000</v>
      </c>
      <c r="H13" s="952" t="n">
        <f aca="false">F13</f>
        <v>0</v>
      </c>
      <c r="I13" s="876" t="n">
        <f aca="false">ROUND(G13*(1+H13),0)</f>
        <v>50000</v>
      </c>
      <c r="J13" s="952" t="n">
        <f aca="false">H13</f>
        <v>0</v>
      </c>
      <c r="K13" s="875" t="n">
        <f aca="false">ROUND(I13*(1+J13),0)</f>
        <v>50000</v>
      </c>
    </row>
    <row r="14" customFormat="false" ht="15" hidden="false" customHeight="false" outlineLevel="0" collapsed="false">
      <c r="A14" s="52" t="s">
        <v>169</v>
      </c>
      <c r="B14" s="950"/>
      <c r="C14" s="951"/>
      <c r="D14" s="952" t="n">
        <v>0</v>
      </c>
      <c r="E14" s="876" t="n">
        <f aca="false">ROUND(C14*(1+D14),0)</f>
        <v>0</v>
      </c>
      <c r="F14" s="952" t="n">
        <f aca="false">D14</f>
        <v>0</v>
      </c>
      <c r="G14" s="876" t="n">
        <f aca="false">ROUND(E14*(1+F14),0)</f>
        <v>0</v>
      </c>
      <c r="H14" s="952" t="n">
        <v>0.02</v>
      </c>
      <c r="I14" s="876" t="n">
        <f aca="false">ROUND(G14*(1+H14),0)</f>
        <v>0</v>
      </c>
      <c r="J14" s="952" t="n">
        <v>0</v>
      </c>
      <c r="K14" s="875" t="n">
        <f aca="false">ROUND(I14*(1+J14),0)</f>
        <v>0</v>
      </c>
    </row>
    <row r="15" customFormat="false" ht="15" hidden="false" customHeight="false" outlineLevel="0" collapsed="false">
      <c r="A15" s="52" t="s">
        <v>170</v>
      </c>
      <c r="B15" s="950"/>
      <c r="C15" s="951" t="n">
        <v>0</v>
      </c>
      <c r="D15" s="952" t="n">
        <v>0</v>
      </c>
      <c r="E15" s="876" t="n">
        <f aca="false">ROUND(C15*(1+D15),0)</f>
        <v>0</v>
      </c>
      <c r="F15" s="952" t="n">
        <f aca="false">D15</f>
        <v>0</v>
      </c>
      <c r="G15" s="876" t="n">
        <f aca="false">ROUND(E15*(1+F15),0)</f>
        <v>0</v>
      </c>
      <c r="H15" s="952" t="n">
        <f aca="false">F15</f>
        <v>0</v>
      </c>
      <c r="I15" s="876" t="n">
        <f aca="false">ROUND(G15*(1+H15),0)</f>
        <v>0</v>
      </c>
      <c r="J15" s="952" t="n">
        <f aca="false">H15</f>
        <v>0</v>
      </c>
      <c r="K15" s="875" t="n">
        <f aca="false">ROUND(I15*(1+J15),0)</f>
        <v>0</v>
      </c>
    </row>
    <row r="16" customFormat="false" ht="15" hidden="false" customHeight="false" outlineLevel="0" collapsed="false">
      <c r="A16" s="52"/>
      <c r="B16" s="950"/>
      <c r="C16" s="953"/>
      <c r="D16" s="954"/>
      <c r="E16" s="925"/>
      <c r="F16" s="955"/>
      <c r="G16" s="925"/>
      <c r="H16" s="955"/>
      <c r="I16" s="925"/>
      <c r="J16" s="955"/>
      <c r="K16" s="875"/>
    </row>
    <row r="17" customFormat="false" ht="15" hidden="false" customHeight="false" outlineLevel="0" collapsed="false">
      <c r="A17" s="52"/>
      <c r="B17" s="950"/>
      <c r="C17" s="953"/>
      <c r="D17" s="954"/>
      <c r="E17" s="925"/>
      <c r="F17" s="955"/>
      <c r="G17" s="925"/>
      <c r="H17" s="955"/>
      <c r="I17" s="925"/>
      <c r="J17" s="955"/>
      <c r="K17" s="875"/>
    </row>
    <row r="18" customFormat="false" ht="18" hidden="false" customHeight="false" outlineLevel="0" collapsed="false">
      <c r="A18" s="947" t="s">
        <v>546</v>
      </c>
      <c r="B18" s="132"/>
      <c r="C18" s="132"/>
      <c r="D18" s="132"/>
      <c r="E18" s="132"/>
      <c r="F18" s="132"/>
      <c r="G18" s="132"/>
      <c r="H18" s="132"/>
      <c r="I18" s="132"/>
      <c r="J18" s="132"/>
      <c r="K18" s="133"/>
    </row>
    <row r="19" customFormat="false" ht="15" hidden="false" customHeight="false" outlineLevel="0" collapsed="false">
      <c r="A19" s="52" t="s">
        <v>547</v>
      </c>
      <c r="B19" s="46"/>
      <c r="C19" s="956" t="n">
        <v>0.03</v>
      </c>
      <c r="D19" s="957" t="s">
        <v>548</v>
      </c>
      <c r="E19" s="876"/>
      <c r="F19" s="957"/>
      <c r="G19" s="876"/>
      <c r="H19" s="876"/>
      <c r="I19" s="876"/>
      <c r="J19" s="876"/>
      <c r="K19" s="875"/>
    </row>
    <row r="20" customFormat="false" ht="15" hidden="false" customHeight="false" outlineLevel="0" collapsed="false">
      <c r="A20" s="52"/>
      <c r="B20" s="46"/>
      <c r="C20" s="958"/>
      <c r="D20" s="957"/>
      <c r="E20" s="876"/>
      <c r="F20" s="957"/>
      <c r="G20" s="876"/>
      <c r="H20" s="876"/>
      <c r="I20" s="876"/>
      <c r="J20" s="876"/>
      <c r="K20" s="875"/>
    </row>
    <row r="21" customFormat="false" ht="15" hidden="false" customHeight="false" outlineLevel="0" collapsed="false">
      <c r="A21" s="52" t="s">
        <v>165</v>
      </c>
      <c r="B21" s="46"/>
      <c r="C21" s="959" t="n">
        <f aca="false">C10*(1-$C$19)</f>
        <v>0</v>
      </c>
      <c r="D21" s="957"/>
      <c r="E21" s="960" t="n">
        <f aca="false">E10*(1-$C$19)</f>
        <v>0</v>
      </c>
      <c r="F21" s="957"/>
      <c r="G21" s="960" t="n">
        <f aca="false">G10*(1-$C$19)</f>
        <v>0</v>
      </c>
      <c r="H21" s="876"/>
      <c r="I21" s="960" t="n">
        <f aca="false">I10*(1-$C$19)</f>
        <v>0</v>
      </c>
      <c r="J21" s="876"/>
      <c r="K21" s="959" t="n">
        <f aca="false">K10*(1-$C$19)</f>
        <v>0</v>
      </c>
    </row>
    <row r="22" customFormat="false" ht="15" hidden="false" customHeight="false" outlineLevel="0" collapsed="false">
      <c r="A22" s="52" t="s">
        <v>166</v>
      </c>
      <c r="B22" s="46"/>
      <c r="C22" s="959" t="n">
        <f aca="false">C11*(1-$C$19)</f>
        <v>0</v>
      </c>
      <c r="D22" s="957"/>
      <c r="E22" s="960" t="n">
        <f aca="false">E11*(1-$C$19)</f>
        <v>0</v>
      </c>
      <c r="F22" s="957"/>
      <c r="G22" s="960" t="n">
        <f aca="false">G11*(1-$C$19)</f>
        <v>0</v>
      </c>
      <c r="H22" s="876"/>
      <c r="I22" s="960" t="n">
        <f aca="false">I11*(1-$C$19)</f>
        <v>0</v>
      </c>
      <c r="J22" s="876"/>
      <c r="K22" s="959" t="n">
        <f aca="false">K11*(1-$C$19)</f>
        <v>0</v>
      </c>
    </row>
    <row r="23" customFormat="false" ht="15" hidden="false" customHeight="false" outlineLevel="0" collapsed="false">
      <c r="A23" s="52" t="s">
        <v>167</v>
      </c>
      <c r="B23" s="46"/>
      <c r="C23" s="959" t="n">
        <f aca="false">C12*(1-$C$19)</f>
        <v>0</v>
      </c>
      <c r="D23" s="957"/>
      <c r="E23" s="960" t="n">
        <f aca="false">E12*(1-$C$19)</f>
        <v>0</v>
      </c>
      <c r="F23" s="957"/>
      <c r="G23" s="960" t="n">
        <f aca="false">G12*(1-$C$19)</f>
        <v>0</v>
      </c>
      <c r="H23" s="876"/>
      <c r="I23" s="960" t="n">
        <f aca="false">I12*(1-$C$19)</f>
        <v>0</v>
      </c>
      <c r="J23" s="876"/>
      <c r="K23" s="959" t="n">
        <f aca="false">K12*(1-$C$19)</f>
        <v>0</v>
      </c>
    </row>
    <row r="24" customFormat="false" ht="15" hidden="false" customHeight="false" outlineLevel="0" collapsed="false">
      <c r="A24" s="52" t="s">
        <v>168</v>
      </c>
      <c r="B24" s="46"/>
      <c r="C24" s="959" t="n">
        <f aca="false">C13*(1-$C$19)</f>
        <v>48500</v>
      </c>
      <c r="D24" s="957"/>
      <c r="E24" s="960" t="n">
        <f aca="false">E13*(1-$C$19)</f>
        <v>48500</v>
      </c>
      <c r="F24" s="957"/>
      <c r="G24" s="960" t="n">
        <f aca="false">G13*(1-$C$19)</f>
        <v>48500</v>
      </c>
      <c r="H24" s="876"/>
      <c r="I24" s="960" t="n">
        <f aca="false">I13*(1-$C$19)</f>
        <v>48500</v>
      </c>
      <c r="J24" s="876"/>
      <c r="K24" s="959" t="n">
        <f aca="false">K13*(1-$C$19)</f>
        <v>48500</v>
      </c>
    </row>
    <row r="25" customFormat="false" ht="15" hidden="false" customHeight="false" outlineLevel="0" collapsed="false">
      <c r="A25" s="52" t="s">
        <v>169</v>
      </c>
      <c r="B25" s="46"/>
      <c r="C25" s="959" t="n">
        <f aca="false">C14*(1-$C$19)</f>
        <v>0</v>
      </c>
      <c r="D25" s="957"/>
      <c r="E25" s="960" t="n">
        <f aca="false">E14*(1-$C$19)</f>
        <v>0</v>
      </c>
      <c r="F25" s="957"/>
      <c r="G25" s="960" t="n">
        <f aca="false">G14*(1-$C$19)</f>
        <v>0</v>
      </c>
      <c r="H25" s="876"/>
      <c r="I25" s="960" t="n">
        <f aca="false">I14*(1-$C$19)</f>
        <v>0</v>
      </c>
      <c r="J25" s="876"/>
      <c r="K25" s="959" t="n">
        <f aca="false">K14*(1-$C$19)</f>
        <v>0</v>
      </c>
    </row>
    <row r="26" customFormat="false" ht="15" hidden="false" customHeight="false" outlineLevel="0" collapsed="false">
      <c r="A26" s="52" t="s">
        <v>170</v>
      </c>
      <c r="B26" s="46"/>
      <c r="C26" s="959" t="n">
        <f aca="false">C15*(1-$C$19)</f>
        <v>0</v>
      </c>
      <c r="D26" s="957"/>
      <c r="E26" s="960" t="n">
        <f aca="false">E15*(1-$C$19)</f>
        <v>0</v>
      </c>
      <c r="F26" s="957"/>
      <c r="G26" s="960" t="n">
        <f aca="false">G15*(1-$C$19)</f>
        <v>0</v>
      </c>
      <c r="H26" s="876"/>
      <c r="I26" s="960" t="n">
        <f aca="false">I15*(1-$C$19)</f>
        <v>0</v>
      </c>
      <c r="J26" s="876"/>
      <c r="K26" s="959" t="n">
        <f aca="false">K15*(1-$C$19)</f>
        <v>0</v>
      </c>
    </row>
    <row r="27" customFormat="false" ht="15" hidden="false" customHeight="false" outlineLevel="0" collapsed="false">
      <c r="A27" s="52"/>
      <c r="B27" s="961"/>
      <c r="C27" s="962"/>
      <c r="D27" s="876"/>
      <c r="E27" s="963"/>
      <c r="F27" s="900"/>
      <c r="G27" s="963"/>
      <c r="H27" s="957"/>
      <c r="I27" s="963"/>
      <c r="J27" s="957"/>
      <c r="K27" s="962"/>
    </row>
    <row r="28" customFormat="false" ht="18" hidden="false" customHeight="false" outlineLevel="0" collapsed="false">
      <c r="A28" s="947" t="s">
        <v>549</v>
      </c>
      <c r="B28" s="964"/>
      <c r="C28" s="964"/>
      <c r="D28" s="964"/>
      <c r="E28" s="964"/>
      <c r="F28" s="964"/>
      <c r="G28" s="964"/>
      <c r="H28" s="964"/>
      <c r="I28" s="964"/>
      <c r="J28" s="964"/>
      <c r="K28" s="965"/>
    </row>
    <row r="29" customFormat="false" ht="15" hidden="false" customHeight="false" outlineLevel="0" collapsed="false">
      <c r="A29" s="506"/>
      <c r="B29" s="257"/>
      <c r="C29" s="260"/>
      <c r="D29" s="257"/>
      <c r="E29" s="257"/>
      <c r="F29" s="257"/>
      <c r="G29" s="257"/>
      <c r="H29" s="257"/>
      <c r="I29" s="257"/>
      <c r="J29" s="257"/>
      <c r="K29" s="260"/>
    </row>
    <row r="30" customFormat="false" ht="15" hidden="false" customHeight="false" outlineLevel="0" collapsed="false">
      <c r="A30" s="52" t="s">
        <v>165</v>
      </c>
      <c r="B30" s="48"/>
      <c r="C30" s="875" t="n">
        <f aca="false">TRUNC(('7.1 Dealer area'!C39-'7.1 Dealer area'!C51)*'7.2.1 Turnover Vehicles'!C10)+'7.1 Dealer area'!C51*('7.2.1 Turnover Vehicles'!C21)</f>
        <v>0</v>
      </c>
      <c r="D30" s="876"/>
      <c r="E30" s="876" t="n">
        <f aca="false">TRUNC(('7.1 Dealer area'!E39-'7.1 Dealer area'!E51)*'7.2.1 Turnover Vehicles'!E10)+'7.1 Dealer area'!E51*('7.2.1 Turnover Vehicles'!E21)</f>
        <v>0</v>
      </c>
      <c r="F30" s="876"/>
      <c r="G30" s="876" t="n">
        <f aca="false">TRUNC(('7.1 Dealer area'!G39-'7.1 Dealer area'!G51)*'7.2.1 Turnover Vehicles'!G10)+'7.1 Dealer area'!G51*('7.2.1 Turnover Vehicles'!G21)</f>
        <v>0</v>
      </c>
      <c r="H30" s="876"/>
      <c r="I30" s="876" t="n">
        <f aca="false">TRUNC(('7.1 Dealer area'!I39-'7.1 Dealer area'!I51)*'7.2.1 Turnover Vehicles'!I10)+'7.1 Dealer area'!I51*('7.2.1 Turnover Vehicles'!I21)</f>
        <v>0</v>
      </c>
      <c r="J30" s="876"/>
      <c r="K30" s="875" t="n">
        <f aca="false">TRUNC(('7.1 Dealer area'!K39-'7.1 Dealer area'!K51)*'7.2.1 Turnover Vehicles'!K10)+'7.1 Dealer area'!K51*('7.2.1 Turnover Vehicles'!K21)</f>
        <v>0</v>
      </c>
    </row>
    <row r="31" customFormat="false" ht="15" hidden="false" customHeight="false" outlineLevel="0" collapsed="false">
      <c r="A31" s="52" t="s">
        <v>166</v>
      </c>
      <c r="B31" s="48"/>
      <c r="C31" s="875" t="n">
        <f aca="false">TRUNC(('7.1 Dealer area'!C40-'7.1 Dealer area'!C52)*'7.2.1 Turnover Vehicles'!C11)+'7.1 Dealer area'!C52*('7.2.1 Turnover Vehicles'!C22)</f>
        <v>0</v>
      </c>
      <c r="D31" s="876"/>
      <c r="E31" s="876" t="n">
        <f aca="false">TRUNC(('7.1 Dealer area'!E40-'7.1 Dealer area'!E52)*'7.2.1 Turnover Vehicles'!E11)+'7.1 Dealer area'!E52*('7.2.1 Turnover Vehicles'!E22)</f>
        <v>0</v>
      </c>
      <c r="F31" s="876"/>
      <c r="G31" s="876" t="n">
        <f aca="false">TRUNC(('7.1 Dealer area'!G40-'7.1 Dealer area'!G52)*'7.2.1 Turnover Vehicles'!G11)+'7.1 Dealer area'!G52*('7.2.1 Turnover Vehicles'!G22)</f>
        <v>0</v>
      </c>
      <c r="H31" s="876"/>
      <c r="I31" s="876" t="n">
        <f aca="false">TRUNC(('7.1 Dealer area'!I40-'7.1 Dealer area'!I52)*'7.2.1 Turnover Vehicles'!I11)+'7.1 Dealer area'!I52*('7.2.1 Turnover Vehicles'!I22)</f>
        <v>0</v>
      </c>
      <c r="J31" s="876"/>
      <c r="K31" s="875" t="n">
        <f aca="false">TRUNC(('7.1 Dealer area'!K40-'7.1 Dealer area'!K52)*'7.2.1 Turnover Vehicles'!K11)+'7.1 Dealer area'!K52*('7.2.1 Turnover Vehicles'!K22)</f>
        <v>0</v>
      </c>
    </row>
    <row r="32" customFormat="false" ht="15" hidden="false" customHeight="false" outlineLevel="0" collapsed="false">
      <c r="A32" s="52" t="s">
        <v>167</v>
      </c>
      <c r="B32" s="48"/>
      <c r="C32" s="875" t="n">
        <f aca="false">TRUNC(('7.1 Dealer area'!C43-'7.1 Dealer area'!C53)*'7.2.1 Turnover Vehicles'!C12)+'7.1 Dealer area'!C53*('7.2.1 Turnover Vehicles'!C23)</f>
        <v>0</v>
      </c>
      <c r="D32" s="876"/>
      <c r="E32" s="876" t="n">
        <f aca="false">TRUNC(('7.1 Dealer area'!E43-'7.1 Dealer area'!E53)*'7.2.1 Turnover Vehicles'!E12)+'7.1 Dealer area'!E53*('7.2.1 Turnover Vehicles'!E23)</f>
        <v>0</v>
      </c>
      <c r="F32" s="876"/>
      <c r="G32" s="876" t="n">
        <f aca="false">TRUNC(('7.1 Dealer area'!G43-'7.1 Dealer area'!G53)*'7.2.1 Turnover Vehicles'!G12)+'7.1 Dealer area'!G53*('7.2.1 Turnover Vehicles'!G23)</f>
        <v>0</v>
      </c>
      <c r="H32" s="876"/>
      <c r="I32" s="876" t="n">
        <f aca="false">TRUNC(('7.1 Dealer area'!I43-'7.1 Dealer area'!I53)*'7.2.1 Turnover Vehicles'!I12)+'7.1 Dealer area'!I53*('7.2.1 Turnover Vehicles'!I23)</f>
        <v>0</v>
      </c>
      <c r="J32" s="876"/>
      <c r="K32" s="875" t="n">
        <f aca="false">TRUNC(('7.1 Dealer area'!K43-'7.1 Dealer area'!K53)*'7.2.1 Turnover Vehicles'!K12)+'7.1 Dealer area'!K53*('7.2.1 Turnover Vehicles'!K23)</f>
        <v>0</v>
      </c>
    </row>
    <row r="33" customFormat="false" ht="15" hidden="false" customHeight="false" outlineLevel="0" collapsed="false">
      <c r="A33" s="52" t="s">
        <v>168</v>
      </c>
      <c r="B33" s="48"/>
      <c r="C33" s="875" t="n">
        <f aca="false">TRUNC(('7.1 Dealer area'!C44-'7.1 Dealer area'!C54)*'7.2.1 Turnover Vehicles'!C13)+'7.1 Dealer area'!C54*('7.2.1 Turnover Vehicles'!C24)</f>
        <v>0</v>
      </c>
      <c r="D33" s="876"/>
      <c r="E33" s="876" t="n">
        <f aca="false">TRUNC(('7.1 Dealer area'!E44-'7.1 Dealer area'!E54)*'7.2.1 Turnover Vehicles'!E13)+'7.1 Dealer area'!E54*('7.2.1 Turnover Vehicles'!E24)</f>
        <v>0</v>
      </c>
      <c r="F33" s="876"/>
      <c r="G33" s="876" t="n">
        <f aca="false">TRUNC(('7.1 Dealer area'!G44-'7.1 Dealer area'!G54)*'7.2.1 Turnover Vehicles'!G13)+'7.1 Dealer area'!G54*('7.2.1 Turnover Vehicles'!G24)</f>
        <v>0</v>
      </c>
      <c r="H33" s="876"/>
      <c r="I33" s="876" t="n">
        <f aca="false">TRUNC(('7.1 Dealer area'!I44-'7.1 Dealer area'!I54)*'7.2.1 Turnover Vehicles'!I13)+'7.1 Dealer area'!I54*('7.2.1 Turnover Vehicles'!I24)</f>
        <v>0</v>
      </c>
      <c r="J33" s="876"/>
      <c r="K33" s="875" t="n">
        <f aca="false">TRUNC(('7.1 Dealer area'!K44-'7.1 Dealer area'!K54)*'7.2.1 Turnover Vehicles'!K13)+'7.1 Dealer area'!K54*('7.2.1 Turnover Vehicles'!K24)</f>
        <v>0</v>
      </c>
    </row>
    <row r="34" customFormat="false" ht="15" hidden="false" customHeight="false" outlineLevel="0" collapsed="false">
      <c r="A34" s="52" t="s">
        <v>169</v>
      </c>
      <c r="B34" s="48"/>
      <c r="C34" s="875" t="n">
        <f aca="false">TRUNC(('7.1 Dealer area'!C45-'7.1 Dealer area'!C55)*'7.2.1 Turnover Vehicles'!C14)+'7.1 Dealer area'!C55*('7.2.1 Turnover Vehicles'!C25)</f>
        <v>0</v>
      </c>
      <c r="D34" s="876"/>
      <c r="E34" s="876" t="n">
        <f aca="false">TRUNC(('7.1 Dealer area'!E45-'7.1 Dealer area'!E55)*'7.2.1 Turnover Vehicles'!E14)+'7.1 Dealer area'!E55*('7.2.1 Turnover Vehicles'!E25)</f>
        <v>0</v>
      </c>
      <c r="F34" s="876"/>
      <c r="G34" s="876" t="n">
        <f aca="false">TRUNC(('7.1 Dealer area'!G45-'7.1 Dealer area'!G55)*'7.2.1 Turnover Vehicles'!G14)+'7.1 Dealer area'!G55*('7.2.1 Turnover Vehicles'!G25)</f>
        <v>0</v>
      </c>
      <c r="H34" s="876"/>
      <c r="I34" s="876" t="n">
        <f aca="false">TRUNC(('7.1 Dealer area'!I45-'7.1 Dealer area'!I55)*'7.2.1 Turnover Vehicles'!I14)+'7.1 Dealer area'!I55*('7.2.1 Turnover Vehicles'!I25)</f>
        <v>0</v>
      </c>
      <c r="J34" s="876"/>
      <c r="K34" s="875" t="n">
        <f aca="false">TRUNC(('7.1 Dealer area'!K45-'7.1 Dealer area'!K55)*'7.2.1 Turnover Vehicles'!K14)+'7.1 Dealer area'!K55*('7.2.1 Turnover Vehicles'!K25)</f>
        <v>0</v>
      </c>
    </row>
    <row r="35" customFormat="false" ht="15" hidden="false" customHeight="false" outlineLevel="0" collapsed="false">
      <c r="A35" s="52" t="s">
        <v>170</v>
      </c>
      <c r="B35" s="48"/>
      <c r="C35" s="966" t="n">
        <f aca="false">TRUNC(('7.1 Dealer area'!C46-'7.1 Dealer area'!C56)*'7.2.1 Turnover Vehicles'!C15)+'7.1 Dealer area'!C56*('7.2.1 Turnover Vehicles'!C26)</f>
        <v>0</v>
      </c>
      <c r="D35" s="876"/>
      <c r="E35" s="967" t="n">
        <f aca="false">TRUNC(('7.1 Dealer area'!E46-'7.1 Dealer area'!E56)*'7.2.1 Turnover Vehicles'!E15)+'7.1 Dealer area'!E56*('7.2.1 Turnover Vehicles'!E26)</f>
        <v>0</v>
      </c>
      <c r="F35" s="876"/>
      <c r="G35" s="967" t="n">
        <f aca="false">TRUNC(('7.1 Dealer area'!G46-'7.1 Dealer area'!G56)*'7.2.1 Turnover Vehicles'!G15)+'7.1 Dealer area'!G56*('7.2.1 Turnover Vehicles'!G26)</f>
        <v>0</v>
      </c>
      <c r="H35" s="876"/>
      <c r="I35" s="967" t="n">
        <f aca="false">TRUNC(('7.1 Dealer area'!I46-'7.1 Dealer area'!I56)*'7.2.1 Turnover Vehicles'!I15)+'7.1 Dealer area'!I56*('7.2.1 Turnover Vehicles'!I26)</f>
        <v>0</v>
      </c>
      <c r="J35" s="876"/>
      <c r="K35" s="966" t="n">
        <f aca="false">TRUNC(('7.1 Dealer area'!K46-'7.1 Dealer area'!K56)*'7.2.1 Turnover Vehicles'!K15)+'7.1 Dealer area'!K56*('7.2.1 Turnover Vehicles'!K26)</f>
        <v>0</v>
      </c>
    </row>
    <row r="36" s="273" customFormat="true" ht="15" hidden="false" customHeight="false" outlineLevel="0" collapsed="false">
      <c r="A36" s="562" t="s">
        <v>550</v>
      </c>
      <c r="B36" s="968"/>
      <c r="C36" s="969" t="n">
        <f aca="false">SUM(C30:C35)</f>
        <v>0</v>
      </c>
      <c r="D36" s="904"/>
      <c r="E36" s="970" t="n">
        <f aca="false">SUM(E30:E35)</f>
        <v>0</v>
      </c>
      <c r="F36" s="971"/>
      <c r="G36" s="970" t="n">
        <f aca="false">SUM(G30:G35)</f>
        <v>0</v>
      </c>
      <c r="H36" s="972"/>
      <c r="I36" s="970" t="n">
        <f aca="false">SUM(I30:I35)</f>
        <v>0</v>
      </c>
      <c r="J36" s="972"/>
      <c r="K36" s="969" t="n">
        <f aca="false">SUM(K30:K35)</f>
        <v>0</v>
      </c>
    </row>
    <row r="37" s="273" customFormat="true" ht="15" hidden="false" customHeight="false" outlineLevel="0" collapsed="false">
      <c r="A37" s="560"/>
      <c r="B37" s="973"/>
      <c r="C37" s="974"/>
      <c r="D37" s="975"/>
      <c r="E37" s="976"/>
      <c r="F37" s="977"/>
      <c r="G37" s="976"/>
      <c r="H37" s="978"/>
      <c r="I37" s="976"/>
      <c r="J37" s="978"/>
      <c r="K37" s="974"/>
    </row>
    <row r="38" s="984" customFormat="true" ht="18.75" hidden="false" customHeight="false" outlineLevel="0" collapsed="false">
      <c r="A38" s="362"/>
      <c r="B38" s="979"/>
      <c r="C38" s="980"/>
      <c r="D38" s="981"/>
      <c r="E38" s="980"/>
      <c r="F38" s="982"/>
      <c r="G38" s="980"/>
      <c r="H38" s="983"/>
      <c r="I38" s="980"/>
      <c r="J38" s="983"/>
      <c r="K38" s="980"/>
    </row>
    <row r="39" s="273" customFormat="true" ht="18.75" hidden="false" customHeight="false" outlineLevel="0" collapsed="false">
      <c r="A39" s="887" t="s">
        <v>551</v>
      </c>
      <c r="B39" s="985"/>
      <c r="C39" s="986"/>
      <c r="D39" s="987"/>
      <c r="E39" s="986"/>
      <c r="F39" s="988"/>
      <c r="G39" s="986"/>
      <c r="H39" s="989"/>
      <c r="I39" s="986"/>
      <c r="J39" s="989"/>
      <c r="K39" s="990"/>
    </row>
    <row r="40" s="273" customFormat="true" ht="18.75" hidden="false" customHeight="false" outlineLevel="0" collapsed="false">
      <c r="A40" s="839" t="s">
        <v>552</v>
      </c>
      <c r="B40" s="991"/>
      <c r="C40" s="992"/>
      <c r="D40" s="993"/>
      <c r="E40" s="992"/>
      <c r="F40" s="994"/>
      <c r="G40" s="992"/>
      <c r="H40" s="994"/>
      <c r="I40" s="992"/>
      <c r="J40" s="994"/>
      <c r="K40" s="995"/>
    </row>
    <row r="41" s="273" customFormat="true" ht="15" hidden="false" customHeight="false" outlineLevel="0" collapsed="false">
      <c r="A41" s="52"/>
      <c r="B41" s="48"/>
      <c r="C41" s="54"/>
      <c r="D41" s="48"/>
      <c r="E41" s="48"/>
      <c r="F41" s="48"/>
      <c r="G41" s="48"/>
      <c r="H41" s="48"/>
      <c r="I41" s="48"/>
      <c r="J41" s="48"/>
      <c r="K41" s="54"/>
    </row>
    <row r="42" s="273" customFormat="true" ht="15" hidden="false" customHeight="false" outlineLevel="0" collapsed="false">
      <c r="A42" s="52" t="s">
        <v>553</v>
      </c>
      <c r="B42" s="48"/>
      <c r="C42" s="951" t="n">
        <v>0</v>
      </c>
      <c r="D42" s="996"/>
      <c r="E42" s="997" t="n">
        <v>0</v>
      </c>
      <c r="F42" s="996"/>
      <c r="G42" s="997" t="n">
        <v>0</v>
      </c>
      <c r="H42" s="996"/>
      <c r="I42" s="997" t="n">
        <v>0</v>
      </c>
      <c r="J42" s="996"/>
      <c r="K42" s="951" t="n">
        <v>0</v>
      </c>
    </row>
    <row r="43" s="273" customFormat="true" ht="15" hidden="false" customHeight="false" outlineLevel="0" collapsed="false">
      <c r="A43" s="560"/>
      <c r="B43" s="107"/>
      <c r="C43" s="998"/>
      <c r="D43" s="941"/>
      <c r="E43" s="975"/>
      <c r="F43" s="941"/>
      <c r="G43" s="975"/>
      <c r="H43" s="941"/>
      <c r="I43" s="975"/>
      <c r="J43" s="941"/>
      <c r="K43" s="998"/>
    </row>
    <row r="44" s="273" customFormat="true" ht="18.75" hidden="false" customHeight="false" outlineLevel="0" collapsed="false">
      <c r="A44" s="839" t="s">
        <v>554</v>
      </c>
      <c r="B44" s="991"/>
      <c r="C44" s="992"/>
      <c r="D44" s="993"/>
      <c r="E44" s="992"/>
      <c r="F44" s="994"/>
      <c r="G44" s="992"/>
      <c r="H44" s="994"/>
      <c r="I44" s="992"/>
      <c r="J44" s="994"/>
      <c r="K44" s="995"/>
    </row>
    <row r="45" s="273" customFormat="true" ht="15" hidden="false" customHeight="false" outlineLevel="0" collapsed="false">
      <c r="A45" s="52" t="s">
        <v>529</v>
      </c>
      <c r="B45" s="696" t="n">
        <f aca="false">'9.0 Scenario''s'!D11</f>
        <v>1</v>
      </c>
      <c r="C45" s="3"/>
      <c r="D45" s="2"/>
      <c r="E45" s="2"/>
      <c r="F45" s="2"/>
      <c r="G45" s="2"/>
      <c r="H45" s="2"/>
      <c r="I45" s="2"/>
      <c r="J45" s="2"/>
      <c r="K45" s="3"/>
    </row>
    <row r="46" s="273" customFormat="true" ht="15" hidden="false" customHeight="false" outlineLevel="0" collapsed="false">
      <c r="A46" s="52" t="s">
        <v>555</v>
      </c>
      <c r="B46" s="86"/>
      <c r="C46" s="868" t="n">
        <f aca="false">'5.1 DAF Vehicle Parc Input'!K41*C42*$B$45</f>
        <v>0</v>
      </c>
      <c r="D46" s="869"/>
      <c r="E46" s="869" t="n">
        <f aca="false">'5.1 DAF Vehicle Parc Input'!M41*E42*$B$45</f>
        <v>0</v>
      </c>
      <c r="F46" s="869"/>
      <c r="G46" s="869" t="n">
        <f aca="false">'5.1 DAF Vehicle Parc Input'!O41*G42*$B$45</f>
        <v>0</v>
      </c>
      <c r="H46" s="869"/>
      <c r="I46" s="869" t="n">
        <f aca="false">'5.1 DAF Vehicle Parc Input'!Q41*I42*$B$45</f>
        <v>0</v>
      </c>
      <c r="J46" s="869"/>
      <c r="K46" s="868" t="n">
        <f aca="false">'5.1 DAF Vehicle Parc Input'!S41*K42*$B$45</f>
        <v>0</v>
      </c>
    </row>
    <row r="47" s="273" customFormat="true" ht="15" hidden="false" customHeight="false" outlineLevel="0" collapsed="false">
      <c r="A47" s="52" t="s">
        <v>556</v>
      </c>
      <c r="B47" s="86"/>
      <c r="C47" s="873" t="n">
        <f aca="false">'5.1 DAF Vehicle Parc Input'!K42*C42*$B$45</f>
        <v>0</v>
      </c>
      <c r="D47" s="869"/>
      <c r="E47" s="874" t="n">
        <f aca="false">'5.1 DAF Vehicle Parc Input'!M42*E42*$B$45</f>
        <v>0</v>
      </c>
      <c r="F47" s="869"/>
      <c r="G47" s="874" t="n">
        <f aca="false">'5.1 DAF Vehicle Parc Input'!O42*G42*$B$45</f>
        <v>0</v>
      </c>
      <c r="H47" s="869"/>
      <c r="I47" s="874" t="n">
        <f aca="false">'5.1 DAF Vehicle Parc Input'!Q42*I42*$B$45</f>
        <v>0</v>
      </c>
      <c r="J47" s="869"/>
      <c r="K47" s="873" t="n">
        <f aca="false">'5.1 DAF Vehicle Parc Input'!S42*K42*$B$45</f>
        <v>0</v>
      </c>
    </row>
    <row r="48" s="273" customFormat="true" ht="15" hidden="false" customHeight="false" outlineLevel="0" collapsed="false">
      <c r="A48" s="562" t="s">
        <v>557</v>
      </c>
      <c r="B48" s="48"/>
      <c r="C48" s="999" t="n">
        <f aca="false">C46+C47</f>
        <v>0</v>
      </c>
      <c r="D48" s="1000"/>
      <c r="E48" s="1001" t="n">
        <f aca="false">E46+E47</f>
        <v>0</v>
      </c>
      <c r="F48" s="1000"/>
      <c r="G48" s="1001" t="n">
        <f aca="false">G46+G47</f>
        <v>0</v>
      </c>
      <c r="H48" s="1000"/>
      <c r="I48" s="1001" t="n">
        <f aca="false">I46+I47</f>
        <v>0</v>
      </c>
      <c r="J48" s="1000"/>
      <c r="K48" s="999" t="n">
        <f aca="false">K46+K47</f>
        <v>0</v>
      </c>
    </row>
    <row r="49" s="273" customFormat="true" ht="15" hidden="false" customHeight="false" outlineLevel="0" collapsed="false">
      <c r="A49" s="560"/>
      <c r="B49" s="107"/>
      <c r="C49" s="1002"/>
      <c r="D49" s="1003"/>
      <c r="E49" s="1004"/>
      <c r="F49" s="1003"/>
      <c r="G49" s="1004"/>
      <c r="H49" s="1003"/>
      <c r="I49" s="1004"/>
      <c r="J49" s="1003"/>
      <c r="K49" s="1002"/>
    </row>
    <row r="50" s="273" customFormat="true" ht="18.75" hidden="false" customHeight="false" outlineLevel="0" collapsed="false">
      <c r="A50" s="839" t="s">
        <v>558</v>
      </c>
      <c r="B50" s="991"/>
      <c r="C50" s="992"/>
      <c r="D50" s="993"/>
      <c r="E50" s="992"/>
      <c r="F50" s="994"/>
      <c r="G50" s="992"/>
      <c r="H50" s="994"/>
      <c r="I50" s="992"/>
      <c r="J50" s="994"/>
      <c r="K50" s="995"/>
    </row>
    <row r="51" s="273" customFormat="true" ht="18.75" hidden="false" customHeight="false" outlineLevel="0" collapsed="false">
      <c r="A51" s="1005"/>
      <c r="B51" s="1006"/>
      <c r="C51" s="1007"/>
      <c r="D51" s="1008"/>
      <c r="E51" s="1009"/>
      <c r="F51" s="1010"/>
      <c r="G51" s="1009"/>
      <c r="H51" s="1011"/>
      <c r="I51" s="1009"/>
      <c r="J51" s="1011"/>
      <c r="K51" s="1007"/>
    </row>
    <row r="52" s="273" customFormat="true" ht="15" hidden="false" customHeight="false" outlineLevel="0" collapsed="false">
      <c r="A52" s="52" t="s">
        <v>559</v>
      </c>
      <c r="B52" s="48"/>
      <c r="C52" s="951" t="n">
        <v>0</v>
      </c>
      <c r="D52" s="2"/>
      <c r="E52" s="997" t="n">
        <v>0</v>
      </c>
      <c r="F52" s="2"/>
      <c r="G52" s="997" t="n">
        <v>0</v>
      </c>
      <c r="H52" s="2"/>
      <c r="I52" s="997" t="n">
        <v>0</v>
      </c>
      <c r="J52" s="2"/>
      <c r="K52" s="951" t="n">
        <v>0</v>
      </c>
    </row>
    <row r="53" customFormat="false" ht="15" hidden="false" customHeight="false" outlineLevel="0" collapsed="false">
      <c r="A53" s="52" t="s">
        <v>560</v>
      </c>
      <c r="B53" s="48"/>
      <c r="C53" s="951" t="n">
        <v>0</v>
      </c>
      <c r="D53" s="67"/>
      <c r="E53" s="925" t="n">
        <f aca="false">C54</f>
        <v>0</v>
      </c>
      <c r="F53" s="67"/>
      <c r="G53" s="925" t="n">
        <f aca="false">E54</f>
        <v>0</v>
      </c>
      <c r="H53" s="67"/>
      <c r="I53" s="925" t="n">
        <f aca="false">G54</f>
        <v>0</v>
      </c>
      <c r="J53" s="67"/>
      <c r="K53" s="924" t="n">
        <f aca="false">I54</f>
        <v>0</v>
      </c>
    </row>
    <row r="54" s="273" customFormat="true" ht="15" hidden="false" customHeight="false" outlineLevel="0" collapsed="false">
      <c r="A54" s="52" t="s">
        <v>561</v>
      </c>
      <c r="B54" s="48"/>
      <c r="C54" s="926" t="n">
        <f aca="false">C52*'7.3 Cost of sales'!C46</f>
        <v>0</v>
      </c>
      <c r="D54" s="280"/>
      <c r="E54" s="927" t="n">
        <f aca="false">E52*'7.3 Cost of sales'!E46</f>
        <v>0</v>
      </c>
      <c r="F54" s="280"/>
      <c r="G54" s="927" t="n">
        <f aca="false">G52*'7.3 Cost of sales'!G46</f>
        <v>0</v>
      </c>
      <c r="H54" s="280"/>
      <c r="I54" s="927" t="n">
        <f aca="false">I52*'7.3 Cost of sales'!I46</f>
        <v>0</v>
      </c>
      <c r="J54" s="280"/>
      <c r="K54" s="926" t="n">
        <f aca="false">K52*'7.3 Cost of sales'!K46</f>
        <v>0</v>
      </c>
    </row>
    <row r="55" s="273" customFormat="true" ht="15" hidden="false" customHeight="false" outlineLevel="0" collapsed="false">
      <c r="A55" s="562" t="s">
        <v>562</v>
      </c>
      <c r="B55" s="48"/>
      <c r="C55" s="924" t="n">
        <f aca="false">C54-C53</f>
        <v>0</v>
      </c>
      <c r="D55" s="280"/>
      <c r="E55" s="925" t="n">
        <f aca="false">E54-E53</f>
        <v>0</v>
      </c>
      <c r="F55" s="280"/>
      <c r="G55" s="925" t="n">
        <f aca="false">G54-G53</f>
        <v>0</v>
      </c>
      <c r="H55" s="280"/>
      <c r="I55" s="925" t="n">
        <f aca="false">I54-I53</f>
        <v>0</v>
      </c>
      <c r="J55" s="280"/>
      <c r="K55" s="924" t="n">
        <f aca="false">K54-K53</f>
        <v>0</v>
      </c>
    </row>
    <row r="56" s="273" customFormat="true" ht="15" hidden="false" customHeight="false" outlineLevel="0" collapsed="false">
      <c r="A56" s="560"/>
      <c r="B56" s="107"/>
      <c r="C56" s="998"/>
      <c r="D56" s="941"/>
      <c r="E56" s="975"/>
      <c r="F56" s="941"/>
      <c r="G56" s="975"/>
      <c r="H56" s="941"/>
      <c r="I56" s="975"/>
      <c r="J56" s="941"/>
      <c r="K56" s="998"/>
    </row>
    <row r="57" s="273" customFormat="true" ht="18.75" hidden="false" customHeight="false" outlineLevel="0" collapsed="false">
      <c r="A57" s="1012"/>
      <c r="B57" s="1012"/>
      <c r="C57" s="1012"/>
      <c r="D57" s="1012"/>
      <c r="E57" s="1012"/>
      <c r="F57" s="1012"/>
      <c r="G57" s="1012"/>
      <c r="H57" s="1012"/>
      <c r="I57" s="1012"/>
      <c r="J57" s="1012"/>
      <c r="K57" s="1012"/>
    </row>
    <row r="58" s="984" customFormat="true" ht="18.75" hidden="false" customHeight="false" outlineLevel="0" collapsed="false">
      <c r="A58" s="839" t="s">
        <v>563</v>
      </c>
      <c r="B58" s="132"/>
      <c r="C58" s="132"/>
      <c r="D58" s="132"/>
      <c r="E58" s="132"/>
      <c r="F58" s="132"/>
      <c r="G58" s="132"/>
      <c r="H58" s="132"/>
      <c r="I58" s="132"/>
      <c r="J58" s="132"/>
      <c r="K58" s="133"/>
    </row>
    <row r="59" customFormat="false" ht="15" hidden="false" customHeight="false" outlineLevel="0" collapsed="false">
      <c r="A59" s="52"/>
      <c r="B59" s="48"/>
      <c r="C59" s="260"/>
      <c r="D59" s="2"/>
      <c r="E59" s="48"/>
      <c r="F59" s="2"/>
      <c r="G59" s="48"/>
      <c r="H59" s="2"/>
      <c r="I59" s="48"/>
      <c r="J59" s="2"/>
      <c r="K59" s="260"/>
    </row>
    <row r="60" customFormat="false" ht="15" hidden="false" customHeight="false" outlineLevel="0" collapsed="false">
      <c r="A60" s="52" t="s">
        <v>564</v>
      </c>
      <c r="B60" s="48"/>
      <c r="C60" s="868" t="n">
        <f aca="false">'5.1 DAF Vehicle Parc Input'!K52</f>
        <v>0</v>
      </c>
      <c r="D60" s="869"/>
      <c r="E60" s="869" t="n">
        <f aca="false">'5.1 DAF Vehicle Parc Input'!M52</f>
        <v>0</v>
      </c>
      <c r="F60" s="869"/>
      <c r="G60" s="869" t="n">
        <f aca="false">'5.1 DAF Vehicle Parc Input'!O52</f>
        <v>0</v>
      </c>
      <c r="H60" s="869"/>
      <c r="I60" s="869" t="n">
        <f aca="false">'5.1 DAF Vehicle Parc Input'!Q52</f>
        <v>0</v>
      </c>
      <c r="J60" s="869"/>
      <c r="K60" s="868" t="n">
        <f aca="false">'5.1 DAF Vehicle Parc Input'!S52</f>
        <v>0</v>
      </c>
    </row>
    <row r="61" customFormat="false" ht="15" hidden="false" customHeight="false" outlineLevel="0" collapsed="false">
      <c r="A61" s="52" t="s">
        <v>565</v>
      </c>
      <c r="B61" s="48"/>
      <c r="C61" s="1013" t="n">
        <v>0</v>
      </c>
      <c r="D61" s="996"/>
      <c r="E61" s="1014" t="n">
        <v>0</v>
      </c>
      <c r="F61" s="996"/>
      <c r="G61" s="1014" t="n">
        <v>0</v>
      </c>
      <c r="H61" s="996"/>
      <c r="I61" s="1014" t="n">
        <v>0</v>
      </c>
      <c r="J61" s="996"/>
      <c r="K61" s="1013" t="n">
        <v>0</v>
      </c>
    </row>
    <row r="62" customFormat="false" ht="15" hidden="false" customHeight="false" outlineLevel="0" collapsed="false">
      <c r="A62" s="157" t="s">
        <v>566</v>
      </c>
      <c r="B62" s="280"/>
      <c r="C62" s="1015" t="n">
        <f aca="false">C60*C61</f>
        <v>0</v>
      </c>
      <c r="D62" s="1016"/>
      <c r="E62" s="911" t="n">
        <f aca="false">E60*E61</f>
        <v>0</v>
      </c>
      <c r="F62" s="1016"/>
      <c r="G62" s="911" t="n">
        <f aca="false">G60*G61</f>
        <v>0</v>
      </c>
      <c r="H62" s="1016"/>
      <c r="I62" s="911" t="n">
        <f aca="false">I60*I61</f>
        <v>0</v>
      </c>
      <c r="J62" s="1016"/>
      <c r="K62" s="1015" t="n">
        <f aca="false">K60*K61</f>
        <v>0</v>
      </c>
    </row>
    <row r="63" s="579" customFormat="true" ht="15" hidden="false" customHeight="false" outlineLevel="0" collapsed="false">
      <c r="A63" s="157"/>
      <c r="B63" s="280"/>
      <c r="C63" s="1015"/>
      <c r="D63" s="1016"/>
      <c r="E63" s="911"/>
      <c r="F63" s="1016"/>
      <c r="G63" s="911"/>
      <c r="H63" s="1016"/>
      <c r="I63" s="911"/>
      <c r="J63" s="1016"/>
      <c r="K63" s="1015"/>
    </row>
    <row r="64" s="579" customFormat="true" ht="15" hidden="false" customHeight="false" outlineLevel="0" collapsed="false">
      <c r="A64" s="52" t="s">
        <v>567</v>
      </c>
      <c r="B64" s="48"/>
      <c r="C64" s="951" t="n">
        <v>0</v>
      </c>
      <c r="D64" s="996"/>
      <c r="E64" s="997" t="n">
        <v>0</v>
      </c>
      <c r="F64" s="996"/>
      <c r="G64" s="997" t="n">
        <v>0</v>
      </c>
      <c r="H64" s="996"/>
      <c r="I64" s="997" t="n">
        <v>0</v>
      </c>
      <c r="J64" s="996"/>
      <c r="K64" s="951" t="n">
        <v>0</v>
      </c>
    </row>
    <row r="65" s="579" customFormat="true" ht="15" hidden="false" customHeight="false" outlineLevel="0" collapsed="false">
      <c r="A65" s="52" t="s">
        <v>565</v>
      </c>
      <c r="B65" s="48"/>
      <c r="C65" s="1013" t="n">
        <v>0</v>
      </c>
      <c r="D65" s="996"/>
      <c r="E65" s="1014" t="n">
        <v>0</v>
      </c>
      <c r="F65" s="996"/>
      <c r="G65" s="1014" t="n">
        <v>0</v>
      </c>
      <c r="H65" s="996"/>
      <c r="I65" s="1014" t="n">
        <v>0</v>
      </c>
      <c r="J65" s="996"/>
      <c r="K65" s="1013" t="n">
        <v>0</v>
      </c>
    </row>
    <row r="66" s="579" customFormat="true" ht="15" hidden="false" customHeight="false" outlineLevel="0" collapsed="false">
      <c r="A66" s="157" t="s">
        <v>568</v>
      </c>
      <c r="B66" s="280"/>
      <c r="C66" s="1015" t="n">
        <f aca="false">C64*C65</f>
        <v>0</v>
      </c>
      <c r="D66" s="1016"/>
      <c r="E66" s="911" t="n">
        <f aca="false">E64*E65</f>
        <v>0</v>
      </c>
      <c r="F66" s="1016"/>
      <c r="G66" s="911" t="n">
        <f aca="false">G64*G65</f>
        <v>0</v>
      </c>
      <c r="H66" s="1016"/>
      <c r="I66" s="911" t="n">
        <f aca="false">I64*I65</f>
        <v>0</v>
      </c>
      <c r="J66" s="1016"/>
      <c r="K66" s="1015" t="n">
        <f aca="false">K64*K65</f>
        <v>0</v>
      </c>
    </row>
    <row r="67" s="579" customFormat="true" ht="15" hidden="false" customHeight="false" outlineLevel="0" collapsed="false">
      <c r="A67" s="157"/>
      <c r="B67" s="280"/>
      <c r="C67" s="1015"/>
      <c r="D67" s="1016"/>
      <c r="E67" s="911"/>
      <c r="F67" s="1016"/>
      <c r="G67" s="911"/>
      <c r="H67" s="1016"/>
      <c r="I67" s="911"/>
      <c r="J67" s="1016"/>
      <c r="K67" s="1015"/>
    </row>
    <row r="68" s="579" customFormat="true" ht="15" hidden="false" customHeight="false" outlineLevel="0" collapsed="false">
      <c r="A68" s="52" t="s">
        <v>569</v>
      </c>
      <c r="B68" s="48"/>
      <c r="C68" s="951" t="n">
        <v>0</v>
      </c>
      <c r="D68" s="996"/>
      <c r="E68" s="997" t="n">
        <v>0</v>
      </c>
      <c r="F68" s="996"/>
      <c r="G68" s="997" t="n">
        <v>0</v>
      </c>
      <c r="H68" s="996"/>
      <c r="I68" s="997" t="n">
        <v>0</v>
      </c>
      <c r="J68" s="996"/>
      <c r="K68" s="951" t="n">
        <v>0</v>
      </c>
    </row>
    <row r="69" s="579" customFormat="true" ht="15" hidden="false" customHeight="false" outlineLevel="0" collapsed="false">
      <c r="A69" s="52" t="s">
        <v>570</v>
      </c>
      <c r="B69" s="48"/>
      <c r="C69" s="1013" t="n">
        <v>0</v>
      </c>
      <c r="D69" s="996"/>
      <c r="E69" s="1014" t="n">
        <v>0</v>
      </c>
      <c r="F69" s="996"/>
      <c r="G69" s="1014" t="n">
        <v>0</v>
      </c>
      <c r="H69" s="996"/>
      <c r="I69" s="1014" t="n">
        <v>0</v>
      </c>
      <c r="J69" s="996"/>
      <c r="K69" s="1013" t="n">
        <v>0</v>
      </c>
    </row>
    <row r="70" s="579" customFormat="true" ht="15" hidden="false" customHeight="false" outlineLevel="0" collapsed="false">
      <c r="A70" s="157" t="s">
        <v>571</v>
      </c>
      <c r="B70" s="280"/>
      <c r="C70" s="1015" t="n">
        <f aca="false">C68*C69</f>
        <v>0</v>
      </c>
      <c r="D70" s="1016"/>
      <c r="E70" s="911" t="n">
        <f aca="false">E68*E69</f>
        <v>0</v>
      </c>
      <c r="F70" s="1016"/>
      <c r="G70" s="911" t="n">
        <f aca="false">G68*G69</f>
        <v>0</v>
      </c>
      <c r="H70" s="1016"/>
      <c r="I70" s="911" t="n">
        <f aca="false">I68*I69</f>
        <v>0</v>
      </c>
      <c r="J70" s="1016"/>
      <c r="K70" s="1015" t="n">
        <f aca="false">K68*K69</f>
        <v>0</v>
      </c>
    </row>
    <row r="71" s="579" customFormat="true" ht="15" hidden="false" customHeight="false" outlineLevel="0" collapsed="false">
      <c r="A71" s="157"/>
      <c r="B71" s="280"/>
      <c r="C71" s="1015"/>
      <c r="D71" s="1016"/>
      <c r="E71" s="911"/>
      <c r="F71" s="1016"/>
      <c r="G71" s="911"/>
      <c r="H71" s="1016"/>
      <c r="I71" s="911"/>
      <c r="J71" s="1016"/>
      <c r="K71" s="1015"/>
    </row>
    <row r="72" s="579" customFormat="true" ht="15" hidden="false" customHeight="false" outlineLevel="0" collapsed="false">
      <c r="A72" s="157" t="s">
        <v>572</v>
      </c>
      <c r="B72" s="280"/>
      <c r="C72" s="1015" t="n">
        <f aca="false">C62+C66+C70</f>
        <v>0</v>
      </c>
      <c r="D72" s="1017"/>
      <c r="E72" s="1018" t="n">
        <f aca="false">E62+E66+E70</f>
        <v>0</v>
      </c>
      <c r="F72" s="1017"/>
      <c r="G72" s="1018" t="n">
        <f aca="false">G62+G66+G70</f>
        <v>0</v>
      </c>
      <c r="H72" s="1017"/>
      <c r="I72" s="1018" t="n">
        <f aca="false">I62+I66+I70</f>
        <v>0</v>
      </c>
      <c r="J72" s="1017"/>
      <c r="K72" s="903" t="n">
        <f aca="false">K62+K66+K70</f>
        <v>0</v>
      </c>
    </row>
    <row r="73" s="579" customFormat="true" ht="15" hidden="false" customHeight="false" outlineLevel="0" collapsed="false">
      <c r="A73" s="168"/>
      <c r="B73" s="1019"/>
      <c r="C73" s="1020"/>
      <c r="D73" s="1021"/>
      <c r="E73" s="1022"/>
      <c r="F73" s="1021"/>
      <c r="G73" s="1022"/>
      <c r="H73" s="1021"/>
      <c r="I73" s="1022"/>
      <c r="J73" s="1021"/>
      <c r="K73" s="1020"/>
    </row>
    <row r="74" s="579" customFormat="true" ht="15.75" hidden="false" customHeight="false" outlineLevel="0" collapsed="false">
      <c r="A74" s="48"/>
      <c r="B74" s="48"/>
      <c r="C74" s="876"/>
      <c r="D74" s="996"/>
      <c r="E74" s="876"/>
      <c r="F74" s="876"/>
      <c r="G74" s="876"/>
      <c r="H74" s="996"/>
      <c r="I74" s="876"/>
      <c r="J74" s="876"/>
      <c r="K74" s="876"/>
    </row>
    <row r="75" s="577" customFormat="true" ht="15" hidden="false" customHeight="false" outlineLevel="0" collapsed="false">
      <c r="A75" s="1023"/>
      <c r="B75" s="1024"/>
      <c r="C75" s="1025"/>
      <c r="D75" s="1026"/>
      <c r="E75" s="1026"/>
      <c r="F75" s="1026"/>
      <c r="G75" s="1026"/>
      <c r="H75" s="1026"/>
      <c r="I75" s="1026"/>
      <c r="J75" s="1026"/>
      <c r="K75" s="1027"/>
      <c r="L75" s="87"/>
    </row>
    <row r="76" s="577" customFormat="true" ht="18" hidden="false" customHeight="false" outlineLevel="0" collapsed="false">
      <c r="A76" s="1028" t="s">
        <v>573</v>
      </c>
      <c r="B76" s="1029"/>
      <c r="C76" s="1030" t="n">
        <f aca="false">C36+C48+C72</f>
        <v>0</v>
      </c>
      <c r="D76" s="1031"/>
      <c r="E76" s="1031" t="n">
        <f aca="false">E36+E48+E72</f>
        <v>0</v>
      </c>
      <c r="F76" s="1031"/>
      <c r="G76" s="1031" t="n">
        <f aca="false">G36+G48+G72</f>
        <v>0</v>
      </c>
      <c r="H76" s="1031"/>
      <c r="I76" s="1031" t="n">
        <f aca="false">I36+I48+I72</f>
        <v>0</v>
      </c>
      <c r="J76" s="1031"/>
      <c r="K76" s="1032" t="n">
        <f aca="false">K36+K48+K72</f>
        <v>0</v>
      </c>
      <c r="L76" s="87"/>
    </row>
    <row r="77" s="1039" customFormat="true" ht="18.75" hidden="false" customHeight="false" outlineLevel="0" collapsed="false">
      <c r="A77" s="1033"/>
      <c r="B77" s="1034"/>
      <c r="C77" s="1035"/>
      <c r="D77" s="1036"/>
      <c r="E77" s="1036"/>
      <c r="F77" s="1036"/>
      <c r="G77" s="1036"/>
      <c r="H77" s="1036"/>
      <c r="I77" s="1036"/>
      <c r="J77" s="1036"/>
      <c r="K77" s="1037"/>
      <c r="L77" s="1038"/>
    </row>
    <row r="78" s="87" customFormat="true" ht="19.5" hidden="false" customHeight="false" outlineLevel="0" collapsed="false">
      <c r="A78" s="1012"/>
      <c r="B78" s="1012"/>
      <c r="C78" s="1012"/>
      <c r="D78" s="1012"/>
      <c r="E78" s="1012"/>
      <c r="F78" s="1012"/>
      <c r="G78" s="1012"/>
      <c r="H78" s="1012"/>
      <c r="I78" s="1012"/>
      <c r="J78" s="1012"/>
      <c r="K78" s="1012"/>
    </row>
    <row r="79" s="984" customFormat="true" ht="19.5" hidden="false" customHeight="false" outlineLevel="0" collapsed="false">
      <c r="A79" s="1040" t="s">
        <v>574</v>
      </c>
      <c r="B79" s="1041"/>
      <c r="C79" s="1041"/>
      <c r="D79" s="1041"/>
      <c r="E79" s="1041"/>
      <c r="F79" s="1041"/>
      <c r="G79" s="1041"/>
      <c r="H79" s="1041"/>
      <c r="I79" s="1041"/>
      <c r="J79" s="1041"/>
      <c r="K79" s="1042"/>
    </row>
    <row r="80" customFormat="false" ht="15" hidden="false" customHeight="false" outlineLevel="0" collapsed="false">
      <c r="A80" s="1043"/>
      <c r="B80" s="575"/>
      <c r="C80" s="1044"/>
      <c r="D80" s="575"/>
      <c r="E80" s="575"/>
      <c r="F80" s="844"/>
      <c r="G80" s="575"/>
      <c r="H80" s="575"/>
      <c r="I80" s="575"/>
      <c r="J80" s="575"/>
      <c r="K80" s="1045"/>
    </row>
    <row r="81" s="87" customFormat="true" ht="15" hidden="false" customHeight="false" outlineLevel="0" collapsed="false">
      <c r="A81" s="1046" t="s">
        <v>575</v>
      </c>
      <c r="B81" s="48"/>
      <c r="C81" s="54"/>
      <c r="D81" s="2"/>
      <c r="E81" s="48"/>
      <c r="F81" s="2"/>
      <c r="G81" s="48"/>
      <c r="H81" s="2"/>
      <c r="I81" s="48"/>
      <c r="J81" s="2"/>
      <c r="K81" s="670"/>
    </row>
    <row r="82" customFormat="false" ht="15" hidden="false" customHeight="false" outlineLevel="0" collapsed="false">
      <c r="A82" s="1046" t="s">
        <v>576</v>
      </c>
      <c r="B82" s="48"/>
      <c r="C82" s="1047" t="n">
        <v>37</v>
      </c>
      <c r="D82" s="2"/>
      <c r="E82" s="1048" t="n">
        <v>50</v>
      </c>
      <c r="F82" s="2"/>
      <c r="G82" s="1048" t="n">
        <f aca="false">E82</f>
        <v>50</v>
      </c>
      <c r="H82" s="2"/>
      <c r="I82" s="1048" t="n">
        <v>50</v>
      </c>
      <c r="J82" s="2"/>
      <c r="K82" s="1049" t="n">
        <v>58</v>
      </c>
    </row>
    <row r="83" customFormat="false" ht="15" hidden="false" customHeight="false" outlineLevel="0" collapsed="false">
      <c r="A83" s="1046" t="s">
        <v>577</v>
      </c>
      <c r="B83" s="48"/>
      <c r="C83" s="1050" t="n">
        <f aca="false">IF('7.2.1 Turnover Vehicles'!C82=0,0,'7.1 Dealer area'!C35/'7.2.1 Turnover Vehicles'!C82)</f>
        <v>0.27027027027027</v>
      </c>
      <c r="D83" s="1051"/>
      <c r="E83" s="1052" t="n">
        <f aca="false">IF('7.2.1 Turnover Vehicles'!E82=0,0,'7.1 Dealer area'!E35/'7.2.1 Turnover Vehicles'!E82)</f>
        <v>0</v>
      </c>
      <c r="F83" s="1051"/>
      <c r="G83" s="1052" t="n">
        <f aca="false">IF('7.2.1 Turnover Vehicles'!G82=0,0,'7.1 Dealer area'!G35/'7.2.1 Turnover Vehicles'!G82)</f>
        <v>0</v>
      </c>
      <c r="H83" s="1051"/>
      <c r="I83" s="1052" t="n">
        <f aca="false">IF('7.2.1 Turnover Vehicles'!I82=0,0,'7.1 Dealer area'!I35/'7.2.1 Turnover Vehicles'!I82)</f>
        <v>0</v>
      </c>
      <c r="J83" s="1051"/>
      <c r="K83" s="1053" t="n">
        <f aca="false">IF('7.2.1 Turnover Vehicles'!K82=0,0,'7.1 Dealer area'!K35/'7.2.1 Turnover Vehicles'!K82)</f>
        <v>0</v>
      </c>
    </row>
    <row r="84" customFormat="false" ht="15" hidden="false" customHeight="false" outlineLevel="0" collapsed="false">
      <c r="A84" s="1046" t="s">
        <v>578</v>
      </c>
      <c r="B84" s="48"/>
      <c r="C84" s="1054" t="n">
        <v>4</v>
      </c>
      <c r="D84" s="2"/>
      <c r="E84" s="1055" t="n">
        <v>4</v>
      </c>
      <c r="F84" s="2"/>
      <c r="G84" s="1055" t="n">
        <v>5</v>
      </c>
      <c r="H84" s="2"/>
      <c r="I84" s="1055" t="n">
        <v>6</v>
      </c>
      <c r="J84" s="2"/>
      <c r="K84" s="1056" t="n">
        <v>6</v>
      </c>
    </row>
    <row r="85" customFormat="false" ht="15" hidden="false" customHeight="false" outlineLevel="0" collapsed="false">
      <c r="A85" s="1046" t="s">
        <v>579</v>
      </c>
      <c r="B85" s="48"/>
      <c r="C85" s="1054" t="n">
        <v>0</v>
      </c>
      <c r="D85" s="1057"/>
      <c r="E85" s="1055" t="n">
        <v>0</v>
      </c>
      <c r="F85" s="1057"/>
      <c r="G85" s="1055" t="n">
        <v>0</v>
      </c>
      <c r="H85" s="1057"/>
      <c r="I85" s="1055" t="n">
        <v>0</v>
      </c>
      <c r="J85" s="1057"/>
      <c r="K85" s="1056" t="n">
        <f aca="false">I85</f>
        <v>0</v>
      </c>
    </row>
    <row r="86" customFormat="false" ht="15" hidden="false" customHeight="false" outlineLevel="0" collapsed="false">
      <c r="A86" s="1046" t="s">
        <v>580</v>
      </c>
      <c r="B86" s="48"/>
      <c r="C86" s="1054" t="n">
        <v>0</v>
      </c>
      <c r="D86" s="1057"/>
      <c r="E86" s="1055" t="n">
        <v>0</v>
      </c>
      <c r="F86" s="1057"/>
      <c r="G86" s="1055" t="n">
        <f aca="false">E86</f>
        <v>0</v>
      </c>
      <c r="H86" s="1057"/>
      <c r="I86" s="1055" t="n">
        <v>0</v>
      </c>
      <c r="J86" s="172"/>
      <c r="K86" s="1056" t="n">
        <f aca="false">I86</f>
        <v>0</v>
      </c>
    </row>
    <row r="87" customFormat="false" ht="15" hidden="false" customHeight="false" outlineLevel="0" collapsed="false">
      <c r="A87" s="1046" t="s">
        <v>581</v>
      </c>
      <c r="B87" s="48"/>
      <c r="C87" s="1054" t="n">
        <v>3</v>
      </c>
      <c r="D87" s="1057"/>
      <c r="E87" s="1055" t="n">
        <v>3</v>
      </c>
      <c r="F87" s="1057"/>
      <c r="G87" s="1055" t="n">
        <v>3</v>
      </c>
      <c r="H87" s="1057"/>
      <c r="I87" s="1055" t="n">
        <v>3</v>
      </c>
      <c r="J87" s="1057"/>
      <c r="K87" s="1056" t="n">
        <v>3</v>
      </c>
    </row>
    <row r="88" customFormat="false" ht="15" hidden="false" customHeight="false" outlineLevel="0" collapsed="false">
      <c r="A88" s="1046" t="s">
        <v>582</v>
      </c>
      <c r="B88" s="48"/>
      <c r="C88" s="1058" t="n">
        <v>1</v>
      </c>
      <c r="D88" s="1057"/>
      <c r="E88" s="1055" t="n">
        <v>1</v>
      </c>
      <c r="F88" s="1057"/>
      <c r="G88" s="1055" t="n">
        <v>1</v>
      </c>
      <c r="H88" s="1057"/>
      <c r="I88" s="1055" t="n">
        <f aca="false">G88</f>
        <v>1</v>
      </c>
      <c r="J88" s="1057"/>
      <c r="K88" s="1059" t="n">
        <f aca="false">I88</f>
        <v>1</v>
      </c>
    </row>
    <row r="89" customFormat="false" ht="15" hidden="false" customHeight="false" outlineLevel="0" collapsed="false">
      <c r="A89" s="1060" t="s">
        <v>583</v>
      </c>
      <c r="B89" s="48"/>
      <c r="C89" s="1061" t="n">
        <f aca="false">SUM(C84:C88)</f>
        <v>8</v>
      </c>
      <c r="D89" s="1062"/>
      <c r="E89" s="1061" t="n">
        <f aca="false">SUM(E84:E88)</f>
        <v>8</v>
      </c>
      <c r="F89" s="1062"/>
      <c r="G89" s="1061" t="n">
        <f aca="false">SUM(G84:G88)</f>
        <v>9</v>
      </c>
      <c r="H89" s="1062"/>
      <c r="I89" s="1061" t="n">
        <f aca="false">SUM(I84:I88)</f>
        <v>10</v>
      </c>
      <c r="J89" s="1062"/>
      <c r="K89" s="1063" t="n">
        <f aca="false">SUM(K84:K88)</f>
        <v>10</v>
      </c>
    </row>
    <row r="90" customFormat="false" ht="15.75" hidden="false" customHeight="false" outlineLevel="0" collapsed="false">
      <c r="A90" s="1064"/>
      <c r="B90" s="1065"/>
      <c r="C90" s="1066"/>
      <c r="D90" s="1065"/>
      <c r="E90" s="1065"/>
      <c r="F90" s="1067"/>
      <c r="G90" s="1065"/>
      <c r="H90" s="1067"/>
      <c r="I90" s="1065"/>
      <c r="J90" s="1065"/>
      <c r="K90" s="1068"/>
    </row>
    <row r="91" customFormat="false" ht="15" hidden="false" customHeight="false" outlineLevel="0" collapsed="false"/>
    <row r="92" customFormat="false" ht="15" hidden="false" customHeight="false" outlineLevel="0" collapsed="false"/>
  </sheetData>
  <scenarios current="0" show="0">
    <scenario name="Increase used trucks" locked="true" count="7" user="Calc" comment="Gemaakt door marco eijkens op 22-7-2008">
      <inputCells r="C46" val="5000"/>
      <inputCells r="D46" val="800"/>
      <inputCells r="E46" val="200"/>
      <inputCells r="G46" val="0"/>
      <inputCells r="I46" val="0"/>
      <inputCells r="K14" val="100"/>
      <inputCells r="K46" val="0"/>
    </scenario>
  </scenario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4.xml><?xml version="1.0" encoding="utf-8"?>
<worksheet xmlns="http://schemas.openxmlformats.org/spreadsheetml/2006/main" xmlns:r="http://schemas.openxmlformats.org/officeDocument/2006/relationships">
  <sheetPr filterMode="false">
    <tabColor rgb="FFC0C0C0"/>
    <pageSetUpPr fitToPage="true"/>
  </sheetPr>
  <dimension ref="A1:M78"/>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5" topLeftCell="A6" activePane="bottomLeft" state="frozen"/>
      <selection pane="topLeft" activeCell="A1" activeCellId="0" sqref="A1"/>
      <selection pane="bottomLeft" activeCell="A15" activeCellId="0" sqref="A15"/>
    </sheetView>
  </sheetViews>
  <sheetFormatPr defaultRowHeight="15" zeroHeight="true" outlineLevelRow="0" outlineLevelCol="0"/>
  <cols>
    <col collapsed="false" customWidth="true" hidden="false" outlineLevel="0" max="1" min="1" style="172" width="17.71"/>
    <col collapsed="false" customWidth="true" hidden="false" outlineLevel="0" max="2" min="2" style="172" width="17.58"/>
    <col collapsed="false" customWidth="true" hidden="false" outlineLevel="0" max="3" min="3" style="172" width="15.57"/>
    <col collapsed="false" customWidth="true" hidden="false" outlineLevel="0" max="4" min="4" style="172" width="9.14"/>
    <col collapsed="false" customWidth="true" hidden="false" outlineLevel="0" max="5" min="5" style="172" width="15.57"/>
    <col collapsed="false" customWidth="false" hidden="false" outlineLevel="0" max="6" min="6" style="172" width="11.57"/>
    <col collapsed="false" customWidth="true" hidden="false" outlineLevel="0" max="7" min="7" style="172" width="15.57"/>
    <col collapsed="false" customWidth="true" hidden="false" outlineLevel="0" max="8" min="8" style="172" width="11.99"/>
    <col collapsed="false" customWidth="true" hidden="false" outlineLevel="0" max="9" min="9" style="172" width="15.57"/>
    <col collapsed="false" customWidth="true" hidden="false" outlineLevel="0" max="10" min="10" style="172" width="12.29"/>
    <col collapsed="false" customWidth="true" hidden="false" outlineLevel="0" max="11" min="11" style="172" width="15.57"/>
    <col collapsed="false" customWidth="true" hidden="false" outlineLevel="0" max="12" min="12" style="89" width="1.29"/>
    <col collapsed="false" customWidth="true" hidden="true" outlineLevel="0" max="1025" min="13" style="172" width="9.14"/>
  </cols>
  <sheetData>
    <row r="1" customFormat="false" ht="28.5" hidden="false" customHeight="false" outlineLevel="0" collapsed="false">
      <c r="A1" s="1069" t="s">
        <v>525</v>
      </c>
      <c r="B1" s="114"/>
      <c r="C1" s="114"/>
      <c r="D1" s="114"/>
      <c r="E1" s="114"/>
      <c r="F1" s="114"/>
      <c r="G1" s="114"/>
      <c r="H1" s="114"/>
      <c r="I1" s="114"/>
      <c r="J1" s="114"/>
      <c r="K1" s="115" t="s">
        <v>584</v>
      </c>
    </row>
    <row r="2" customFormat="false" ht="15" hidden="false" customHeight="false" outlineLevel="0" collapsed="false">
      <c r="A2" s="1"/>
      <c r="B2" s="2"/>
      <c r="C2" s="2"/>
      <c r="D2" s="2"/>
      <c r="E2" s="1070"/>
      <c r="F2" s="2"/>
      <c r="G2" s="2"/>
      <c r="H2" s="2"/>
      <c r="I2" s="2"/>
      <c r="J2" s="2"/>
      <c r="K2" s="1071"/>
      <c r="M2" s="208"/>
    </row>
    <row r="3" customFormat="false" ht="18" hidden="false" customHeight="false" outlineLevel="0" collapsed="false">
      <c r="A3" s="17" t="s">
        <v>34</v>
      </c>
      <c r="B3" s="1072" t="str">
        <f aca="false">'Reference sheet'!C12</f>
        <v>TEST</v>
      </c>
      <c r="C3" s="1073"/>
      <c r="E3" s="1074" t="s">
        <v>46</v>
      </c>
      <c r="F3" s="25" t="n">
        <f aca="false">'Reference sheet'!C15</f>
        <v>1</v>
      </c>
      <c r="G3" s="1075" t="s">
        <v>49</v>
      </c>
      <c r="H3" s="1076" t="str">
        <f aca="false">'Reference sheet'!C17</f>
        <v>July</v>
      </c>
      <c r="I3" s="1077" t="n">
        <f aca="false">'Reference sheet'!D17</f>
        <v>2018</v>
      </c>
      <c r="J3" s="29" t="s">
        <v>527</v>
      </c>
      <c r="K3" s="1078" t="str">
        <f aca="false">'7.1 Dealer area'!K3</f>
        <v>EUR</v>
      </c>
    </row>
    <row r="4" customFormat="false" ht="15" hidden="false" customHeight="false" outlineLevel="0" collapsed="false">
      <c r="A4" s="1"/>
      <c r="B4" s="225"/>
      <c r="C4" s="2"/>
      <c r="D4" s="2"/>
      <c r="E4" s="2"/>
      <c r="F4" s="2"/>
      <c r="G4" s="226"/>
      <c r="H4" s="2"/>
      <c r="I4" s="2"/>
      <c r="J4" s="2"/>
      <c r="K4" s="1079"/>
    </row>
    <row r="5" customFormat="false" ht="15" hidden="false" customHeight="false" outlineLevel="0" collapsed="false">
      <c r="A5" s="1"/>
      <c r="B5" s="2"/>
      <c r="C5" s="1080" t="n">
        <f aca="false">'7.1 Dealer area'!C5</f>
        <v>2019</v>
      </c>
      <c r="D5" s="184"/>
      <c r="E5" s="1081" t="n">
        <f aca="false">+'7.1 Dealer area'!E5</f>
        <v>2020</v>
      </c>
      <c r="F5" s="1082"/>
      <c r="G5" s="1081" t="n">
        <f aca="false">+'7.1 Dealer area'!G5</f>
        <v>2021</v>
      </c>
      <c r="H5" s="1083"/>
      <c r="I5" s="1081" t="n">
        <f aca="false">+'7.1 Dealer area'!I5</f>
        <v>2022</v>
      </c>
      <c r="J5" s="1083"/>
      <c r="K5" s="1081" t="n">
        <f aca="false">+'7.1 Dealer area'!K5</f>
        <v>2023</v>
      </c>
    </row>
    <row r="6" customFormat="false" ht="18.75" hidden="false" customHeight="false" outlineLevel="0" collapsed="false">
      <c r="A6" s="1084" t="s">
        <v>585</v>
      </c>
      <c r="B6" s="1085"/>
      <c r="C6" s="193"/>
      <c r="D6" s="193"/>
      <c r="E6" s="193"/>
      <c r="F6" s="193"/>
      <c r="G6" s="193"/>
      <c r="H6" s="193"/>
      <c r="I6" s="193"/>
      <c r="J6" s="193"/>
      <c r="K6" s="194"/>
    </row>
    <row r="7" customFormat="false" ht="15" hidden="false" customHeight="false" outlineLevel="0" collapsed="false">
      <c r="A7" s="1" t="s">
        <v>586</v>
      </c>
      <c r="B7" s="2"/>
      <c r="C7" s="1086"/>
      <c r="D7" s="2"/>
      <c r="E7" s="2"/>
      <c r="F7" s="2"/>
      <c r="G7" s="2"/>
      <c r="H7" s="2"/>
      <c r="I7" s="2"/>
      <c r="J7" s="2"/>
      <c r="K7" s="3"/>
    </row>
    <row r="8" customFormat="false" ht="15" hidden="false" customHeight="false" outlineLevel="0" collapsed="false">
      <c r="A8" s="1"/>
      <c r="B8" s="2"/>
      <c r="C8" s="1087"/>
      <c r="D8" s="181"/>
      <c r="E8" s="410" t="s">
        <v>587</v>
      </c>
      <c r="F8" s="410"/>
      <c r="G8" s="410"/>
      <c r="H8" s="1088" t="n">
        <f aca="false">'5.1 DAF Vehicle Parc Input'!H56</f>
        <v>0</v>
      </c>
      <c r="K8" s="3"/>
    </row>
    <row r="9" customFormat="false" ht="15" hidden="false" customHeight="false" outlineLevel="0" collapsed="false">
      <c r="A9" s="1" t="s">
        <v>588</v>
      </c>
      <c r="B9" s="2"/>
      <c r="C9" s="1089" t="n">
        <v>10</v>
      </c>
      <c r="D9" s="181"/>
      <c r="E9" s="2"/>
      <c r="F9" s="2"/>
      <c r="G9" s="2"/>
      <c r="H9" s="2"/>
      <c r="I9" s="2"/>
      <c r="J9" s="2"/>
      <c r="K9" s="3"/>
    </row>
    <row r="10" customFormat="false" ht="15" hidden="false" customHeight="false" outlineLevel="0" collapsed="false">
      <c r="A10" s="1"/>
      <c r="B10" s="2"/>
      <c r="C10" s="1087"/>
      <c r="D10" s="2"/>
      <c r="E10" s="2"/>
      <c r="F10" s="2"/>
      <c r="G10" s="2"/>
      <c r="H10" s="2"/>
      <c r="I10" s="2"/>
      <c r="J10" s="2"/>
      <c r="K10" s="3"/>
    </row>
    <row r="11" customFormat="false" ht="15" hidden="false" customHeight="false" outlineLevel="0" collapsed="false">
      <c r="A11" s="1" t="s">
        <v>589</v>
      </c>
      <c r="B11" s="996"/>
      <c r="C11" s="1090" t="e">
        <f aca="false">'Calculation (short)'!BH14/(1-'7.3 Cost of sales'!C86)</f>
        <v>#VALUE!</v>
      </c>
      <c r="D11" s="2"/>
      <c r="E11" s="1091" t="e">
        <f aca="false">'Calculation (short)'!BH24/(1-'7.3 Cost of sales'!D86)*(1+C7)</f>
        <v>#VALUE!</v>
      </c>
      <c r="F11" s="181"/>
      <c r="G11" s="1091" t="e">
        <f aca="false">'Calculation (short)'!BH35/(1-'7.3 Cost of sales'!F86)*(1+C7)^2</f>
        <v>#VALUE!</v>
      </c>
      <c r="H11" s="181"/>
      <c r="I11" s="1091" t="e">
        <f aca="false">'Calculation (short)'!BH45/(1-'7.3 Cost of sales'!H86)*(1+C7)^3</f>
        <v>#VALUE!</v>
      </c>
      <c r="J11" s="181"/>
      <c r="K11" s="1090" t="e">
        <f aca="false">'Calculation (short)'!BH55/(1-'7.3 Cost of sales'!J86)*(1+C7)^4</f>
        <v>#VALUE!</v>
      </c>
    </row>
    <row r="12" customFormat="false" ht="15" hidden="false" customHeight="false" outlineLevel="0" collapsed="false">
      <c r="A12" s="49"/>
      <c r="B12" s="1092"/>
      <c r="C12" s="1093"/>
      <c r="D12" s="1094"/>
      <c r="E12" s="1095"/>
      <c r="F12" s="1094"/>
      <c r="G12" s="1095"/>
      <c r="H12" s="1094"/>
      <c r="I12" s="1095"/>
      <c r="J12" s="1094"/>
      <c r="K12" s="1093"/>
    </row>
    <row r="13" customFormat="false" ht="18.75" hidden="false" customHeight="false" outlineLevel="0" collapsed="false">
      <c r="A13" s="1096" t="s">
        <v>590</v>
      </c>
      <c r="B13" s="1097"/>
      <c r="C13" s="1098"/>
      <c r="D13" s="1099"/>
      <c r="E13" s="1100"/>
      <c r="F13" s="1097"/>
      <c r="G13" s="1100"/>
      <c r="H13" s="1097"/>
      <c r="I13" s="1100"/>
      <c r="J13" s="1097"/>
      <c r="K13" s="1101"/>
    </row>
    <row r="14" customFormat="false" ht="15" hidden="false" customHeight="false" outlineLevel="0" collapsed="false">
      <c r="A14" s="1" t="s">
        <v>529</v>
      </c>
      <c r="B14" s="1102" t="n">
        <f aca="false">'9.0 Scenario''s'!D12</f>
        <v>1</v>
      </c>
      <c r="C14" s="1103"/>
      <c r="D14" s="1104"/>
      <c r="E14" s="1105"/>
      <c r="F14" s="181"/>
      <c r="G14" s="1105"/>
      <c r="H14" s="181"/>
      <c r="I14" s="1105"/>
      <c r="J14" s="181"/>
      <c r="K14" s="1087"/>
    </row>
    <row r="15" customFormat="false" ht="15" hidden="false" customHeight="false" outlineLevel="0" collapsed="false">
      <c r="A15" s="1" t="s">
        <v>591</v>
      </c>
      <c r="B15" s="2"/>
      <c r="C15" s="1106" t="e">
        <f aca="false">IF(C11=0,0,C16/C11)</f>
        <v>#VALUE!</v>
      </c>
      <c r="D15" s="184"/>
      <c r="E15" s="952"/>
      <c r="F15" s="2"/>
      <c r="G15" s="952"/>
      <c r="H15" s="2"/>
      <c r="I15" s="952"/>
      <c r="J15" s="2"/>
      <c r="K15" s="1107"/>
    </row>
    <row r="16" customFormat="false" ht="15" hidden="false" customHeight="false" outlineLevel="0" collapsed="false">
      <c r="A16" s="1"/>
      <c r="B16" s="2"/>
      <c r="C16" s="951"/>
      <c r="D16" s="1104"/>
      <c r="E16" s="1108"/>
      <c r="F16" s="181"/>
      <c r="G16" s="1108"/>
      <c r="H16" s="181"/>
      <c r="I16" s="1108"/>
      <c r="J16" s="181"/>
      <c r="K16" s="1109"/>
    </row>
    <row r="17" customFormat="false" ht="15" hidden="false" customHeight="false" outlineLevel="0" collapsed="false">
      <c r="A17" s="1" t="s">
        <v>592</v>
      </c>
      <c r="B17" s="2"/>
      <c r="C17" s="1103" t="e">
        <f aca="false">IF(C16&lt;&gt;0,C16,C15*C11*$B$14)</f>
        <v>#VALUE!</v>
      </c>
      <c r="D17" s="184"/>
      <c r="E17" s="869" t="e">
        <f aca="false">IF(E16&lt;&gt;0,E16,E15*E11*$B$14)</f>
        <v>#VALUE!</v>
      </c>
      <c r="F17" s="869"/>
      <c r="G17" s="869" t="e">
        <f aca="false">IF(G16&lt;&gt;0,G16,G15*G11*$B$14)</f>
        <v>#VALUE!</v>
      </c>
      <c r="H17" s="869"/>
      <c r="I17" s="869" t="e">
        <f aca="false">IF(I16&lt;&gt;0,I16,I15*I11*$B$14)</f>
        <v>#VALUE!</v>
      </c>
      <c r="J17" s="869"/>
      <c r="K17" s="868" t="e">
        <f aca="false">IF(K16&lt;&gt;0,K16,K15*K11*$B$14)</f>
        <v>#VALUE!</v>
      </c>
    </row>
    <row r="18" customFormat="false" ht="15" hidden="false" customHeight="false" outlineLevel="0" collapsed="false">
      <c r="A18" s="1" t="s">
        <v>593</v>
      </c>
      <c r="B18" s="2"/>
      <c r="C18" s="951" t="n">
        <v>0</v>
      </c>
      <c r="D18" s="184"/>
      <c r="E18" s="997" t="n">
        <v>0</v>
      </c>
      <c r="F18" s="996"/>
      <c r="G18" s="997" t="n">
        <v>0</v>
      </c>
      <c r="H18" s="996"/>
      <c r="I18" s="997" t="n">
        <v>0</v>
      </c>
      <c r="J18" s="996"/>
      <c r="K18" s="951" t="n">
        <v>0</v>
      </c>
    </row>
    <row r="19" customFormat="false" ht="15" hidden="false" customHeight="false" outlineLevel="0" collapsed="false">
      <c r="A19" s="1" t="s">
        <v>182</v>
      </c>
      <c r="B19" s="2"/>
      <c r="C19" s="951" t="n">
        <v>0</v>
      </c>
      <c r="D19" s="184"/>
      <c r="E19" s="997" t="n">
        <v>0</v>
      </c>
      <c r="F19" s="996"/>
      <c r="G19" s="997" t="n">
        <v>0</v>
      </c>
      <c r="H19" s="996"/>
      <c r="I19" s="997" t="n">
        <v>0</v>
      </c>
      <c r="J19" s="996"/>
      <c r="K19" s="951" t="n">
        <v>0</v>
      </c>
    </row>
    <row r="20" customFormat="false" ht="15" hidden="false" customHeight="false" outlineLevel="0" collapsed="false">
      <c r="A20" s="1" t="s">
        <v>594</v>
      </c>
      <c r="B20" s="2"/>
      <c r="C20" s="1110" t="e">
        <f aca="false">'Calculation (short)'!CJ14*C15</f>
        <v>#VALUE!</v>
      </c>
      <c r="D20" s="1104"/>
      <c r="E20" s="1111" t="n">
        <f aca="false">'Calculation (short)'!CJ24*E15</f>
        <v>0</v>
      </c>
      <c r="F20" s="869"/>
      <c r="G20" s="1111" t="n">
        <f aca="false">'Calculation (short)'!CJ35*'7.2.2 Turnover Parts'!G15</f>
        <v>0</v>
      </c>
      <c r="H20" s="869"/>
      <c r="I20" s="1111" t="n">
        <f aca="false">'Calculation (short)'!CJ45*'7.2.2 Turnover Parts'!I15</f>
        <v>0</v>
      </c>
      <c r="J20" s="869"/>
      <c r="K20" s="1110" t="n">
        <f aca="false">'Calculation (short)'!CJ55*'7.2.2 Turnover Parts'!K15</f>
        <v>0</v>
      </c>
    </row>
    <row r="21" customFormat="false" ht="15" hidden="false" customHeight="false" outlineLevel="0" collapsed="false">
      <c r="A21" s="1112" t="s">
        <v>293</v>
      </c>
      <c r="B21" s="184"/>
      <c r="C21" s="1113" t="e">
        <f aca="false">SUM(C17:C20)</f>
        <v>#VALUE!</v>
      </c>
      <c r="D21" s="1114"/>
      <c r="E21" s="1016" t="e">
        <f aca="false">SUM(E17:E20)</f>
        <v>#VALUE!</v>
      </c>
      <c r="F21" s="1104"/>
      <c r="G21" s="1016" t="e">
        <f aca="false">SUM(G17:G20)</f>
        <v>#VALUE!</v>
      </c>
      <c r="H21" s="1104"/>
      <c r="I21" s="1016" t="e">
        <f aca="false">SUM(I17:I20)</f>
        <v>#VALUE!</v>
      </c>
      <c r="J21" s="1104"/>
      <c r="K21" s="1113" t="e">
        <f aca="false">SUM(K17:K20)</f>
        <v>#VALUE!</v>
      </c>
    </row>
    <row r="22" customFormat="false" ht="15" hidden="false" customHeight="false" outlineLevel="0" collapsed="false">
      <c r="A22" s="1"/>
      <c r="B22" s="2"/>
      <c r="C22" s="868"/>
      <c r="D22" s="1104"/>
      <c r="E22" s="1115"/>
      <c r="F22" s="181"/>
      <c r="G22" s="1115"/>
      <c r="H22" s="181"/>
      <c r="I22" s="1115"/>
      <c r="J22" s="181"/>
      <c r="K22" s="908"/>
    </row>
    <row r="23" s="210" customFormat="true" ht="18.75" hidden="false" customHeight="false" outlineLevel="0" collapsed="false">
      <c r="A23" s="1084" t="s">
        <v>595</v>
      </c>
      <c r="B23" s="193"/>
      <c r="C23" s="193"/>
      <c r="D23" s="193"/>
      <c r="E23" s="193"/>
      <c r="F23" s="193"/>
      <c r="G23" s="193"/>
      <c r="H23" s="193"/>
      <c r="I23" s="193"/>
      <c r="J23" s="193"/>
      <c r="K23" s="194"/>
      <c r="L23" s="89"/>
    </row>
    <row r="24" customFormat="false" ht="15" hidden="false" customHeight="false" outlineLevel="0" collapsed="false">
      <c r="A24" s="1"/>
      <c r="B24" s="2" t="s">
        <v>596</v>
      </c>
      <c r="C24" s="3"/>
      <c r="D24" s="2"/>
      <c r="E24" s="2"/>
      <c r="F24" s="2"/>
      <c r="G24" s="2"/>
      <c r="H24" s="2"/>
      <c r="I24" s="2"/>
      <c r="J24" s="2"/>
      <c r="K24" s="3"/>
    </row>
    <row r="25" customFormat="false" ht="15" hidden="false" customHeight="false" outlineLevel="0" collapsed="false">
      <c r="A25" s="1"/>
      <c r="B25" s="2" t="s">
        <v>597</v>
      </c>
      <c r="C25" s="3"/>
      <c r="D25" s="2"/>
      <c r="E25" s="2"/>
      <c r="F25" s="2"/>
      <c r="G25" s="2"/>
      <c r="H25" s="2"/>
      <c r="I25" s="2"/>
      <c r="J25" s="2"/>
      <c r="K25" s="3"/>
    </row>
    <row r="26" customFormat="false" ht="15" hidden="false" customHeight="false" outlineLevel="0" collapsed="false">
      <c r="A26" s="1" t="s">
        <v>598</v>
      </c>
      <c r="B26" s="997" t="n">
        <v>1</v>
      </c>
      <c r="C26" s="1103" t="n">
        <f aca="false">$B26*('7.1 Dealer area'!C47+'7.1 Dealer area'!C41)</f>
        <v>10</v>
      </c>
      <c r="D26" s="1116" t="str">
        <f aca="false">IF(C26&gt;C16,"ERROR"," ")</f>
        <v>ERROR</v>
      </c>
      <c r="E26" s="996" t="n">
        <f aca="false">$B26*('7.1 Dealer area'!E47+'7.1 Dealer area'!E41)</f>
        <v>0</v>
      </c>
      <c r="F26" s="996"/>
      <c r="G26" s="996" t="n">
        <f aca="false">$B26*('7.1 Dealer area'!G47+'7.1 Dealer area'!G41)</f>
        <v>0</v>
      </c>
      <c r="H26" s="996"/>
      <c r="I26" s="996" t="n">
        <f aca="false">$B26*('7.1 Dealer area'!I47+'7.1 Dealer area'!I41)</f>
        <v>0</v>
      </c>
      <c r="J26" s="996"/>
      <c r="K26" s="1103" t="n">
        <f aca="false">$B26*('7.1 Dealer area'!K47+'7.1 Dealer area'!K41)</f>
        <v>0</v>
      </c>
    </row>
    <row r="27" customFormat="false" ht="15" hidden="false" customHeight="false" outlineLevel="0" collapsed="false">
      <c r="A27" s="1" t="s">
        <v>599</v>
      </c>
      <c r="B27" s="997" t="n">
        <v>0</v>
      </c>
      <c r="C27" s="1117" t="n">
        <f aca="false">$B27*'5.1 DAF Vehicle Parc Input'!K43</f>
        <v>0</v>
      </c>
      <c r="D27" s="1116" t="str">
        <f aca="false">IF(C27&gt;C18,"ERROR"," ")</f>
        <v> </v>
      </c>
      <c r="E27" s="1092" t="n">
        <f aca="false">$B27*'5.1 DAF Vehicle Parc Input'!M43</f>
        <v>0</v>
      </c>
      <c r="F27" s="996"/>
      <c r="G27" s="1092" t="n">
        <f aca="false">$B27*'5.1 DAF Vehicle Parc Input'!O43</f>
        <v>0</v>
      </c>
      <c r="H27" s="996"/>
      <c r="I27" s="1092" t="n">
        <f aca="false">$B27*'5.1 DAF Vehicle Parc Input'!Q43</f>
        <v>0</v>
      </c>
      <c r="J27" s="996"/>
      <c r="K27" s="1117" t="n">
        <f aca="false">$B27*'5.1 DAF Vehicle Parc Input'!S43</f>
        <v>0</v>
      </c>
    </row>
    <row r="28" customFormat="false" ht="15" hidden="false" customHeight="false" outlineLevel="0" collapsed="false">
      <c r="A28" s="1112" t="s">
        <v>293</v>
      </c>
      <c r="B28" s="2"/>
      <c r="C28" s="999" t="n">
        <f aca="false">+C26+C27</f>
        <v>10</v>
      </c>
      <c r="D28" s="1000"/>
      <c r="E28" s="1000" t="n">
        <f aca="false">+E26+E27</f>
        <v>0</v>
      </c>
      <c r="F28" s="1000"/>
      <c r="G28" s="1000" t="n">
        <f aca="false">+G26+G27</f>
        <v>0</v>
      </c>
      <c r="H28" s="1000"/>
      <c r="I28" s="1000" t="n">
        <f aca="false">+I26+I27</f>
        <v>0</v>
      </c>
      <c r="J28" s="1000"/>
      <c r="K28" s="999" t="n">
        <f aca="false">+K26+K27</f>
        <v>0</v>
      </c>
    </row>
    <row r="29" customFormat="false" ht="15" hidden="false" customHeight="false" outlineLevel="0" collapsed="false">
      <c r="A29" s="49"/>
      <c r="B29" s="50"/>
      <c r="C29" s="1117"/>
      <c r="D29" s="1092"/>
      <c r="E29" s="1092"/>
      <c r="F29" s="1092"/>
      <c r="G29" s="1092"/>
      <c r="H29" s="1092"/>
      <c r="I29" s="1092"/>
      <c r="J29" s="1092"/>
      <c r="K29" s="1117"/>
    </row>
    <row r="30" customFormat="false" ht="18.75" hidden="false" customHeight="false" outlineLevel="0" collapsed="false">
      <c r="A30" s="1084" t="s">
        <v>600</v>
      </c>
      <c r="B30" s="193"/>
      <c r="C30" s="1118"/>
      <c r="D30" s="211"/>
      <c r="E30" s="1119"/>
      <c r="F30" s="193"/>
      <c r="G30" s="1119"/>
      <c r="H30" s="193"/>
      <c r="I30" s="1119"/>
      <c r="J30" s="193"/>
      <c r="K30" s="1120"/>
    </row>
    <row r="31" customFormat="false" ht="15" hidden="false" customHeight="false" outlineLevel="0" collapsed="false">
      <c r="A31" s="1"/>
      <c r="B31" s="2"/>
      <c r="C31" s="868"/>
      <c r="D31" s="184"/>
      <c r="E31" s="1121"/>
      <c r="F31" s="2"/>
      <c r="G31" s="1121"/>
      <c r="H31" s="2"/>
      <c r="I31" s="1121"/>
      <c r="J31" s="2"/>
      <c r="K31" s="1122"/>
    </row>
    <row r="32" customFormat="false" ht="15" hidden="false" customHeight="false" outlineLevel="0" collapsed="false">
      <c r="A32" s="1123" t="s">
        <v>601</v>
      </c>
      <c r="B32" s="2"/>
      <c r="C32" s="868"/>
      <c r="D32" s="184"/>
      <c r="E32" s="1121"/>
      <c r="F32" s="2"/>
      <c r="G32" s="1121"/>
      <c r="H32" s="2"/>
      <c r="I32" s="1121"/>
      <c r="J32" s="2"/>
      <c r="K32" s="1122"/>
    </row>
    <row r="33" customFormat="false" ht="15" hidden="false" customHeight="false" outlineLevel="0" collapsed="false">
      <c r="A33" s="304" t="s">
        <v>602</v>
      </c>
      <c r="B33" s="2"/>
      <c r="C33" s="1124"/>
      <c r="D33" s="1102"/>
      <c r="E33" s="1125" t="n">
        <f aca="false">C33</f>
        <v>0</v>
      </c>
      <c r="F33" s="1126"/>
      <c r="G33" s="1125" t="n">
        <f aca="false">E33</f>
        <v>0</v>
      </c>
      <c r="H33" s="1127"/>
      <c r="I33" s="1125" t="n">
        <f aca="false">G33</f>
        <v>0</v>
      </c>
      <c r="J33" s="1127"/>
      <c r="K33" s="1128" t="n">
        <f aca="false">I33</f>
        <v>0</v>
      </c>
    </row>
    <row r="34" customFormat="false" ht="15" hidden="false" customHeight="false" outlineLevel="0" collapsed="false">
      <c r="A34" s="304" t="s">
        <v>603</v>
      </c>
      <c r="B34" s="2"/>
      <c r="C34" s="1124" t="n">
        <v>0</v>
      </c>
      <c r="D34" s="1129"/>
      <c r="E34" s="1125" t="n">
        <v>0</v>
      </c>
      <c r="F34" s="1126"/>
      <c r="G34" s="1125" t="n">
        <v>0</v>
      </c>
      <c r="H34" s="1127"/>
      <c r="I34" s="1125" t="n">
        <v>0</v>
      </c>
      <c r="J34" s="1127"/>
      <c r="K34" s="1128" t="n">
        <v>0</v>
      </c>
    </row>
    <row r="35" customFormat="false" ht="15" hidden="false" customHeight="false" outlineLevel="0" collapsed="false">
      <c r="A35" s="1123" t="s">
        <v>604</v>
      </c>
      <c r="B35" s="2"/>
      <c r="C35" s="868"/>
      <c r="D35" s="184"/>
      <c r="E35" s="1121"/>
      <c r="F35" s="2"/>
      <c r="G35" s="1121"/>
      <c r="H35" s="2"/>
      <c r="I35" s="1121"/>
      <c r="J35" s="2"/>
      <c r="K35" s="1122"/>
    </row>
    <row r="36" customFormat="false" ht="15" hidden="false" customHeight="false" outlineLevel="0" collapsed="false">
      <c r="A36" s="304" t="s">
        <v>605</v>
      </c>
      <c r="B36" s="2"/>
      <c r="C36" s="868" t="e">
        <f aca="false">C33*C17</f>
        <v>#VALUE!</v>
      </c>
      <c r="D36" s="184"/>
      <c r="E36" s="869" t="e">
        <f aca="false">E33*E17</f>
        <v>#VALUE!</v>
      </c>
      <c r="F36" s="2"/>
      <c r="G36" s="869" t="e">
        <f aca="false">G33*G17</f>
        <v>#VALUE!</v>
      </c>
      <c r="H36" s="2"/>
      <c r="I36" s="869" t="e">
        <f aca="false">I33*I17</f>
        <v>#VALUE!</v>
      </c>
      <c r="J36" s="2"/>
      <c r="K36" s="868" t="e">
        <f aca="false">K33*K17</f>
        <v>#VALUE!</v>
      </c>
    </row>
    <row r="37" customFormat="false" ht="15" hidden="false" customHeight="false" outlineLevel="0" collapsed="false">
      <c r="A37" s="304" t="s">
        <v>606</v>
      </c>
      <c r="B37" s="2"/>
      <c r="C37" s="873" t="n">
        <f aca="false">C34*C18</f>
        <v>0</v>
      </c>
      <c r="D37" s="184"/>
      <c r="E37" s="874" t="n">
        <f aca="false">E34*E18</f>
        <v>0</v>
      </c>
      <c r="F37" s="2"/>
      <c r="G37" s="874" t="n">
        <f aca="false">G34*G18</f>
        <v>0</v>
      </c>
      <c r="H37" s="2"/>
      <c r="I37" s="874" t="n">
        <f aca="false">I34*I18</f>
        <v>0</v>
      </c>
      <c r="J37" s="2"/>
      <c r="K37" s="873" t="n">
        <f aca="false">K34*K18</f>
        <v>0</v>
      </c>
    </row>
    <row r="38" customFormat="false" ht="15" hidden="false" customHeight="false" outlineLevel="0" collapsed="false">
      <c r="A38" s="304" t="s">
        <v>607</v>
      </c>
      <c r="B38" s="2"/>
      <c r="C38" s="868" t="e">
        <f aca="false">SUM(C36:C37)</f>
        <v>#VALUE!</v>
      </c>
      <c r="D38" s="184"/>
      <c r="E38" s="869" t="e">
        <f aca="false">SUM(E36:E37)</f>
        <v>#VALUE!</v>
      </c>
      <c r="F38" s="2"/>
      <c r="G38" s="869" t="e">
        <f aca="false">SUM(G36:G37)</f>
        <v>#VALUE!</v>
      </c>
      <c r="H38" s="2"/>
      <c r="I38" s="869" t="e">
        <f aca="false">SUM(I36:I37)</f>
        <v>#VALUE!</v>
      </c>
      <c r="J38" s="2"/>
      <c r="K38" s="1130" t="e">
        <f aca="false">SUM(K36:K37)</f>
        <v>#VALUE!</v>
      </c>
    </row>
    <row r="39" customFormat="false" ht="15" hidden="false" customHeight="false" outlineLevel="0" collapsed="false">
      <c r="A39" s="1"/>
      <c r="B39" s="2"/>
      <c r="C39" s="868"/>
      <c r="D39" s="184"/>
      <c r="E39" s="1121"/>
      <c r="F39" s="2"/>
      <c r="G39" s="1121"/>
      <c r="H39" s="2"/>
      <c r="I39" s="1121"/>
      <c r="J39" s="2"/>
      <c r="K39" s="1122"/>
    </row>
    <row r="40" customFormat="false" ht="15" hidden="false" customHeight="false" outlineLevel="0" collapsed="false">
      <c r="A40" s="1" t="s">
        <v>608</v>
      </c>
      <c r="B40" s="2"/>
      <c r="C40" s="1131"/>
      <c r="D40" s="184"/>
      <c r="E40" s="906"/>
      <c r="F40" s="2"/>
      <c r="G40" s="906"/>
      <c r="H40" s="2"/>
      <c r="I40" s="906"/>
      <c r="J40" s="2"/>
      <c r="K40" s="1131"/>
    </row>
    <row r="41" customFormat="false" ht="15" hidden="false" customHeight="false" outlineLevel="0" collapsed="false">
      <c r="A41" s="1" t="s">
        <v>609</v>
      </c>
      <c r="B41" s="2"/>
      <c r="C41" s="868" t="n">
        <f aca="false">(1-C33)*C40*C16*$B$14</f>
        <v>0</v>
      </c>
      <c r="D41" s="184"/>
      <c r="E41" s="996" t="e">
        <f aca="false">(1-E33)*E40*E17*$B$14</f>
        <v>#VALUE!</v>
      </c>
      <c r="F41" s="2"/>
      <c r="G41" s="996" t="e">
        <f aca="false">(1-G33)*G40*G17*$B$14</f>
        <v>#VALUE!</v>
      </c>
      <c r="H41" s="2"/>
      <c r="I41" s="996" t="e">
        <f aca="false">(1-I33)*I40*I17*$B$14</f>
        <v>#VALUE!</v>
      </c>
      <c r="J41" s="2"/>
      <c r="K41" s="868" t="e">
        <f aca="false">(1-K33)*K40*K17*$B$14</f>
        <v>#VALUE!</v>
      </c>
    </row>
    <row r="42" customFormat="false" ht="15" hidden="false" customHeight="false" outlineLevel="0" collapsed="false">
      <c r="A42" s="1" t="s">
        <v>610</v>
      </c>
      <c r="B42" s="2"/>
      <c r="C42" s="868" t="e">
        <f aca="false">(1-C33)*(1-C40)*C17</f>
        <v>#VALUE!</v>
      </c>
      <c r="D42" s="184"/>
      <c r="E42" s="869" t="e">
        <f aca="false">(1-E33)*(1-E40)*E17</f>
        <v>#VALUE!</v>
      </c>
      <c r="F42" s="2"/>
      <c r="G42" s="869" t="e">
        <f aca="false">(1-G33)*(1-G40)*G17</f>
        <v>#VALUE!</v>
      </c>
      <c r="H42" s="2"/>
      <c r="I42" s="869" t="e">
        <f aca="false">(1-I33)*(1-I40)*I17</f>
        <v>#VALUE!</v>
      </c>
      <c r="J42" s="2"/>
      <c r="K42" s="868" t="e">
        <f aca="false">(1-K33)*(1-K40)*K17</f>
        <v>#VALUE!</v>
      </c>
    </row>
    <row r="43" customFormat="false" ht="15" hidden="false" customHeight="false" outlineLevel="0" collapsed="false">
      <c r="A43" s="1" t="s">
        <v>611</v>
      </c>
      <c r="B43" s="2"/>
      <c r="C43" s="873" t="n">
        <f aca="false">(1-C34)*C18</f>
        <v>0</v>
      </c>
      <c r="D43" s="184"/>
      <c r="E43" s="874" t="n">
        <f aca="false">(1-E34)*E18</f>
        <v>0</v>
      </c>
      <c r="F43" s="2"/>
      <c r="G43" s="874" t="n">
        <f aca="false">(1-G34)*G18</f>
        <v>0</v>
      </c>
      <c r="H43" s="2"/>
      <c r="I43" s="874" t="n">
        <f aca="false">(1-I34)*I18</f>
        <v>0</v>
      </c>
      <c r="J43" s="2"/>
      <c r="K43" s="873" t="n">
        <f aca="false">(1-K34)*K18</f>
        <v>0</v>
      </c>
    </row>
    <row r="44" customFormat="false" ht="15" hidden="false" customHeight="false" outlineLevel="0" collapsed="false">
      <c r="A44" s="1" t="s">
        <v>612</v>
      </c>
      <c r="B44" s="2"/>
      <c r="C44" s="868" t="e">
        <f aca="false">SUM(C41:C43)</f>
        <v>#VALUE!</v>
      </c>
      <c r="D44" s="184"/>
      <c r="E44" s="869" t="e">
        <f aca="false">SUM(E41:E43)</f>
        <v>#VALUE!</v>
      </c>
      <c r="F44" s="2"/>
      <c r="G44" s="869" t="e">
        <f aca="false">SUM(G41:G43)</f>
        <v>#VALUE!</v>
      </c>
      <c r="H44" s="2"/>
      <c r="I44" s="869" t="e">
        <f aca="false">SUM(I41:I43)</f>
        <v>#VALUE!</v>
      </c>
      <c r="J44" s="2"/>
      <c r="K44" s="868" t="e">
        <f aca="false">SUM(K41:K43)</f>
        <v>#VALUE!</v>
      </c>
    </row>
    <row r="45" customFormat="false" ht="15" hidden="false" customHeight="false" outlineLevel="0" collapsed="false">
      <c r="A45" s="49"/>
      <c r="B45" s="50"/>
      <c r="C45" s="1117"/>
      <c r="D45" s="1003"/>
      <c r="E45" s="1132"/>
      <c r="F45" s="50"/>
      <c r="G45" s="1132"/>
      <c r="H45" s="50"/>
      <c r="I45" s="1132"/>
      <c r="J45" s="50"/>
      <c r="K45" s="1133"/>
    </row>
    <row r="46" customFormat="false" ht="15" hidden="false" customHeight="false" outlineLevel="0" collapsed="false">
      <c r="A46" s="2"/>
      <c r="B46" s="2"/>
      <c r="C46" s="996"/>
      <c r="D46" s="184"/>
      <c r="E46" s="1121"/>
      <c r="F46" s="2"/>
      <c r="G46" s="1121"/>
      <c r="H46" s="2"/>
      <c r="I46" s="1121"/>
      <c r="J46" s="2"/>
      <c r="K46" s="1121"/>
    </row>
    <row r="47" customFormat="false" ht="18.75" hidden="false" customHeight="false" outlineLevel="0" collapsed="false">
      <c r="A47" s="1084" t="s">
        <v>613</v>
      </c>
      <c r="B47" s="193"/>
      <c r="C47" s="193"/>
      <c r="D47" s="193"/>
      <c r="E47" s="193"/>
      <c r="F47" s="193"/>
      <c r="G47" s="193"/>
      <c r="H47" s="193"/>
      <c r="I47" s="193"/>
      <c r="J47" s="193"/>
      <c r="K47" s="194"/>
    </row>
    <row r="48" customFormat="false" ht="15" hidden="false" customHeight="false" outlineLevel="0" collapsed="false">
      <c r="A48" s="1"/>
      <c r="B48" s="2"/>
      <c r="C48" s="3"/>
      <c r="D48" s="2"/>
      <c r="E48" s="2"/>
      <c r="F48" s="2"/>
      <c r="G48" s="2"/>
      <c r="H48" s="2"/>
      <c r="I48" s="2"/>
      <c r="J48" s="2"/>
      <c r="K48" s="3"/>
    </row>
    <row r="49" customFormat="false" ht="15" hidden="false" customHeight="false" outlineLevel="0" collapsed="false">
      <c r="A49" s="1" t="s">
        <v>614</v>
      </c>
      <c r="B49" s="2"/>
      <c r="C49" s="951"/>
      <c r="D49" s="996"/>
      <c r="E49" s="997"/>
      <c r="F49" s="996"/>
      <c r="G49" s="997"/>
      <c r="H49" s="996"/>
      <c r="I49" s="997"/>
      <c r="J49" s="996"/>
      <c r="K49" s="951"/>
    </row>
    <row r="50" customFormat="false" ht="15" hidden="false" customHeight="false" outlineLevel="0" collapsed="false">
      <c r="A50" s="1"/>
      <c r="B50" s="2"/>
      <c r="C50" s="3"/>
      <c r="D50" s="2"/>
      <c r="E50" s="2"/>
      <c r="F50" s="2"/>
      <c r="G50" s="2"/>
      <c r="H50" s="2"/>
      <c r="I50" s="2"/>
      <c r="J50" s="2"/>
      <c r="K50" s="3"/>
    </row>
    <row r="51" customFormat="false" ht="15" hidden="false" customHeight="false" outlineLevel="0" collapsed="false">
      <c r="A51" s="1" t="s">
        <v>615</v>
      </c>
      <c r="B51" s="2"/>
      <c r="C51" s="1134" t="n">
        <f aca="false">IF(C49=0,0,C21/C49)</f>
        <v>0</v>
      </c>
      <c r="D51" s="1057"/>
      <c r="E51" s="1057" t="n">
        <f aca="false">IF(E49=0,0,E21/E49)</f>
        <v>0</v>
      </c>
      <c r="F51" s="1057"/>
      <c r="G51" s="1057" t="n">
        <f aca="false">IF(G49=0,0,G21/G49)</f>
        <v>0</v>
      </c>
      <c r="H51" s="1057"/>
      <c r="I51" s="1057" t="n">
        <f aca="false">IF(I49=0,0,I21/I49)</f>
        <v>0</v>
      </c>
      <c r="J51" s="1057"/>
      <c r="K51" s="1134" t="n">
        <f aca="false">IF(K49=0,0,K21/K49)</f>
        <v>0</v>
      </c>
    </row>
    <row r="52" customFormat="false" ht="15" hidden="false" customHeight="false" outlineLevel="0" collapsed="false">
      <c r="A52" s="1"/>
      <c r="B52" s="2"/>
      <c r="C52" s="3"/>
      <c r="D52" s="2"/>
      <c r="E52" s="2"/>
      <c r="F52" s="2"/>
      <c r="G52" s="2"/>
      <c r="H52" s="2"/>
      <c r="I52" s="2"/>
      <c r="J52" s="2"/>
      <c r="K52" s="3"/>
    </row>
    <row r="53" customFormat="false" ht="15" hidden="false" customHeight="false" outlineLevel="0" collapsed="false">
      <c r="A53" s="1" t="s">
        <v>616</v>
      </c>
      <c r="B53" s="2"/>
      <c r="C53" s="1054"/>
      <c r="D53" s="1051"/>
      <c r="E53" s="1054"/>
      <c r="F53" s="1051"/>
      <c r="G53" s="1054"/>
      <c r="H53" s="1051"/>
      <c r="I53" s="1054"/>
      <c r="J53" s="1051"/>
      <c r="K53" s="1054"/>
    </row>
    <row r="54" customFormat="false" ht="15" hidden="false" customHeight="false" outlineLevel="0" collapsed="false">
      <c r="A54" s="1" t="s">
        <v>617</v>
      </c>
      <c r="B54" s="2"/>
      <c r="C54" s="1054"/>
      <c r="D54" s="1051"/>
      <c r="E54" s="1054"/>
      <c r="F54" s="1051"/>
      <c r="G54" s="1054"/>
      <c r="H54" s="1051"/>
      <c r="I54" s="1054"/>
      <c r="J54" s="1051"/>
      <c r="K54" s="1054"/>
    </row>
    <row r="55" customFormat="false" ht="15" hidden="false" customHeight="false" outlineLevel="0" collapsed="false">
      <c r="A55" s="1" t="s">
        <v>618</v>
      </c>
      <c r="B55" s="2"/>
      <c r="C55" s="1054"/>
      <c r="D55" s="1051"/>
      <c r="E55" s="1054"/>
      <c r="F55" s="1051"/>
      <c r="G55" s="1054"/>
      <c r="H55" s="1051"/>
      <c r="I55" s="1054"/>
      <c r="J55" s="1051"/>
      <c r="K55" s="1054"/>
    </row>
    <row r="56" customFormat="false" ht="15" hidden="false" customHeight="false" outlineLevel="0" collapsed="false">
      <c r="A56" s="1" t="s">
        <v>619</v>
      </c>
      <c r="B56" s="2"/>
      <c r="C56" s="1054"/>
      <c r="D56" s="1051"/>
      <c r="E56" s="1054"/>
      <c r="F56" s="1051"/>
      <c r="G56" s="1054"/>
      <c r="H56" s="1051"/>
      <c r="I56" s="1054"/>
      <c r="J56" s="1051"/>
      <c r="K56" s="1054"/>
    </row>
    <row r="57" customFormat="false" ht="15" hidden="false" customHeight="false" outlineLevel="0" collapsed="false">
      <c r="A57" s="1" t="s">
        <v>620</v>
      </c>
      <c r="B57" s="2"/>
      <c r="C57" s="1135" t="n">
        <f aca="false">SUM(C53:C56)</f>
        <v>0</v>
      </c>
      <c r="D57" s="1051"/>
      <c r="E57" s="1135" t="n">
        <f aca="false">SUM(E53:E56)</f>
        <v>0</v>
      </c>
      <c r="F57" s="1051"/>
      <c r="G57" s="1135" t="n">
        <f aca="false">SUM(G53:G56)</f>
        <v>0</v>
      </c>
      <c r="H57" s="1051"/>
      <c r="I57" s="1135" t="n">
        <f aca="false">SUM(I53:I56)</f>
        <v>0</v>
      </c>
      <c r="J57" s="1051"/>
      <c r="K57" s="1135" t="n">
        <f aca="false">SUM(K53:K56)</f>
        <v>0</v>
      </c>
    </row>
    <row r="58" customFormat="false" ht="15" hidden="false" customHeight="false" outlineLevel="0" collapsed="false">
      <c r="A58" s="49"/>
      <c r="B58" s="50"/>
      <c r="C58" s="51"/>
      <c r="D58" s="50"/>
      <c r="E58" s="50"/>
      <c r="F58" s="50"/>
      <c r="G58" s="50"/>
      <c r="H58" s="50"/>
      <c r="I58" s="50"/>
      <c r="J58" s="50"/>
      <c r="K58" s="51"/>
    </row>
    <row r="59" customFormat="false" ht="15" hidden="false" customHeight="false" outlineLevel="0" collapsed="false">
      <c r="A59" s="2"/>
      <c r="B59" s="2"/>
      <c r="C59" s="2"/>
      <c r="D59" s="2"/>
      <c r="E59" s="2"/>
      <c r="F59" s="2"/>
      <c r="G59" s="2"/>
      <c r="H59" s="2"/>
      <c r="I59" s="2"/>
      <c r="J59" s="2"/>
      <c r="K59" s="2"/>
    </row>
    <row r="60" s="210" customFormat="true" ht="18.75" hidden="false" customHeight="false" outlineLevel="0" collapsed="false">
      <c r="A60" s="1084" t="s">
        <v>621</v>
      </c>
      <c r="B60" s="193"/>
      <c r="C60" s="193"/>
      <c r="D60" s="193"/>
      <c r="E60" s="193"/>
      <c r="F60" s="193"/>
      <c r="G60" s="193"/>
      <c r="H60" s="193"/>
      <c r="I60" s="193"/>
      <c r="J60" s="193"/>
      <c r="K60" s="194"/>
      <c r="L60" s="89"/>
    </row>
    <row r="61" customFormat="false" ht="18.75" hidden="false" customHeight="false" outlineLevel="0" collapsed="false">
      <c r="A61" s="1136" t="s">
        <v>622</v>
      </c>
      <c r="B61" s="234"/>
      <c r="C61" s="234"/>
      <c r="D61" s="234"/>
      <c r="E61" s="234"/>
      <c r="F61" s="234"/>
      <c r="G61" s="234"/>
      <c r="H61" s="234"/>
      <c r="I61" s="234"/>
      <c r="J61" s="234"/>
      <c r="K61" s="235"/>
    </row>
    <row r="62" customFormat="false" ht="15" hidden="false" customHeight="false" outlineLevel="0" collapsed="false">
      <c r="A62" s="12"/>
      <c r="B62" s="13"/>
      <c r="C62" s="229"/>
      <c r="D62" s="13"/>
      <c r="E62" s="13"/>
      <c r="F62" s="13"/>
      <c r="G62" s="13"/>
      <c r="H62" s="13"/>
      <c r="I62" s="13"/>
      <c r="J62" s="13"/>
      <c r="K62" s="229"/>
    </row>
    <row r="63" customFormat="false" ht="15" hidden="false" customHeight="false" outlineLevel="0" collapsed="false">
      <c r="A63" s="1" t="s">
        <v>623</v>
      </c>
      <c r="B63" s="2"/>
      <c r="C63" s="1054"/>
      <c r="D63" s="1051"/>
      <c r="E63" s="1055"/>
      <c r="F63" s="1051"/>
      <c r="G63" s="1055"/>
      <c r="H63" s="1051"/>
      <c r="I63" s="1055"/>
      <c r="J63" s="1051"/>
      <c r="K63" s="1054"/>
    </row>
    <row r="64" customFormat="false" ht="15" hidden="false" customHeight="false" outlineLevel="0" collapsed="false">
      <c r="A64" s="1" t="s">
        <v>624</v>
      </c>
      <c r="B64" s="2"/>
      <c r="C64" s="1137" t="n">
        <f aca="false">IF(C63=0,0,12/C63)</f>
        <v>0</v>
      </c>
      <c r="D64" s="1051"/>
      <c r="E64" s="1051" t="n">
        <f aca="false">IF(E63=0,0,12/E63)</f>
        <v>0</v>
      </c>
      <c r="F64" s="1051"/>
      <c r="G64" s="1051" t="n">
        <f aca="false">IF(G63=0,0,12/G63)</f>
        <v>0</v>
      </c>
      <c r="H64" s="1051"/>
      <c r="I64" s="1051" t="n">
        <f aca="false">IF(I63=0,0,12/I63)</f>
        <v>0</v>
      </c>
      <c r="J64" s="1051"/>
      <c r="K64" s="1137" t="n">
        <f aca="false">IF(K63=0,0,12/K63)</f>
        <v>0</v>
      </c>
    </row>
    <row r="65" customFormat="false" ht="15" hidden="false" customHeight="false" outlineLevel="0" collapsed="false">
      <c r="A65" s="1" t="s">
        <v>625</v>
      </c>
      <c r="B65" s="2"/>
      <c r="C65" s="1103" t="n">
        <f aca="false">IF(C63=0,0,C21/C63)</f>
        <v>0</v>
      </c>
      <c r="D65" s="2"/>
      <c r="E65" s="996" t="n">
        <f aca="false">IF(E63=0,0,E21/E63)</f>
        <v>0</v>
      </c>
      <c r="F65" s="996"/>
      <c r="G65" s="996" t="n">
        <f aca="false">IF(G63=0,0,G21/G63)</f>
        <v>0</v>
      </c>
      <c r="H65" s="996"/>
      <c r="I65" s="996" t="n">
        <f aca="false">IF(I63=0,0,I21/I63)</f>
        <v>0</v>
      </c>
      <c r="J65" s="996"/>
      <c r="K65" s="1103" t="n">
        <f aca="false">IF(K63=0,0,K21/K63)</f>
        <v>0</v>
      </c>
    </row>
    <row r="66" customFormat="false" ht="15" hidden="false" customHeight="false" outlineLevel="0" collapsed="false">
      <c r="A66" s="49"/>
      <c r="B66" s="50"/>
      <c r="C66" s="51"/>
      <c r="D66" s="50"/>
      <c r="E66" s="50"/>
      <c r="F66" s="50"/>
      <c r="G66" s="50"/>
      <c r="H66" s="50"/>
      <c r="I66" s="50"/>
      <c r="J66" s="50"/>
      <c r="K66" s="51"/>
    </row>
    <row r="67" customFormat="false" ht="18.75" hidden="false" customHeight="false" outlineLevel="0" collapsed="false">
      <c r="A67" s="1138" t="s">
        <v>626</v>
      </c>
      <c r="B67" s="759"/>
      <c r="C67" s="759"/>
      <c r="D67" s="759"/>
      <c r="E67" s="759"/>
      <c r="F67" s="759"/>
      <c r="G67" s="759"/>
      <c r="H67" s="759"/>
      <c r="I67" s="759"/>
      <c r="J67" s="759"/>
      <c r="K67" s="760"/>
    </row>
    <row r="68" customFormat="false" ht="15" hidden="false" customHeight="false" outlineLevel="0" collapsed="false">
      <c r="A68" s="1"/>
      <c r="B68" s="295" t="s">
        <v>627</v>
      </c>
      <c r="C68" s="3"/>
      <c r="D68" s="2"/>
      <c r="E68" s="2"/>
      <c r="F68" s="2"/>
      <c r="G68" s="2"/>
      <c r="H68" s="2"/>
      <c r="I68" s="2"/>
      <c r="J68" s="2"/>
      <c r="K68" s="3"/>
    </row>
    <row r="69" customFormat="false" ht="15" hidden="false" customHeight="false" outlineLevel="0" collapsed="false">
      <c r="A69" s="1"/>
      <c r="B69" s="295" t="s">
        <v>628</v>
      </c>
      <c r="C69" s="1071"/>
      <c r="D69" s="2"/>
      <c r="E69" s="293"/>
      <c r="F69" s="1139"/>
      <c r="G69" s="293"/>
      <c r="H69" s="293"/>
      <c r="I69" s="293"/>
      <c r="J69" s="293"/>
      <c r="K69" s="183"/>
    </row>
    <row r="70" customFormat="false" ht="15" hidden="false" customHeight="false" outlineLevel="0" collapsed="false">
      <c r="A70" s="1"/>
      <c r="B70" s="295"/>
      <c r="C70" s="1071"/>
      <c r="D70" s="2"/>
      <c r="E70" s="293"/>
      <c r="F70" s="1139"/>
      <c r="G70" s="293"/>
      <c r="H70" s="293"/>
      <c r="I70" s="293"/>
      <c r="J70" s="293"/>
      <c r="K70" s="183"/>
    </row>
    <row r="71" customFormat="false" ht="15" hidden="false" customHeight="false" outlineLevel="0" collapsed="false">
      <c r="A71" s="1" t="s">
        <v>629</v>
      </c>
      <c r="B71" s="297" t="e">
        <f aca="false">IF(B72=0,0,B72)</f>
        <v>#VALUE!</v>
      </c>
      <c r="C71" s="951"/>
      <c r="D71" s="2"/>
      <c r="E71" s="996" t="e">
        <f aca="false">('7.2.2 Turnover Parts'!C65-'7.4.3 Inv. &amp; Depr.'!D129)/(1+B72)</f>
        <v>#VALUE!</v>
      </c>
      <c r="F71" s="2"/>
      <c r="G71" s="996" t="e">
        <f aca="false">('7.2.2 Turnover Parts'!$E$65-'7.4.3 Inv. &amp; Depr.'!$F$129)/(1+$B$72)</f>
        <v>#VALUE!</v>
      </c>
      <c r="H71" s="2"/>
      <c r="I71" s="996" t="e">
        <f aca="false">('7.2.2 Turnover Parts'!$G$65-'7.4.3 Inv. &amp; Depr.'!$H$129)/(1+$B$72)</f>
        <v>#VALUE!</v>
      </c>
      <c r="J71" s="2"/>
      <c r="K71" s="1103" t="e">
        <f aca="false">('7.2.2 Turnover Parts'!$I$65-'7.4.3 Inv. &amp; Depr.'!$J$129)/(1+$B$72)</f>
        <v>#VALUE!</v>
      </c>
    </row>
    <row r="72" customFormat="false" ht="15" hidden="false" customHeight="false" outlineLevel="0" collapsed="false">
      <c r="A72" s="1" t="s">
        <v>630</v>
      </c>
      <c r="B72" s="297" t="e">
        <f aca="false">IF('7.3 Cost of sales'!C85=0,0,('7.3 Cost of sales'!B76*'7.3 Cost of sales'!C76+'7.3 Cost of sales'!B77*'7.3 Cost of sales'!C77+'7.3 Cost of sales'!B78*'7.3 Cost of sales'!C78+'7.3 Cost of sales'!B79*'7.3 Cost of sales'!C79+'7.3 Cost of sales'!B80*'7.3 Cost of sales'!C80+'7.3 Cost of sales'!B81*'7.3 Cost of sales'!C81+'7.3 Cost of sales'!B82*'7.3 Cost of sales'!C82+'7.3 Cost of sales'!B83*'7.3 Cost of sales'!C83+'7.3 Cost of sales'!B84*'7.3 Cost of sales'!C84)/'7.3 Cost of sales'!C85+IF('7.3 Cost of sales'!C85=0,0))</f>
        <v>#VALUE!</v>
      </c>
      <c r="C72" s="1117" t="e">
        <f aca="false">('7.2.2 Turnover Parts'!C65-'7.4.3 Inv. &amp; Depr.'!D129)/(1+B72)</f>
        <v>#VALUE!</v>
      </c>
      <c r="D72" s="2"/>
      <c r="E72" s="1092" t="e">
        <f aca="false">('7.2.2 Turnover Parts'!$E$65-'7.4.3 Inv. &amp; Depr.'!$F$129)/(1+$B$72)</f>
        <v>#VALUE!</v>
      </c>
      <c r="F72" s="2"/>
      <c r="G72" s="1092" t="e">
        <f aca="false">('7.2.2 Turnover Parts'!$G$65-'7.4.3 Inv. &amp; Depr.'!$H$129)/(1+$B$72)</f>
        <v>#VALUE!</v>
      </c>
      <c r="H72" s="2"/>
      <c r="I72" s="1092" t="e">
        <f aca="false">('7.2.2 Turnover Parts'!$I$65-'7.4.3 Inv. &amp; Depr.'!$J$129)/(1+$B$72)</f>
        <v>#VALUE!</v>
      </c>
      <c r="J72" s="2"/>
      <c r="K72" s="1117" t="e">
        <f aca="false">('7.2.2 Turnover Parts'!K65-'7.4.3 Inv. &amp; Depr.'!L129)/(1+B72)</f>
        <v>#VALUE!</v>
      </c>
    </row>
    <row r="73" customFormat="false" ht="15" hidden="false" customHeight="false" outlineLevel="0" collapsed="false">
      <c r="A73" s="1112" t="s">
        <v>631</v>
      </c>
      <c r="B73" s="184"/>
      <c r="C73" s="999" t="e">
        <f aca="false">+C72-C71</f>
        <v>#VALUE!</v>
      </c>
      <c r="D73" s="184"/>
      <c r="E73" s="1000" t="e">
        <f aca="false">+E72-E71</f>
        <v>#VALUE!</v>
      </c>
      <c r="F73" s="184"/>
      <c r="G73" s="1000" t="e">
        <f aca="false">+G72-G71</f>
        <v>#VALUE!</v>
      </c>
      <c r="H73" s="184"/>
      <c r="I73" s="1000" t="e">
        <f aca="false">+I72-I71</f>
        <v>#VALUE!</v>
      </c>
      <c r="J73" s="184"/>
      <c r="K73" s="999" t="e">
        <f aca="false">+K72-K71</f>
        <v>#VALUE!</v>
      </c>
    </row>
    <row r="74" customFormat="false" ht="15" hidden="false" customHeight="false" outlineLevel="0" collapsed="false">
      <c r="A74" s="49"/>
      <c r="B74" s="50"/>
      <c r="C74" s="51"/>
      <c r="D74" s="50"/>
      <c r="E74" s="50"/>
      <c r="F74" s="50"/>
      <c r="G74" s="50"/>
      <c r="H74" s="50"/>
      <c r="I74" s="50"/>
      <c r="J74" s="50"/>
      <c r="K74" s="51"/>
    </row>
    <row r="75" customFormat="false" ht="18.75" hidden="false" customHeight="false" outlineLevel="0" collapsed="false">
      <c r="A75" s="1138" t="s">
        <v>632</v>
      </c>
      <c r="B75" s="759"/>
      <c r="C75" s="759"/>
      <c r="D75" s="759"/>
      <c r="E75" s="759"/>
      <c r="F75" s="759"/>
      <c r="G75" s="759"/>
      <c r="H75" s="759"/>
      <c r="I75" s="759"/>
      <c r="J75" s="759"/>
      <c r="K75" s="760"/>
    </row>
    <row r="76" customFormat="false" ht="15" hidden="false" customHeight="false" outlineLevel="0" collapsed="false">
      <c r="A76" s="1"/>
      <c r="B76" s="2"/>
      <c r="C76" s="3"/>
      <c r="D76" s="2"/>
      <c r="E76" s="2"/>
      <c r="F76" s="2"/>
      <c r="G76" s="2"/>
      <c r="H76" s="2"/>
      <c r="I76" s="2"/>
      <c r="J76" s="2"/>
      <c r="K76" s="3"/>
    </row>
    <row r="77" customFormat="false" ht="15" hidden="false" customHeight="false" outlineLevel="0" collapsed="false">
      <c r="A77" s="1" t="s">
        <v>633</v>
      </c>
      <c r="B77" s="2"/>
      <c r="C77" s="1103" t="e">
        <f aca="false">C72-C71+'7.3 Cost of sales'!C85</f>
        <v>#VALUE!</v>
      </c>
      <c r="D77" s="2"/>
      <c r="E77" s="996" t="e">
        <f aca="false">E72-E71+'7.3 Cost of sales'!E85</f>
        <v>#VALUE!</v>
      </c>
      <c r="F77" s="2"/>
      <c r="G77" s="996" t="e">
        <f aca="false">G72-G71+'7.3 Cost of sales'!G85</f>
        <v>#VALUE!</v>
      </c>
      <c r="H77" s="2"/>
      <c r="I77" s="996" t="e">
        <f aca="false">I72-I71+'7.3 Cost of sales'!I85</f>
        <v>#VALUE!</v>
      </c>
      <c r="J77" s="2"/>
      <c r="K77" s="1103" t="e">
        <f aca="false">K72-K71+'7.3 Cost of sales'!K85</f>
        <v>#VALUE!</v>
      </c>
    </row>
    <row r="78" customFormat="false" ht="15" hidden="false" customHeight="false" outlineLevel="0" collapsed="false">
      <c r="A78" s="49"/>
      <c r="B78" s="50"/>
      <c r="C78" s="51"/>
      <c r="D78" s="50"/>
      <c r="E78" s="50"/>
      <c r="F78" s="50"/>
      <c r="G78" s="50"/>
      <c r="H78" s="50"/>
      <c r="I78" s="50"/>
      <c r="J78" s="50"/>
      <c r="K78" s="51"/>
    </row>
  </sheetData>
  <mergeCells count="1">
    <mergeCell ref="E8:G8"/>
  </mergeCells>
  <conditionalFormatting sqref="H8">
    <cfRule type="cellIs" priority="2" operator="equal" aboveAverage="0" equalAverage="0" bottom="0" percent="0" rank="0" text="" dxfId="0">
      <formula>0</formula>
    </cfRule>
  </conditionalFormatting>
  <dataValidations count="2">
    <dataValidation allowBlank="true" operator="between" showDropDown="false" showErrorMessage="true" showInputMessage="true" sqref="H8" type="decimal">
      <formula1>0</formula1>
      <formula2>10000000</formula2>
    </dataValidation>
    <dataValidation allowBlank="true" operator="between" showDropDown="false" showErrorMessage="true" showInputMessage="true" sqref="C9" type="list">
      <formula1>"1,2,3,4,5,6,7,8,9,10,"</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5.xml><?xml version="1.0" encoding="utf-8"?>
<worksheet xmlns="http://schemas.openxmlformats.org/spreadsheetml/2006/main" xmlns:r="http://schemas.openxmlformats.org/officeDocument/2006/relationships">
  <sheetPr filterMode="false">
    <tabColor rgb="FFC0C0C0"/>
    <pageSetUpPr fitToPage="true"/>
  </sheetPr>
  <dimension ref="A1:P72"/>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5" topLeftCell="A54" activePane="bottomLeft" state="frozen"/>
      <selection pane="topLeft" activeCell="A1" activeCellId="0" sqref="A1"/>
      <selection pane="bottomLeft" activeCell="C62" activeCellId="0" sqref="C62"/>
    </sheetView>
  </sheetViews>
  <sheetFormatPr defaultRowHeight="15" zeroHeight="true" outlineLevelRow="0" outlineLevelCol="0"/>
  <cols>
    <col collapsed="false" customWidth="true" hidden="false" outlineLevel="0" max="1" min="1" style="4" width="24"/>
    <col collapsed="false" customWidth="true" hidden="false" outlineLevel="0" max="2" min="2" style="4" width="13.01"/>
    <col collapsed="false" customWidth="true" hidden="false" outlineLevel="0" max="3" min="3" style="4" width="13.57"/>
    <col collapsed="false" customWidth="true" hidden="false" outlineLevel="0" max="4" min="4" style="4" width="9.14"/>
    <col collapsed="false" customWidth="true" hidden="false" outlineLevel="0" max="5" min="5" style="4" width="11.99"/>
    <col collapsed="false" customWidth="true" hidden="false" outlineLevel="0" max="6" min="6" style="4" width="9.14"/>
    <col collapsed="false" customWidth="true" hidden="false" outlineLevel="0" max="7" min="7" style="4" width="13.01"/>
    <col collapsed="false" customWidth="true" hidden="false" outlineLevel="0" max="8" min="8" style="4" width="10.85"/>
    <col collapsed="false" customWidth="true" hidden="false" outlineLevel="0" max="9" min="9" style="4" width="12.42"/>
    <col collapsed="false" customWidth="true" hidden="false" outlineLevel="0" max="10" min="10" style="4" width="10.99"/>
    <col collapsed="false" customWidth="true" hidden="false" outlineLevel="0" max="11" min="11" style="4" width="11.99"/>
    <col collapsed="false" customWidth="true" hidden="false" outlineLevel="0" max="12" min="12" style="22" width="1.29"/>
    <col collapsed="false" customWidth="true" hidden="true" outlineLevel="0" max="1025" min="13" style="4" width="9.14"/>
  </cols>
  <sheetData>
    <row r="1" customFormat="false" ht="28.5" hidden="false" customHeight="false" outlineLevel="0" collapsed="false">
      <c r="A1" s="113" t="s">
        <v>525</v>
      </c>
      <c r="B1" s="114"/>
      <c r="C1" s="114"/>
      <c r="D1" s="114"/>
      <c r="E1" s="114"/>
      <c r="F1" s="114"/>
      <c r="G1" s="114"/>
      <c r="H1" s="114"/>
      <c r="I1" s="114"/>
      <c r="J1" s="114"/>
      <c r="K1" s="115" t="s">
        <v>634</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851"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'7.1 Dealer area'!K3</f>
        <v>EUR</v>
      </c>
    </row>
    <row r="4" customFormat="false" ht="15" hidden="false" customHeight="false" outlineLevel="0" collapsed="false">
      <c r="A4" s="52"/>
      <c r="B4" s="116"/>
      <c r="C4" s="48"/>
      <c r="D4" s="1140"/>
      <c r="E4" s="48"/>
      <c r="F4" s="48"/>
      <c r="G4" s="130"/>
      <c r="H4" s="48"/>
      <c r="I4" s="48"/>
      <c r="J4" s="48"/>
      <c r="K4" s="939"/>
    </row>
    <row r="5" s="273" customFormat="true" ht="15" hidden="false" customHeight="false" outlineLevel="0" collapsed="false">
      <c r="A5" s="562"/>
      <c r="B5" s="67"/>
      <c r="C5" s="1141" t="n">
        <f aca="false">'7.2.1 Turnover Vehicles'!C5</f>
        <v>2019</v>
      </c>
      <c r="D5" s="67"/>
      <c r="E5" s="1141" t="n">
        <f aca="false">'7.2.1 Turnover Vehicles'!E5</f>
        <v>2020</v>
      </c>
      <c r="F5" s="67"/>
      <c r="G5" s="1141" t="n">
        <f aca="false">'7.2.1 Turnover Vehicles'!G5</f>
        <v>2021</v>
      </c>
      <c r="H5" s="67"/>
      <c r="I5" s="1141" t="n">
        <f aca="false">'7.2.1 Turnover Vehicles'!I5</f>
        <v>2022</v>
      </c>
      <c r="J5" s="67"/>
      <c r="K5" s="1141" t="n">
        <f aca="false">'7.2.1 Turnover Vehicles'!K5</f>
        <v>2023</v>
      </c>
      <c r="L5" s="271"/>
    </row>
    <row r="6" customFormat="false" ht="18.75" hidden="false" customHeight="false" outlineLevel="0" collapsed="false">
      <c r="A6" s="839" t="s">
        <v>635</v>
      </c>
      <c r="B6" s="863"/>
      <c r="C6" s="132"/>
      <c r="D6" s="132"/>
      <c r="E6" s="132"/>
      <c r="F6" s="132"/>
      <c r="G6" s="132"/>
      <c r="H6" s="132"/>
      <c r="I6" s="132"/>
      <c r="J6" s="132"/>
      <c r="K6" s="133"/>
    </row>
    <row r="7" customFormat="false" ht="15" hidden="false" customHeight="false" outlineLevel="0" collapsed="false">
      <c r="A7" s="506"/>
      <c r="B7" s="1142"/>
      <c r="C7" s="1143"/>
      <c r="D7" s="1144"/>
      <c r="E7" s="1144"/>
      <c r="F7" s="257"/>
      <c r="G7" s="257"/>
      <c r="H7" s="257"/>
      <c r="I7" s="257"/>
      <c r="J7" s="257"/>
      <c r="K7" s="260"/>
    </row>
    <row r="8" customFormat="false" ht="15" hidden="false" customHeight="false" outlineLevel="0" collapsed="false">
      <c r="A8" s="52" t="s">
        <v>589</v>
      </c>
      <c r="B8" s="48"/>
      <c r="C8" s="933" t="n">
        <f aca="false">'Calculation (short)'!BV14</f>
        <v>233.913563091058</v>
      </c>
      <c r="D8" s="48"/>
      <c r="E8" s="1145" t="n">
        <f aca="false">'Calculation (short)'!BV24</f>
        <v>294.888033595059</v>
      </c>
      <c r="F8" s="876"/>
      <c r="G8" s="1145" t="n">
        <f aca="false">'Calculation (short)'!BV35</f>
        <v>352.093598686454</v>
      </c>
      <c r="H8" s="876"/>
      <c r="I8" s="1145" t="n">
        <f aca="false">'Calculation (short)'!BV45</f>
        <v>360.934664288152</v>
      </c>
      <c r="J8" s="876"/>
      <c r="K8" s="933" t="n">
        <f aca="false">'Calculation (short)'!BV55</f>
        <v>416.725144526818</v>
      </c>
    </row>
    <row r="9" customFormat="false" ht="15" hidden="false" customHeight="false" outlineLevel="0" collapsed="false">
      <c r="A9" s="52" t="s">
        <v>636</v>
      </c>
      <c r="B9" s="48"/>
      <c r="C9" s="1131" t="n">
        <v>0.05</v>
      </c>
      <c r="D9" s="1146"/>
      <c r="E9" s="906"/>
      <c r="F9" s="1147"/>
      <c r="G9" s="906"/>
      <c r="H9" s="1147"/>
      <c r="I9" s="906"/>
      <c r="J9" s="1147"/>
      <c r="K9" s="1131"/>
    </row>
    <row r="10" customFormat="false" ht="15" hidden="false" customHeight="false" outlineLevel="0" collapsed="false">
      <c r="A10" s="52" t="s">
        <v>637</v>
      </c>
      <c r="B10" s="48"/>
      <c r="C10" s="924" t="n">
        <f aca="false">(1-C9)*C8</f>
        <v>222.217884936505</v>
      </c>
      <c r="D10" s="48"/>
      <c r="E10" s="925" t="n">
        <f aca="false">(1-E9)*E8</f>
        <v>294.888033595059</v>
      </c>
      <c r="F10" s="876"/>
      <c r="G10" s="925" t="n">
        <f aca="false">(1-G9)*G8</f>
        <v>352.093598686454</v>
      </c>
      <c r="H10" s="876"/>
      <c r="I10" s="925" t="n">
        <f aca="false">(1-I9)*I8</f>
        <v>360.934664288152</v>
      </c>
      <c r="J10" s="876"/>
      <c r="K10" s="924" t="n">
        <f aca="false">(1-K9)*K8</f>
        <v>416.725144526818</v>
      </c>
    </row>
    <row r="11" customFormat="false" ht="15" hidden="false" customHeight="false" outlineLevel="0" collapsed="false">
      <c r="A11" s="52"/>
      <c r="B11" s="48"/>
      <c r="C11" s="875"/>
      <c r="D11" s="67"/>
      <c r="E11" s="564"/>
      <c r="F11" s="48"/>
      <c r="G11" s="564"/>
      <c r="H11" s="48"/>
      <c r="I11" s="564"/>
      <c r="J11" s="48"/>
      <c r="K11" s="565"/>
    </row>
    <row r="12" customFormat="false" ht="15" hidden="false" customHeight="false" outlineLevel="0" collapsed="false">
      <c r="A12" s="257"/>
      <c r="B12" s="257"/>
      <c r="C12" s="1148"/>
      <c r="D12" s="258"/>
      <c r="E12" s="1149"/>
      <c r="F12" s="257"/>
      <c r="G12" s="1149"/>
      <c r="H12" s="257"/>
      <c r="I12" s="1149"/>
      <c r="J12" s="257"/>
      <c r="K12" s="1149"/>
    </row>
    <row r="13" customFormat="false" ht="18.75" hidden="false" customHeight="false" outlineLevel="0" collapsed="false">
      <c r="A13" s="839" t="s">
        <v>638</v>
      </c>
      <c r="B13" s="132"/>
      <c r="C13" s="1150"/>
      <c r="D13" s="276"/>
      <c r="E13" s="371"/>
      <c r="F13" s="132"/>
      <c r="G13" s="371"/>
      <c r="H13" s="132"/>
      <c r="I13" s="371"/>
      <c r="J13" s="132"/>
      <c r="K13" s="372"/>
    </row>
    <row r="14" customFormat="false" ht="15" hidden="false" customHeight="false" outlineLevel="0" collapsed="false">
      <c r="A14" s="506" t="s">
        <v>529</v>
      </c>
      <c r="B14" s="696" t="n">
        <f aca="false">'9.0 Scenario''s'!D13</f>
        <v>1</v>
      </c>
      <c r="C14" s="877"/>
      <c r="D14" s="67"/>
      <c r="E14" s="952"/>
      <c r="F14" s="2"/>
      <c r="G14" s="952"/>
      <c r="H14" s="2"/>
      <c r="I14" s="952"/>
      <c r="J14" s="2"/>
      <c r="K14" s="1107"/>
      <c r="P14" s="87"/>
    </row>
    <row r="15" customFormat="false" ht="15" hidden="false" customHeight="false" outlineLevel="0" collapsed="false">
      <c r="A15" s="52" t="s">
        <v>639</v>
      </c>
      <c r="B15" s="48"/>
      <c r="C15" s="892" t="n">
        <f aca="false">IF(C10=0,0,C16/C10*$B$14)</f>
        <v>0.00450008783175006</v>
      </c>
      <c r="D15" s="1151"/>
      <c r="E15" s="1105" t="n">
        <f aca="false">E14*$B$14</f>
        <v>0</v>
      </c>
      <c r="F15" s="1105"/>
      <c r="G15" s="1105" t="n">
        <f aca="false">G14*$B$14</f>
        <v>0</v>
      </c>
      <c r="H15" s="1105"/>
      <c r="I15" s="1105" t="n">
        <f aca="false">I14*$B$14</f>
        <v>0</v>
      </c>
      <c r="J15" s="1105"/>
      <c r="K15" s="1087" t="n">
        <f aca="false">K14*$B$14</f>
        <v>0</v>
      </c>
      <c r="P15" s="87"/>
    </row>
    <row r="16" customFormat="false" ht="15" hidden="false" customHeight="false" outlineLevel="0" collapsed="false">
      <c r="A16" s="52"/>
      <c r="B16" s="48"/>
      <c r="C16" s="951" t="n">
        <v>1</v>
      </c>
      <c r="D16" s="280"/>
      <c r="E16" s="665"/>
      <c r="F16" s="869"/>
      <c r="G16" s="665"/>
      <c r="H16" s="869"/>
      <c r="I16" s="665"/>
      <c r="J16" s="869"/>
      <c r="K16" s="953"/>
    </row>
    <row r="17" customFormat="false" ht="15" hidden="false" customHeight="false" outlineLevel="0" collapsed="false">
      <c r="A17" s="52" t="s">
        <v>640</v>
      </c>
      <c r="C17" s="868" t="n">
        <f aca="false">IF(C16&lt;&gt;0,C16,C10*C15)</f>
        <v>1</v>
      </c>
      <c r="D17" s="280"/>
      <c r="E17" s="869" t="n">
        <f aca="false">IF(E16&lt;&gt;0,E16,E10*E15)</f>
        <v>0</v>
      </c>
      <c r="F17" s="869"/>
      <c r="G17" s="869" t="n">
        <f aca="false">IF(G16&lt;&gt;0,G16,G10*G15)</f>
        <v>0</v>
      </c>
      <c r="H17" s="869"/>
      <c r="I17" s="869" t="n">
        <f aca="false">IF(I16&lt;&gt;0,I16,I10*I15)</f>
        <v>0</v>
      </c>
      <c r="J17" s="869"/>
      <c r="K17" s="868" t="n">
        <f aca="false">IF(K16&lt;&gt;0,K16,K10*K15)</f>
        <v>0</v>
      </c>
    </row>
    <row r="18" customFormat="false" ht="15" hidden="false" customHeight="false" outlineLevel="0" collapsed="false">
      <c r="A18" s="52" t="s">
        <v>641</v>
      </c>
      <c r="B18" s="48"/>
      <c r="C18" s="1013" t="n">
        <v>0</v>
      </c>
      <c r="D18" s="67"/>
      <c r="E18" s="1014" t="n">
        <v>0</v>
      </c>
      <c r="F18" s="996"/>
      <c r="G18" s="1014" t="n">
        <v>0</v>
      </c>
      <c r="H18" s="996"/>
      <c r="I18" s="1014" t="n">
        <v>0</v>
      </c>
      <c r="J18" s="996"/>
      <c r="K18" s="1013" t="n">
        <v>0</v>
      </c>
    </row>
    <row r="19" customFormat="false" ht="15" hidden="false" customHeight="false" outlineLevel="0" collapsed="false">
      <c r="A19" s="562" t="s">
        <v>642</v>
      </c>
      <c r="B19" s="67"/>
      <c r="C19" s="1015" t="n">
        <f aca="false">SUM(C17:C18)</f>
        <v>1</v>
      </c>
      <c r="D19" s="67"/>
      <c r="E19" s="904" t="n">
        <f aca="false">SUM(E17:E18)</f>
        <v>0</v>
      </c>
      <c r="F19" s="1000"/>
      <c r="G19" s="904" t="n">
        <f aca="false">SUM(G17:G18)</f>
        <v>0</v>
      </c>
      <c r="H19" s="904"/>
      <c r="I19" s="904" t="n">
        <f aca="false">SUM(I17:I18)</f>
        <v>0</v>
      </c>
      <c r="J19" s="904"/>
      <c r="K19" s="1152" t="n">
        <f aca="false">SUM(K17:K18)</f>
        <v>0</v>
      </c>
    </row>
    <row r="20" customFormat="false" ht="15" hidden="false" customHeight="false" outlineLevel="0" collapsed="false">
      <c r="A20" s="52"/>
      <c r="B20" s="48"/>
      <c r="C20" s="875"/>
      <c r="D20" s="67"/>
      <c r="E20" s="564"/>
      <c r="F20" s="48"/>
      <c r="G20" s="564"/>
      <c r="H20" s="48"/>
      <c r="I20" s="564"/>
      <c r="J20" s="48"/>
      <c r="K20" s="565"/>
    </row>
    <row r="21" customFormat="false" ht="18.75" hidden="false" customHeight="false" outlineLevel="0" collapsed="false">
      <c r="A21" s="839" t="s">
        <v>643</v>
      </c>
      <c r="B21" s="132"/>
      <c r="C21" s="133"/>
      <c r="D21" s="132"/>
      <c r="E21" s="132"/>
      <c r="F21" s="132"/>
      <c r="G21" s="132"/>
      <c r="H21" s="132"/>
      <c r="I21" s="132"/>
      <c r="J21" s="132"/>
      <c r="K21" s="133"/>
    </row>
    <row r="22" customFormat="false" ht="15" hidden="false" customHeight="false" outlineLevel="0" collapsed="false">
      <c r="A22" s="52"/>
      <c r="B22" s="48" t="s">
        <v>596</v>
      </c>
      <c r="C22" s="54"/>
      <c r="D22" s="48"/>
      <c r="E22" s="48"/>
      <c r="F22" s="48"/>
      <c r="G22" s="48"/>
      <c r="H22" s="48"/>
      <c r="I22" s="48"/>
      <c r="J22" s="48"/>
      <c r="K22" s="54"/>
    </row>
    <row r="23" customFormat="false" ht="15" hidden="false" customHeight="false" outlineLevel="0" collapsed="false">
      <c r="A23" s="52"/>
      <c r="B23" s="48" t="s">
        <v>597</v>
      </c>
      <c r="C23" s="54"/>
      <c r="D23" s="48"/>
      <c r="E23" s="48"/>
      <c r="F23" s="48"/>
      <c r="G23" s="48"/>
      <c r="H23" s="48"/>
      <c r="I23" s="48"/>
      <c r="J23" s="48"/>
      <c r="K23" s="54"/>
    </row>
    <row r="24" customFormat="false" ht="15" hidden="false" customHeight="false" outlineLevel="0" collapsed="false">
      <c r="A24" s="52" t="s">
        <v>644</v>
      </c>
      <c r="B24" s="997" t="n">
        <v>0</v>
      </c>
      <c r="C24" s="875" t="n">
        <f aca="false">('7.1 Dealer area'!C47+'7.1 Dealer area'!C41)*'7.2.3 Turnover Service &amp; Body'!$B24</f>
        <v>0</v>
      </c>
      <c r="D24" s="1153" t="str">
        <f aca="false">IF(C24&gt;C16,"ERROR"," ")</f>
        <v> </v>
      </c>
      <c r="E24" s="876" t="n">
        <f aca="false">('7.1 Dealer area'!E47+'7.1 Dealer area'!E41)*'7.2.3 Turnover Service &amp; Body'!$B24</f>
        <v>0</v>
      </c>
      <c r="F24" s="876"/>
      <c r="G24" s="876" t="n">
        <f aca="false">('7.1 Dealer area'!G47+'7.1 Dealer area'!G41)*'7.2.3 Turnover Service &amp; Body'!$B24</f>
        <v>0</v>
      </c>
      <c r="H24" s="876"/>
      <c r="I24" s="876" t="n">
        <f aca="false">('7.1 Dealer area'!I47+'7.1 Dealer area'!I41)*'7.2.3 Turnover Service &amp; Body'!$B24</f>
        <v>0</v>
      </c>
      <c r="J24" s="876"/>
      <c r="K24" s="875" t="n">
        <f aca="false">('7.1 Dealer area'!K47+'7.1 Dealer area'!K41)*'7.2.3 Turnover Service &amp; Body'!$B24</f>
        <v>0</v>
      </c>
    </row>
    <row r="25" customFormat="false" ht="15" hidden="false" customHeight="false" outlineLevel="0" collapsed="false">
      <c r="A25" s="52" t="s">
        <v>645</v>
      </c>
      <c r="B25" s="997"/>
      <c r="C25" s="966" t="n">
        <f aca="false">'5.1 DAF Vehicle Parc Input'!K43*'7.2.3 Turnover Service &amp; Body'!$B25</f>
        <v>0</v>
      </c>
      <c r="D25" s="1153" t="str">
        <f aca="false">IF(C25&gt;C18,"ERROR"," ")</f>
        <v> </v>
      </c>
      <c r="E25" s="967" t="n">
        <f aca="false">'5.1 DAF Vehicle Parc Input'!M43*'7.2.3 Turnover Service &amp; Body'!$B25</f>
        <v>0</v>
      </c>
      <c r="F25" s="876"/>
      <c r="G25" s="967" t="n">
        <f aca="false">'5.1 DAF Vehicle Parc Input'!O43*'7.2.3 Turnover Service &amp; Body'!$B25</f>
        <v>0</v>
      </c>
      <c r="H25" s="876"/>
      <c r="I25" s="967" t="n">
        <f aca="false">'5.1 DAF Vehicle Parc Input'!Q43*'7.2.3 Turnover Service &amp; Body'!$B25</f>
        <v>0</v>
      </c>
      <c r="J25" s="876"/>
      <c r="K25" s="966" t="n">
        <f aca="false">'5.1 DAF Vehicle Parc Input'!S43*'7.2.3 Turnover Service &amp; Body'!$B25</f>
        <v>0</v>
      </c>
    </row>
    <row r="26" customFormat="false" ht="15" hidden="false" customHeight="false" outlineLevel="0" collapsed="false">
      <c r="A26" s="562" t="s">
        <v>293</v>
      </c>
      <c r="B26" s="67"/>
      <c r="C26" s="903" t="n">
        <f aca="false">+C24+C25</f>
        <v>0</v>
      </c>
      <c r="D26" s="904"/>
      <c r="E26" s="904" t="n">
        <f aca="false">+E24+E25</f>
        <v>0</v>
      </c>
      <c r="F26" s="904"/>
      <c r="G26" s="904" t="n">
        <f aca="false">+G24+G25</f>
        <v>0</v>
      </c>
      <c r="H26" s="904"/>
      <c r="I26" s="904" t="n">
        <f aca="false">+I24+I25</f>
        <v>0</v>
      </c>
      <c r="J26" s="904"/>
      <c r="K26" s="903" t="n">
        <f aca="false">+K24+K25</f>
        <v>0</v>
      </c>
    </row>
    <row r="27" customFormat="false" ht="15" hidden="false" customHeight="false" outlineLevel="0" collapsed="false">
      <c r="A27" s="52"/>
      <c r="B27" s="48"/>
      <c r="C27" s="54"/>
      <c r="D27" s="48"/>
      <c r="E27" s="48"/>
      <c r="F27" s="48"/>
      <c r="G27" s="48"/>
      <c r="H27" s="48"/>
      <c r="I27" s="48"/>
      <c r="J27" s="48"/>
      <c r="K27" s="54"/>
    </row>
    <row r="28" customFormat="false" ht="15" hidden="false" customHeight="false" outlineLevel="0" collapsed="false">
      <c r="A28" s="314"/>
      <c r="B28" s="314"/>
      <c r="C28" s="314"/>
      <c r="D28" s="314"/>
      <c r="E28" s="314"/>
      <c r="F28" s="314"/>
      <c r="G28" s="314"/>
      <c r="H28" s="314"/>
      <c r="I28" s="314"/>
      <c r="J28" s="314"/>
      <c r="K28" s="314"/>
    </row>
    <row r="29" customFormat="false" ht="18.75" hidden="false" customHeight="false" outlineLevel="0" collapsed="false">
      <c r="A29" s="839" t="s">
        <v>646</v>
      </c>
      <c r="B29" s="132"/>
      <c r="C29" s="132"/>
      <c r="D29" s="500"/>
      <c r="E29" s="500"/>
      <c r="F29" s="500"/>
      <c r="G29" s="500"/>
      <c r="H29" s="500"/>
      <c r="I29" s="500"/>
      <c r="J29" s="500"/>
      <c r="K29" s="514"/>
    </row>
    <row r="30" customFormat="false" ht="15" hidden="false" customHeight="false" outlineLevel="0" collapsed="false">
      <c r="A30" s="52" t="s">
        <v>647</v>
      </c>
      <c r="B30" s="1154"/>
      <c r="C30" s="1155"/>
      <c r="D30" s="858"/>
      <c r="E30" s="880" t="n">
        <v>0</v>
      </c>
      <c r="F30" s="2"/>
      <c r="G30" s="952"/>
      <c r="H30" s="2"/>
      <c r="I30" s="952"/>
      <c r="J30" s="2"/>
      <c r="K30" s="1107"/>
    </row>
    <row r="31" customFormat="false" ht="15" hidden="false" customHeight="false" outlineLevel="0" collapsed="false">
      <c r="A31" s="52"/>
      <c r="B31" s="1154"/>
      <c r="C31" s="1156"/>
      <c r="D31" s="858"/>
      <c r="E31" s="858"/>
      <c r="F31" s="2"/>
      <c r="G31" s="48"/>
      <c r="H31" s="2"/>
      <c r="I31" s="48"/>
      <c r="J31" s="2"/>
      <c r="K31" s="54"/>
    </row>
    <row r="32" customFormat="false" ht="15" hidden="false" customHeight="false" outlineLevel="0" collapsed="false">
      <c r="A32" s="52" t="s">
        <v>648</v>
      </c>
      <c r="B32" s="48"/>
      <c r="C32" s="565"/>
      <c r="D32" s="2"/>
      <c r="E32" s="564"/>
      <c r="F32" s="2"/>
      <c r="G32" s="564"/>
      <c r="H32" s="2"/>
      <c r="I32" s="564"/>
      <c r="J32" s="2"/>
      <c r="K32" s="565"/>
    </row>
    <row r="33" customFormat="false" ht="15" hidden="false" customHeight="false" outlineLevel="0" collapsed="false">
      <c r="A33" s="52" t="s">
        <v>649</v>
      </c>
      <c r="B33" s="48"/>
      <c r="C33" s="1157"/>
      <c r="D33" s="2"/>
      <c r="E33" s="1158"/>
      <c r="F33" s="2"/>
      <c r="G33" s="1158"/>
      <c r="H33" s="2"/>
      <c r="I33" s="1158"/>
      <c r="J33" s="2"/>
      <c r="K33" s="1157"/>
    </row>
    <row r="34" customFormat="false" ht="15" hidden="false" customHeight="false" outlineLevel="0" collapsed="false">
      <c r="A34" s="52" t="s">
        <v>650</v>
      </c>
      <c r="B34" s="48"/>
      <c r="C34" s="1157"/>
      <c r="D34" s="2"/>
      <c r="E34" s="1158"/>
      <c r="F34" s="2"/>
      <c r="G34" s="1158"/>
      <c r="H34" s="2"/>
      <c r="I34" s="1158"/>
      <c r="J34" s="2"/>
      <c r="K34" s="1157"/>
    </row>
    <row r="35" customFormat="false" ht="15" hidden="false" customHeight="false" outlineLevel="0" collapsed="false">
      <c r="A35" s="52" t="s">
        <v>651</v>
      </c>
      <c r="B35" s="48"/>
      <c r="C35" s="1157"/>
      <c r="D35" s="1121"/>
      <c r="E35" s="1158"/>
      <c r="F35" s="2"/>
      <c r="G35" s="1158"/>
      <c r="H35" s="2"/>
      <c r="I35" s="1158"/>
      <c r="J35" s="2"/>
      <c r="K35" s="1157"/>
    </row>
    <row r="36" customFormat="false" ht="15" hidden="false" customHeight="false" outlineLevel="0" collapsed="false">
      <c r="A36" s="52"/>
      <c r="B36" s="48"/>
      <c r="C36" s="80"/>
      <c r="D36" s="1121"/>
      <c r="E36" s="564"/>
      <c r="F36" s="1121"/>
      <c r="G36" s="564"/>
      <c r="H36" s="1121"/>
      <c r="I36" s="564"/>
      <c r="J36" s="1121"/>
      <c r="K36" s="565"/>
    </row>
    <row r="37" customFormat="false" ht="15" hidden="false" customHeight="false" outlineLevel="0" collapsed="false">
      <c r="A37" s="52" t="s">
        <v>652</v>
      </c>
      <c r="B37" s="48"/>
      <c r="C37" s="80"/>
      <c r="D37" s="564"/>
      <c r="E37" s="564"/>
      <c r="F37" s="564"/>
      <c r="G37" s="564"/>
      <c r="H37" s="1121"/>
      <c r="I37" s="564"/>
      <c r="J37" s="564"/>
      <c r="K37" s="565"/>
    </row>
    <row r="38" customFormat="false" ht="15" hidden="false" customHeight="false" outlineLevel="0" collapsed="false">
      <c r="A38" s="52" t="s">
        <v>653</v>
      </c>
      <c r="B38" s="48"/>
      <c r="C38" s="875" t="n">
        <f aca="false">(C17-C24)*C33</f>
        <v>0</v>
      </c>
      <c r="D38" s="876"/>
      <c r="E38" s="876" t="n">
        <f aca="false">(E17-E24)*E33</f>
        <v>0</v>
      </c>
      <c r="F38" s="876"/>
      <c r="G38" s="876" t="n">
        <f aca="false">(G17-G24)*G33</f>
        <v>0</v>
      </c>
      <c r="H38" s="876"/>
      <c r="I38" s="876" t="n">
        <f aca="false">(I17-I24)*I33</f>
        <v>0</v>
      </c>
      <c r="J38" s="876"/>
      <c r="K38" s="875" t="n">
        <f aca="false">(K17-K24)*K33</f>
        <v>0</v>
      </c>
    </row>
    <row r="39" customFormat="false" ht="15" hidden="false" customHeight="false" outlineLevel="0" collapsed="false">
      <c r="A39" s="52" t="s">
        <v>654</v>
      </c>
      <c r="B39" s="48"/>
      <c r="C39" s="875" t="n">
        <f aca="false">C34*C24</f>
        <v>0</v>
      </c>
      <c r="D39" s="876"/>
      <c r="E39" s="876" t="n">
        <f aca="false">E34*E24</f>
        <v>0</v>
      </c>
      <c r="F39" s="876"/>
      <c r="G39" s="876" t="n">
        <f aca="false">G34*G24</f>
        <v>0</v>
      </c>
      <c r="H39" s="876"/>
      <c r="I39" s="876" t="n">
        <f aca="false">I34*I24</f>
        <v>0</v>
      </c>
      <c r="J39" s="876"/>
      <c r="K39" s="875" t="n">
        <f aca="false">K34*K24</f>
        <v>0</v>
      </c>
    </row>
    <row r="40" customFormat="false" ht="15" hidden="false" customHeight="false" outlineLevel="0" collapsed="false">
      <c r="A40" s="52" t="s">
        <v>655</v>
      </c>
      <c r="B40" s="48"/>
      <c r="C40" s="875" t="n">
        <f aca="false">C25*C34</f>
        <v>0</v>
      </c>
      <c r="D40" s="876"/>
      <c r="E40" s="876" t="n">
        <f aca="false">E25*E34</f>
        <v>0</v>
      </c>
      <c r="F40" s="876"/>
      <c r="G40" s="876" t="n">
        <f aca="false">G25*G34</f>
        <v>0</v>
      </c>
      <c r="H40" s="876"/>
      <c r="I40" s="876" t="n">
        <f aca="false">I25*I34</f>
        <v>0</v>
      </c>
      <c r="J40" s="876"/>
      <c r="K40" s="875" t="n">
        <f aca="false">K25*K34</f>
        <v>0</v>
      </c>
    </row>
    <row r="41" customFormat="false" ht="15" hidden="false" customHeight="false" outlineLevel="0" collapsed="false">
      <c r="A41" s="52" t="s">
        <v>651</v>
      </c>
      <c r="B41" s="48"/>
      <c r="C41" s="875" t="n">
        <f aca="false">(C18-C25)*C35</f>
        <v>0</v>
      </c>
      <c r="D41" s="876"/>
      <c r="E41" s="876" t="n">
        <f aca="false">(E18-E25)*E35</f>
        <v>0</v>
      </c>
      <c r="F41" s="876"/>
      <c r="G41" s="876" t="n">
        <f aca="false">(G18-G25)*G35</f>
        <v>0</v>
      </c>
      <c r="H41" s="876"/>
      <c r="I41" s="876" t="n">
        <f aca="false">(I18-I25)*I35</f>
        <v>0</v>
      </c>
      <c r="J41" s="876"/>
      <c r="K41" s="875" t="n">
        <f aca="false">(K18-K25)*K35</f>
        <v>0</v>
      </c>
    </row>
    <row r="42" customFormat="false" ht="15" hidden="false" customHeight="false" outlineLevel="0" collapsed="false">
      <c r="A42" s="52"/>
      <c r="B42" s="48"/>
      <c r="C42" s="875"/>
      <c r="D42" s="876"/>
      <c r="E42" s="876"/>
      <c r="F42" s="876"/>
      <c r="G42" s="876"/>
      <c r="H42" s="876"/>
      <c r="I42" s="876"/>
      <c r="J42" s="876"/>
      <c r="K42" s="875"/>
    </row>
    <row r="43" customFormat="false" ht="15" hidden="false" customHeight="false" outlineLevel="0" collapsed="false">
      <c r="A43" s="506"/>
      <c r="B43" s="257"/>
      <c r="C43" s="877"/>
      <c r="D43" s="1148"/>
      <c r="E43" s="1148"/>
      <c r="F43" s="1148"/>
      <c r="G43" s="1148"/>
      <c r="H43" s="1148"/>
      <c r="I43" s="1148"/>
      <c r="J43" s="1148"/>
      <c r="K43" s="877"/>
    </row>
    <row r="44" customFormat="false" ht="15" hidden="false" customHeight="false" outlineLevel="0" collapsed="false">
      <c r="A44" s="562" t="s">
        <v>656</v>
      </c>
      <c r="B44" s="67"/>
      <c r="C44" s="1159" t="n">
        <f aca="false">SUM(C38:C41)</f>
        <v>0</v>
      </c>
      <c r="D44" s="67"/>
      <c r="E44" s="1159" t="n">
        <f aca="false">SUM(E38:E41)</f>
        <v>0</v>
      </c>
      <c r="F44" s="67"/>
      <c r="G44" s="1159" t="n">
        <f aca="false">SUM(G38:G41)</f>
        <v>0</v>
      </c>
      <c r="H44" s="67"/>
      <c r="I44" s="1159" t="n">
        <f aca="false">SUM(I38:I41)</f>
        <v>0</v>
      </c>
      <c r="J44" s="67"/>
      <c r="K44" s="1159" t="n">
        <f aca="false">SUM(K38:K41)</f>
        <v>0</v>
      </c>
    </row>
    <row r="45" customFormat="false" ht="15" hidden="false" customHeight="false" outlineLevel="0" collapsed="false">
      <c r="A45" s="52"/>
      <c r="B45" s="48"/>
      <c r="C45" s="54"/>
      <c r="D45" s="48"/>
      <c r="E45" s="48"/>
      <c r="F45" s="48"/>
      <c r="G45" s="48"/>
      <c r="H45" s="48"/>
      <c r="I45" s="48"/>
      <c r="J45" s="48"/>
      <c r="K45" s="54"/>
    </row>
    <row r="46" customFormat="false" ht="15" hidden="false" customHeight="false" outlineLevel="0" collapsed="false">
      <c r="A46" s="314"/>
      <c r="B46" s="314"/>
      <c r="C46" s="314"/>
      <c r="D46" s="314"/>
      <c r="E46" s="314"/>
      <c r="F46" s="314"/>
      <c r="G46" s="314"/>
      <c r="H46" s="314"/>
      <c r="I46" s="314"/>
      <c r="J46" s="314"/>
      <c r="K46" s="314"/>
    </row>
    <row r="47" customFormat="false" ht="18.75" hidden="false" customHeight="false" outlineLevel="0" collapsed="false">
      <c r="A47" s="1160" t="s">
        <v>657</v>
      </c>
      <c r="B47" s="500"/>
      <c r="C47" s="500"/>
      <c r="D47" s="500"/>
      <c r="E47" s="500"/>
      <c r="F47" s="500"/>
      <c r="G47" s="500"/>
      <c r="H47" s="500"/>
      <c r="I47" s="500"/>
      <c r="J47" s="500"/>
      <c r="K47" s="514"/>
    </row>
    <row r="48" customFormat="false" ht="15" hidden="false" customHeight="false" outlineLevel="0" collapsed="false">
      <c r="A48" s="506"/>
      <c r="B48" s="257"/>
      <c r="C48" s="260"/>
      <c r="D48" s="13"/>
      <c r="E48" s="257"/>
      <c r="F48" s="13"/>
      <c r="G48" s="257"/>
      <c r="H48" s="13"/>
      <c r="I48" s="257"/>
      <c r="J48" s="13"/>
      <c r="K48" s="260"/>
    </row>
    <row r="49" customFormat="false" ht="15" hidden="false" customHeight="false" outlineLevel="0" collapsed="false">
      <c r="A49" s="1161" t="s">
        <v>658</v>
      </c>
      <c r="B49" s="1146"/>
      <c r="C49" s="951" t="n">
        <v>3000</v>
      </c>
      <c r="D49" s="996"/>
      <c r="E49" s="997" t="n">
        <v>5000</v>
      </c>
      <c r="F49" s="996"/>
      <c r="G49" s="997" t="n">
        <v>8000</v>
      </c>
      <c r="H49" s="996"/>
      <c r="I49" s="997" t="n">
        <v>12000</v>
      </c>
      <c r="J49" s="996"/>
      <c r="K49" s="951" t="n">
        <v>16000</v>
      </c>
    </row>
    <row r="50" customFormat="false" ht="15" hidden="false" customHeight="false" outlineLevel="0" collapsed="false">
      <c r="A50" s="1161" t="s">
        <v>659</v>
      </c>
      <c r="B50" s="1146"/>
      <c r="C50" s="951" t="n">
        <v>0</v>
      </c>
      <c r="D50" s="996"/>
      <c r="E50" s="997" t="n">
        <v>0</v>
      </c>
      <c r="F50" s="996"/>
      <c r="G50" s="997" t="n">
        <v>0</v>
      </c>
      <c r="H50" s="996"/>
      <c r="I50" s="997" t="n">
        <v>0</v>
      </c>
      <c r="J50" s="996"/>
      <c r="K50" s="951" t="n">
        <v>0</v>
      </c>
    </row>
    <row r="51" customFormat="false" ht="15" hidden="false" customHeight="false" outlineLevel="0" collapsed="false">
      <c r="A51" s="1161" t="s">
        <v>660</v>
      </c>
      <c r="B51" s="1146"/>
      <c r="C51" s="1013" t="n">
        <v>0</v>
      </c>
      <c r="D51" s="996"/>
      <c r="E51" s="1014" t="n">
        <v>0</v>
      </c>
      <c r="F51" s="996"/>
      <c r="G51" s="1014" t="n">
        <v>0</v>
      </c>
      <c r="H51" s="996"/>
      <c r="I51" s="1014" t="n">
        <v>0</v>
      </c>
      <c r="J51" s="996"/>
      <c r="K51" s="1013" t="n">
        <v>0</v>
      </c>
    </row>
    <row r="52" customFormat="false" ht="15" hidden="false" customHeight="false" outlineLevel="0" collapsed="false">
      <c r="A52" s="157" t="s">
        <v>293</v>
      </c>
      <c r="B52" s="280"/>
      <c r="C52" s="1015" t="n">
        <f aca="false">SUM(C49:C51)</f>
        <v>3000</v>
      </c>
      <c r="D52" s="1016"/>
      <c r="E52" s="911" t="n">
        <f aca="false">SUM(E49:E51)</f>
        <v>5000</v>
      </c>
      <c r="F52" s="1016"/>
      <c r="G52" s="911" t="n">
        <f aca="false">SUM(G49:G51)</f>
        <v>8000</v>
      </c>
      <c r="H52" s="1016"/>
      <c r="I52" s="911" t="n">
        <f aca="false">SUM(I49:I51)</f>
        <v>12000</v>
      </c>
      <c r="J52" s="1016"/>
      <c r="K52" s="1015" t="n">
        <f aca="false">SUM(K49:K51)</f>
        <v>16000</v>
      </c>
    </row>
    <row r="53" customFormat="false" ht="15" hidden="false" customHeight="false" outlineLevel="0" collapsed="false">
      <c r="A53" s="82"/>
      <c r="B53" s="107"/>
      <c r="C53" s="84"/>
      <c r="D53" s="50"/>
      <c r="E53" s="107"/>
      <c r="F53" s="50"/>
      <c r="G53" s="107"/>
      <c r="H53" s="50"/>
      <c r="I53" s="107"/>
      <c r="J53" s="50"/>
      <c r="K53" s="84"/>
    </row>
    <row r="54" customFormat="false" ht="15" hidden="false" customHeight="false" outlineLevel="0" collapsed="false">
      <c r="A54" s="48"/>
      <c r="B54" s="48"/>
      <c r="C54" s="48"/>
      <c r="D54" s="2"/>
      <c r="E54" s="48"/>
      <c r="F54" s="2"/>
      <c r="G54" s="48"/>
      <c r="H54" s="2"/>
      <c r="I54" s="48"/>
      <c r="J54" s="2"/>
      <c r="K54" s="48"/>
    </row>
    <row r="55" customFormat="false" ht="18.75" hidden="false" customHeight="false" outlineLevel="0" collapsed="false">
      <c r="A55" s="839" t="s">
        <v>661</v>
      </c>
      <c r="B55" s="132"/>
      <c r="C55" s="132"/>
      <c r="D55" s="193"/>
      <c r="E55" s="132"/>
      <c r="F55" s="193"/>
      <c r="G55" s="132"/>
      <c r="H55" s="193"/>
      <c r="I55" s="132"/>
      <c r="J55" s="193"/>
      <c r="K55" s="133"/>
    </row>
    <row r="56" customFormat="false" ht="15" hidden="false" customHeight="false" outlineLevel="0" collapsed="false">
      <c r="A56" s="52"/>
      <c r="B56" s="48"/>
      <c r="C56" s="565"/>
      <c r="D56" s="2"/>
      <c r="E56" s="564"/>
      <c r="F56" s="2"/>
      <c r="G56" s="564"/>
      <c r="H56" s="2"/>
      <c r="I56" s="564"/>
      <c r="J56" s="2"/>
      <c r="K56" s="565"/>
    </row>
    <row r="57" customFormat="false" ht="15" hidden="false" customHeight="false" outlineLevel="0" collapsed="false">
      <c r="A57" s="52" t="s">
        <v>662</v>
      </c>
      <c r="B57" s="48"/>
      <c r="C57" s="951"/>
      <c r="D57" s="996"/>
      <c r="E57" s="925" t="n">
        <f aca="false">C57</f>
        <v>0</v>
      </c>
      <c r="F57" s="996"/>
      <c r="G57" s="925" t="n">
        <f aca="false">C57</f>
        <v>0</v>
      </c>
      <c r="H57" s="996"/>
      <c r="I57" s="925" t="n">
        <f aca="false">C57</f>
        <v>0</v>
      </c>
      <c r="J57" s="996"/>
      <c r="K57" s="924" t="n">
        <f aca="false">C57</f>
        <v>0</v>
      </c>
    </row>
    <row r="58" customFormat="false" ht="15" hidden="false" customHeight="false" outlineLevel="0" collapsed="false">
      <c r="A58" s="52" t="s">
        <v>663</v>
      </c>
      <c r="B58" s="48"/>
      <c r="C58" s="1162" t="n">
        <v>0</v>
      </c>
      <c r="D58" s="1163"/>
      <c r="E58" s="1162" t="n">
        <v>0</v>
      </c>
      <c r="F58" s="1163"/>
      <c r="G58" s="1162" t="n">
        <v>0</v>
      </c>
      <c r="H58" s="1163"/>
      <c r="I58" s="1162" t="n">
        <v>0</v>
      </c>
      <c r="J58" s="1163"/>
      <c r="K58" s="1162" t="n">
        <v>0</v>
      </c>
    </row>
    <row r="59" customFormat="false" ht="15" hidden="false" customHeight="false" outlineLevel="0" collapsed="false">
      <c r="A59" s="52" t="s">
        <v>470</v>
      </c>
      <c r="B59" s="48"/>
      <c r="C59" s="1162" t="n">
        <v>0</v>
      </c>
      <c r="D59" s="1163"/>
      <c r="E59" s="1162" t="n">
        <v>0</v>
      </c>
      <c r="F59" s="1163"/>
      <c r="G59" s="1162" t="n">
        <v>0</v>
      </c>
      <c r="H59" s="1163"/>
      <c r="I59" s="1162" t="n">
        <v>0</v>
      </c>
      <c r="J59" s="1163"/>
      <c r="K59" s="1162" t="n">
        <v>0</v>
      </c>
    </row>
    <row r="60" customFormat="false" ht="15" hidden="false" customHeight="false" outlineLevel="0" collapsed="false">
      <c r="A60" s="52" t="s">
        <v>472</v>
      </c>
      <c r="B60" s="48"/>
      <c r="C60" s="1164" t="n">
        <f aca="false">C58*C59</f>
        <v>0</v>
      </c>
      <c r="D60" s="1105"/>
      <c r="E60" s="910" t="n">
        <f aca="false">E58*E59</f>
        <v>0</v>
      </c>
      <c r="F60" s="1105"/>
      <c r="G60" s="910" t="n">
        <f aca="false">G58*G59</f>
        <v>0</v>
      </c>
      <c r="H60" s="1105"/>
      <c r="I60" s="910" t="n">
        <f aca="false">I58*I59</f>
        <v>0</v>
      </c>
      <c r="J60" s="1105"/>
      <c r="K60" s="1164" t="n">
        <f aca="false">K58*K59</f>
        <v>0</v>
      </c>
    </row>
    <row r="61" customFormat="false" ht="15" hidden="false" customHeight="false" outlineLevel="0" collapsed="false">
      <c r="A61" s="52" t="s">
        <v>664</v>
      </c>
      <c r="B61" s="48"/>
      <c r="C61" s="875" t="n">
        <f aca="false">+C57*C60</f>
        <v>0</v>
      </c>
      <c r="D61" s="876"/>
      <c r="E61" s="876" t="n">
        <f aca="false">+E57*E60</f>
        <v>0</v>
      </c>
      <c r="F61" s="876"/>
      <c r="G61" s="876" t="n">
        <f aca="false">+G57*G60</f>
        <v>0</v>
      </c>
      <c r="H61" s="876"/>
      <c r="I61" s="876" t="n">
        <f aca="false">+I57*I60</f>
        <v>0</v>
      </c>
      <c r="J61" s="876"/>
      <c r="K61" s="875" t="n">
        <f aca="false">+K57*K60</f>
        <v>0</v>
      </c>
    </row>
    <row r="62" customFormat="false" ht="15" hidden="false" customHeight="false" outlineLevel="0" collapsed="false">
      <c r="A62" s="52" t="s">
        <v>665</v>
      </c>
      <c r="B62" s="48"/>
      <c r="C62" s="1165" t="n">
        <f aca="false">+IF(C61=0,0,C16/C61)</f>
        <v>0</v>
      </c>
      <c r="D62" s="1166"/>
      <c r="E62" s="1165" t="n">
        <f aca="false">+IF(E61=0,0,E17/E61)</f>
        <v>0</v>
      </c>
      <c r="F62" s="1166"/>
      <c r="G62" s="1165" t="n">
        <f aca="false">+IF(G61=0,0,G17/G61)</f>
        <v>0</v>
      </c>
      <c r="H62" s="1166"/>
      <c r="I62" s="1165" t="n">
        <f aca="false">+IF(I61=0,0,I17/I61)</f>
        <v>0</v>
      </c>
      <c r="J62" s="1166"/>
      <c r="K62" s="1165" t="n">
        <f aca="false">+IF(K61=0,0,K17/K61)</f>
        <v>0</v>
      </c>
    </row>
    <row r="63" customFormat="false" ht="15" hidden="false" customHeight="false" outlineLevel="0" collapsed="false">
      <c r="A63" s="52" t="s">
        <v>666</v>
      </c>
      <c r="B63" s="48"/>
      <c r="C63" s="1165" t="n">
        <f aca="false">+IF(C61=0,0,C18/C61)</f>
        <v>0</v>
      </c>
      <c r="D63" s="1166"/>
      <c r="E63" s="1165" t="n">
        <f aca="false">+IF(E61=0,0,E18/E61)</f>
        <v>0</v>
      </c>
      <c r="F63" s="1166"/>
      <c r="G63" s="1165" t="n">
        <f aca="false">+IF(G61=0,0,G18/G61)</f>
        <v>0</v>
      </c>
      <c r="H63" s="1166"/>
      <c r="I63" s="1165" t="n">
        <f aca="false">+IF(I61=0,0,I18/I61)</f>
        <v>0</v>
      </c>
      <c r="J63" s="1166"/>
      <c r="K63" s="1165" t="n">
        <f aca="false">+IF(K61=0,0,K18/K61)</f>
        <v>0</v>
      </c>
    </row>
    <row r="64" customFormat="false" ht="15" hidden="false" customHeight="false" outlineLevel="0" collapsed="false">
      <c r="A64" s="82"/>
      <c r="B64" s="107"/>
      <c r="C64" s="84"/>
      <c r="D64" s="107"/>
      <c r="E64" s="107"/>
      <c r="F64" s="107"/>
      <c r="G64" s="107"/>
      <c r="H64" s="107"/>
      <c r="I64" s="107"/>
      <c r="J64" s="107"/>
      <c r="K64" s="84"/>
    </row>
    <row r="65" customFormat="false" ht="18.75" hidden="false" customHeight="false" outlineLevel="0" collapsed="false">
      <c r="A65" s="839" t="s">
        <v>667</v>
      </c>
      <c r="B65" s="132"/>
      <c r="C65" s="132"/>
      <c r="D65" s="132"/>
      <c r="E65" s="132"/>
      <c r="F65" s="132"/>
      <c r="G65" s="132"/>
      <c r="H65" s="132"/>
      <c r="I65" s="132"/>
      <c r="J65" s="132"/>
      <c r="K65" s="133"/>
    </row>
    <row r="66" customFormat="false" ht="15" hidden="false" customHeight="false" outlineLevel="0" collapsed="false">
      <c r="A66" s="506"/>
      <c r="B66" s="257"/>
      <c r="C66" s="260"/>
      <c r="D66" s="257"/>
      <c r="E66" s="257"/>
      <c r="F66" s="257"/>
      <c r="G66" s="257"/>
      <c r="H66" s="13"/>
      <c r="I66" s="257"/>
      <c r="J66" s="13"/>
      <c r="K66" s="260"/>
    </row>
    <row r="67" customFormat="false" ht="15" hidden="false" customHeight="false" outlineLevel="0" collapsed="false">
      <c r="A67" s="52" t="s">
        <v>665</v>
      </c>
      <c r="B67" s="48"/>
      <c r="C67" s="1054" t="n">
        <v>0</v>
      </c>
      <c r="D67" s="1051"/>
      <c r="E67" s="1055" t="n">
        <v>0</v>
      </c>
      <c r="F67" s="1051"/>
      <c r="G67" s="1055" t="n">
        <v>0</v>
      </c>
      <c r="H67" s="1051"/>
      <c r="I67" s="1055" t="n">
        <v>0</v>
      </c>
      <c r="J67" s="1051"/>
      <c r="K67" s="1054" t="n">
        <v>0</v>
      </c>
    </row>
    <row r="68" customFormat="false" ht="15" hidden="false" customHeight="false" outlineLevel="0" collapsed="false">
      <c r="A68" s="52" t="s">
        <v>668</v>
      </c>
      <c r="B68" s="48"/>
      <c r="C68" s="1054" t="n">
        <v>0</v>
      </c>
      <c r="D68" s="1051"/>
      <c r="E68" s="1055" t="n">
        <v>0</v>
      </c>
      <c r="F68" s="1051"/>
      <c r="G68" s="1055" t="n">
        <v>0</v>
      </c>
      <c r="H68" s="1051"/>
      <c r="I68" s="1055" t="n">
        <v>0</v>
      </c>
      <c r="J68" s="1051"/>
      <c r="K68" s="1054" t="n">
        <v>0</v>
      </c>
    </row>
    <row r="69" customFormat="false" ht="15" hidden="false" customHeight="false" outlineLevel="0" collapsed="false">
      <c r="A69" s="52" t="s">
        <v>669</v>
      </c>
      <c r="B69" s="48"/>
      <c r="C69" s="1054" t="n">
        <v>0</v>
      </c>
      <c r="D69" s="1051"/>
      <c r="E69" s="1055" t="n">
        <v>0</v>
      </c>
      <c r="F69" s="1051"/>
      <c r="G69" s="1055" t="n">
        <v>0</v>
      </c>
      <c r="H69" s="1051"/>
      <c r="I69" s="1055" t="n">
        <v>0</v>
      </c>
      <c r="J69" s="1051"/>
      <c r="K69" s="1054" t="n">
        <v>0</v>
      </c>
    </row>
    <row r="70" customFormat="false" ht="15" hidden="false" customHeight="false" outlineLevel="0" collapsed="false">
      <c r="A70" s="52" t="s">
        <v>670</v>
      </c>
      <c r="B70" s="48"/>
      <c r="C70" s="1054" t="n">
        <v>0</v>
      </c>
      <c r="D70" s="1051"/>
      <c r="E70" s="1055" t="n">
        <v>0</v>
      </c>
      <c r="F70" s="1051"/>
      <c r="G70" s="1055" t="n">
        <v>0</v>
      </c>
      <c r="H70" s="1051"/>
      <c r="I70" s="1055" t="n">
        <v>0</v>
      </c>
      <c r="J70" s="1051"/>
      <c r="K70" s="1054" t="n">
        <v>0</v>
      </c>
    </row>
    <row r="71" customFormat="false" ht="15" hidden="false" customHeight="false" outlineLevel="0" collapsed="false">
      <c r="A71" s="562" t="s">
        <v>293</v>
      </c>
      <c r="B71" s="67"/>
      <c r="C71" s="1061" t="n">
        <f aca="false">SUM(C67:C70)</f>
        <v>0</v>
      </c>
      <c r="D71" s="1167"/>
      <c r="E71" s="1061" t="n">
        <f aca="false">SUM(E67:E70)</f>
        <v>0</v>
      </c>
      <c r="F71" s="1167"/>
      <c r="G71" s="1061" t="n">
        <f aca="false">SUM(G67:G70)</f>
        <v>0</v>
      </c>
      <c r="H71" s="1167"/>
      <c r="I71" s="1061" t="n">
        <f aca="false">SUM(I67:I70)</f>
        <v>0</v>
      </c>
      <c r="J71" s="1167"/>
      <c r="K71" s="1061" t="n">
        <f aca="false">SUM(K67:K70)</f>
        <v>0</v>
      </c>
    </row>
    <row r="72" customFormat="false" ht="15" hidden="false" customHeight="false" outlineLevel="0" collapsed="false">
      <c r="A72" s="82"/>
      <c r="B72" s="107"/>
      <c r="C72" s="84"/>
      <c r="D72" s="107"/>
      <c r="E72" s="107"/>
      <c r="F72" s="50"/>
      <c r="G72" s="107"/>
      <c r="H72" s="107"/>
      <c r="I72" s="107"/>
      <c r="J72" s="107"/>
      <c r="K72" s="84"/>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6.xml><?xml version="1.0" encoding="utf-8"?>
<worksheet xmlns="http://schemas.openxmlformats.org/spreadsheetml/2006/main" xmlns:r="http://schemas.openxmlformats.org/officeDocument/2006/relationships">
  <sheetPr filterMode="false">
    <tabColor rgb="FFC0C0C0"/>
    <pageSetUpPr fitToPage="true"/>
  </sheetPr>
  <dimension ref="A1:V113"/>
  <sheetViews>
    <sheetView showFormulas="false" showGridLines="false" showRowColHeaders="true" showZeros="true" rightToLeft="false" tabSelected="true" showOutlineSymbols="true" defaultGridColor="true" view="normal" topLeftCell="A1" colorId="64" zoomScale="80" zoomScaleNormal="80" zoomScalePageLayoutView="100" workbookViewId="0">
      <pane xSplit="0" ySplit="5" topLeftCell="A12" activePane="bottomLeft" state="frozen"/>
      <selection pane="topLeft" activeCell="A1" activeCellId="0" sqref="A1"/>
      <selection pane="bottomLeft" activeCell="C23" activeCellId="0" sqref="C23"/>
    </sheetView>
  </sheetViews>
  <sheetFormatPr defaultRowHeight="15" zeroHeight="true" outlineLevelRow="0" outlineLevelCol="0"/>
  <cols>
    <col collapsed="false" customWidth="true" hidden="false" outlineLevel="0" max="1" min="1" style="4" width="22.86"/>
    <col collapsed="false" customWidth="true" hidden="false" outlineLevel="0" max="2" min="2" style="4" width="14.01"/>
    <col collapsed="false" customWidth="true" hidden="false" outlineLevel="0" max="3" min="3" style="4" width="13.86"/>
    <col collapsed="false" customWidth="true" hidden="false" outlineLevel="0" max="4" min="4" style="4" width="14.01"/>
    <col collapsed="false" customWidth="true" hidden="false" outlineLevel="0" max="5" min="5" style="4" width="17"/>
    <col collapsed="false" customWidth="true" hidden="false" outlineLevel="0" max="6" min="6" style="4" width="12.71"/>
    <col collapsed="false" customWidth="true" hidden="false" outlineLevel="0" max="7" min="7" style="4" width="15.42"/>
    <col collapsed="false" customWidth="true" hidden="false" outlineLevel="0" max="8" min="8" style="4" width="12.71"/>
    <col collapsed="false" customWidth="true" hidden="false" outlineLevel="0" max="9" min="9" style="4" width="14.28"/>
    <col collapsed="false" customWidth="true" hidden="false" outlineLevel="0" max="10" min="10" style="4" width="12.71"/>
    <col collapsed="false" customWidth="true" hidden="false" outlineLevel="0" max="11" min="11" style="4" width="13.86"/>
    <col collapsed="false" customWidth="true" hidden="false" outlineLevel="0" max="12" min="12" style="22" width="1.42"/>
    <col collapsed="false" customWidth="true" hidden="true" outlineLevel="0" max="13" min="13" style="4" width="12.42"/>
    <col collapsed="false" customWidth="true" hidden="true" outlineLevel="0" max="14" min="14" style="4" width="9.14"/>
    <col collapsed="false" customWidth="true" hidden="true" outlineLevel="0" max="15" min="15" style="4" width="11.86"/>
    <col collapsed="false" customWidth="true" hidden="true" outlineLevel="0" max="16" min="16" style="4" width="9.14"/>
    <col collapsed="false" customWidth="true" hidden="true" outlineLevel="0" max="17" min="17" style="4" width="11.86"/>
    <col collapsed="false" customWidth="true" hidden="true" outlineLevel="0" max="18" min="18" style="4" width="9.14"/>
    <col collapsed="false" customWidth="true" hidden="true" outlineLevel="0" max="19" min="19" style="4" width="11.86"/>
    <col collapsed="false" customWidth="true" hidden="true" outlineLevel="0" max="20" min="20" style="4" width="9.14"/>
    <col collapsed="false" customWidth="true" hidden="true" outlineLevel="0" max="21" min="21" style="4" width="11.86"/>
    <col collapsed="false" customWidth="true" hidden="true" outlineLevel="0" max="1025" min="22" style="4" width="9.14"/>
  </cols>
  <sheetData>
    <row r="1" customFormat="false" ht="28.5" hidden="false" customHeight="false" outlineLevel="0" collapsed="false">
      <c r="A1" s="113" t="s">
        <v>525</v>
      </c>
      <c r="B1" s="114"/>
      <c r="C1" s="114"/>
      <c r="D1" s="114"/>
      <c r="E1" s="114"/>
      <c r="F1" s="114"/>
      <c r="G1" s="114"/>
      <c r="H1" s="114"/>
      <c r="I1" s="114"/>
      <c r="J1" s="114"/>
      <c r="K1" s="115" t="s">
        <v>671</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851" t="str">
        <f aca="false">'Reference sheet'!C12</f>
        <v>TEST</v>
      </c>
      <c r="C3" s="364"/>
      <c r="E3" s="367" t="s">
        <v>46</v>
      </c>
      <c r="F3" s="852" t="n">
        <f aca="false">'Reference sheet'!C15</f>
        <v>1</v>
      </c>
      <c r="G3" s="853" t="s">
        <v>49</v>
      </c>
      <c r="H3" s="1168" t="str">
        <f aca="false">'Reference sheet'!C17</f>
        <v>July</v>
      </c>
      <c r="I3" s="854" t="n">
        <f aca="false">'Reference sheet'!D17</f>
        <v>2018</v>
      </c>
      <c r="J3" s="365" t="s">
        <v>527</v>
      </c>
      <c r="K3" s="855" t="str">
        <f aca="false">'7.1 Dealer area'!K3</f>
        <v>EUR</v>
      </c>
    </row>
    <row r="4" customFormat="false" ht="15" hidden="false" customHeight="false" outlineLevel="0" collapsed="false">
      <c r="A4" s="52"/>
      <c r="B4" s="129"/>
      <c r="C4" s="48"/>
      <c r="D4" s="48"/>
      <c r="E4" s="48"/>
      <c r="F4" s="48"/>
      <c r="G4" s="130"/>
      <c r="H4" s="48"/>
      <c r="I4" s="48"/>
      <c r="J4" s="48"/>
      <c r="K4" s="939"/>
    </row>
    <row r="5" customFormat="false" ht="15" hidden="false" customHeight="false" outlineLevel="0" collapsed="false">
      <c r="A5" s="52"/>
      <c r="B5" s="129"/>
      <c r="C5" s="1169" t="n">
        <f aca="false">'7.1 Dealer area'!C5</f>
        <v>2019</v>
      </c>
      <c r="D5" s="67"/>
      <c r="E5" s="1170" t="n">
        <f aca="false">+'7.1 Dealer area'!E5</f>
        <v>2020</v>
      </c>
      <c r="F5" s="861"/>
      <c r="G5" s="1170" t="n">
        <f aca="false">+'7.1 Dealer area'!G5</f>
        <v>2021</v>
      </c>
      <c r="H5" s="862"/>
      <c r="I5" s="1170" t="n">
        <f aca="false">+'7.1 Dealer area'!I5</f>
        <v>2022</v>
      </c>
      <c r="J5" s="862"/>
      <c r="K5" s="1170" t="n">
        <f aca="false">+'7.1 Dealer area'!K5</f>
        <v>2023</v>
      </c>
    </row>
    <row r="6" s="281" customFormat="true" ht="18.75" hidden="false" customHeight="false" outlineLevel="0" collapsed="false">
      <c r="A6" s="839" t="s">
        <v>672</v>
      </c>
      <c r="B6" s="132"/>
      <c r="C6" s="132"/>
      <c r="D6" s="132"/>
      <c r="E6" s="132"/>
      <c r="F6" s="132"/>
      <c r="G6" s="132"/>
      <c r="H6" s="132"/>
      <c r="I6" s="132"/>
      <c r="J6" s="132"/>
      <c r="K6" s="133"/>
      <c r="L6" s="22"/>
    </row>
    <row r="7" customFormat="false" ht="18" hidden="false" customHeight="false" outlineLevel="0" collapsed="false">
      <c r="A7" s="1171" t="s">
        <v>673</v>
      </c>
      <c r="B7" s="964"/>
      <c r="C7" s="964"/>
      <c r="D7" s="964"/>
      <c r="E7" s="964"/>
      <c r="F7" s="964"/>
      <c r="G7" s="964"/>
      <c r="H7" s="964"/>
      <c r="I7" s="964"/>
      <c r="J7" s="964"/>
      <c r="K7" s="965"/>
    </row>
    <row r="8" customFormat="false" ht="15" hidden="false" customHeight="false" outlineLevel="0" collapsed="false">
      <c r="A8" s="562"/>
      <c r="B8" s="1172"/>
      <c r="C8" s="1173"/>
      <c r="D8" s="1172"/>
      <c r="E8" s="862"/>
      <c r="F8" s="1172"/>
      <c r="G8" s="862"/>
      <c r="H8" s="1172"/>
      <c r="I8" s="862"/>
      <c r="J8" s="1172"/>
      <c r="K8" s="1174"/>
    </row>
    <row r="9" customFormat="false" ht="15" hidden="false" customHeight="false" outlineLevel="0" collapsed="false">
      <c r="A9" s="562" t="s">
        <v>674</v>
      </c>
      <c r="B9" s="1172" t="s">
        <v>675</v>
      </c>
      <c r="C9" s="1175"/>
      <c r="D9" s="1172" t="s">
        <v>675</v>
      </c>
      <c r="E9" s="862"/>
      <c r="F9" s="1172" t="s">
        <v>675</v>
      </c>
      <c r="G9" s="862"/>
      <c r="H9" s="1172" t="s">
        <v>675</v>
      </c>
      <c r="I9" s="862"/>
      <c r="J9" s="1172" t="s">
        <v>675</v>
      </c>
      <c r="K9" s="1174"/>
    </row>
    <row r="10" customFormat="false" ht="15" hidden="false" customHeight="false" outlineLevel="0" collapsed="false">
      <c r="A10" s="52" t="s">
        <v>165</v>
      </c>
      <c r="B10" s="952" t="n">
        <v>0</v>
      </c>
      <c r="C10" s="924" t="n">
        <f aca="false">C28</f>
        <v>-1</v>
      </c>
      <c r="D10" s="952" t="n">
        <f aca="false">B10</f>
        <v>0</v>
      </c>
      <c r="E10" s="925" t="n">
        <f aca="false">E28</f>
        <v>-1</v>
      </c>
      <c r="F10" s="952" t="n">
        <f aca="false">D10</f>
        <v>0</v>
      </c>
      <c r="G10" s="925" t="n">
        <f aca="false">G28</f>
        <v>-1</v>
      </c>
      <c r="H10" s="952" t="n">
        <f aca="false">F10</f>
        <v>0</v>
      </c>
      <c r="I10" s="925" t="n">
        <f aca="false">I28</f>
        <v>-1</v>
      </c>
      <c r="J10" s="952" t="n">
        <f aca="false">H10</f>
        <v>0</v>
      </c>
      <c r="K10" s="924" t="n">
        <f aca="false">K28</f>
        <v>-1</v>
      </c>
    </row>
    <row r="11" customFormat="false" ht="15" hidden="false" customHeight="false" outlineLevel="0" collapsed="false">
      <c r="A11" s="52" t="s">
        <v>166</v>
      </c>
      <c r="B11" s="952" t="n">
        <v>0</v>
      </c>
      <c r="C11" s="924" t="n">
        <f aca="false">C29</f>
        <v>-1</v>
      </c>
      <c r="D11" s="952" t="n">
        <f aca="false">B11</f>
        <v>0</v>
      </c>
      <c r="E11" s="925" t="n">
        <f aca="false">E29</f>
        <v>-1</v>
      </c>
      <c r="F11" s="952" t="n">
        <f aca="false">D11</f>
        <v>0</v>
      </c>
      <c r="G11" s="925" t="n">
        <f aca="false">G29</f>
        <v>-1</v>
      </c>
      <c r="H11" s="952" t="n">
        <f aca="false">F11</f>
        <v>0</v>
      </c>
      <c r="I11" s="925" t="n">
        <f aca="false">I29</f>
        <v>-1</v>
      </c>
      <c r="J11" s="952" t="n">
        <f aca="false">H11</f>
        <v>0</v>
      </c>
      <c r="K11" s="924" t="n">
        <f aca="false">K29</f>
        <v>-1</v>
      </c>
    </row>
    <row r="12" customFormat="false" ht="15" hidden="false" customHeight="false" outlineLevel="0" collapsed="false">
      <c r="A12" s="52" t="s">
        <v>167</v>
      </c>
      <c r="B12" s="952" t="n">
        <v>0</v>
      </c>
      <c r="C12" s="924" t="n">
        <f aca="false">C30</f>
        <v>-1</v>
      </c>
      <c r="D12" s="952" t="n">
        <f aca="false">B12</f>
        <v>0</v>
      </c>
      <c r="E12" s="925" t="n">
        <f aca="false">E30</f>
        <v>-1</v>
      </c>
      <c r="F12" s="952" t="n">
        <f aca="false">D12</f>
        <v>0</v>
      </c>
      <c r="G12" s="925" t="n">
        <f aca="false">G30</f>
        <v>-1</v>
      </c>
      <c r="H12" s="952" t="n">
        <f aca="false">F12</f>
        <v>0</v>
      </c>
      <c r="I12" s="925" t="n">
        <f aca="false">I30</f>
        <v>-1</v>
      </c>
      <c r="J12" s="952" t="n">
        <f aca="false">H12</f>
        <v>0</v>
      </c>
      <c r="K12" s="924" t="n">
        <f aca="false">K30</f>
        <v>-1</v>
      </c>
    </row>
    <row r="13" customFormat="false" ht="15" hidden="false" customHeight="false" outlineLevel="0" collapsed="false">
      <c r="A13" s="52" t="s">
        <v>168</v>
      </c>
      <c r="B13" s="952" t="n">
        <v>0</v>
      </c>
      <c r="C13" s="924" t="n">
        <f aca="false">C31</f>
        <v>49999</v>
      </c>
      <c r="D13" s="952" t="n">
        <f aca="false">B13</f>
        <v>0</v>
      </c>
      <c r="E13" s="925" t="n">
        <f aca="false">E31</f>
        <v>49999</v>
      </c>
      <c r="F13" s="952" t="n">
        <f aca="false">D13</f>
        <v>0</v>
      </c>
      <c r="G13" s="925" t="n">
        <f aca="false">G31</f>
        <v>49999</v>
      </c>
      <c r="H13" s="952" t="n">
        <f aca="false">F13</f>
        <v>0</v>
      </c>
      <c r="I13" s="925" t="n">
        <f aca="false">I31</f>
        <v>49999</v>
      </c>
      <c r="J13" s="952" t="n">
        <f aca="false">H13</f>
        <v>0</v>
      </c>
      <c r="K13" s="924" t="n">
        <f aca="false">K31</f>
        <v>49999</v>
      </c>
    </row>
    <row r="14" customFormat="false" ht="15" hidden="false" customHeight="false" outlineLevel="0" collapsed="false">
      <c r="A14" s="52" t="s">
        <v>169</v>
      </c>
      <c r="B14" s="952" t="n">
        <v>0</v>
      </c>
      <c r="C14" s="924" t="n">
        <f aca="false">C32</f>
        <v>-1</v>
      </c>
      <c r="D14" s="952" t="n">
        <v>0</v>
      </c>
      <c r="E14" s="925" t="n">
        <f aca="false">E32</f>
        <v>-1</v>
      </c>
      <c r="F14" s="952" t="n">
        <v>0</v>
      </c>
      <c r="G14" s="925" t="n">
        <f aca="false">G32</f>
        <v>-1</v>
      </c>
      <c r="H14" s="952" t="n">
        <v>0</v>
      </c>
      <c r="I14" s="925" t="n">
        <f aca="false">I32</f>
        <v>-1</v>
      </c>
      <c r="J14" s="952" t="n">
        <v>0</v>
      </c>
      <c r="K14" s="924" t="n">
        <f aca="false">K32</f>
        <v>-1</v>
      </c>
    </row>
    <row r="15" customFormat="false" ht="15" hidden="false" customHeight="false" outlineLevel="0" collapsed="false">
      <c r="A15" s="52" t="s">
        <v>170</v>
      </c>
      <c r="B15" s="952" t="n">
        <v>0</v>
      </c>
      <c r="C15" s="924" t="n">
        <f aca="false">C33</f>
        <v>-1</v>
      </c>
      <c r="D15" s="952" t="n">
        <v>0</v>
      </c>
      <c r="E15" s="925" t="n">
        <f aca="false">E33</f>
        <v>-1</v>
      </c>
      <c r="F15" s="952" t="n">
        <f aca="false">D15</f>
        <v>0</v>
      </c>
      <c r="G15" s="925" t="n">
        <f aca="false">G33</f>
        <v>-1</v>
      </c>
      <c r="H15" s="952" t="n">
        <f aca="false">F15</f>
        <v>0</v>
      </c>
      <c r="I15" s="925" t="n">
        <f aca="false">I33</f>
        <v>-1</v>
      </c>
      <c r="J15" s="952" t="n">
        <f aca="false">H15</f>
        <v>0</v>
      </c>
      <c r="K15" s="924" t="n">
        <f aca="false">K33</f>
        <v>-1</v>
      </c>
    </row>
    <row r="16" customFormat="false" ht="15" hidden="false" customHeight="false" outlineLevel="0" collapsed="false">
      <c r="A16" s="52"/>
      <c r="B16" s="1176"/>
      <c r="C16" s="924"/>
      <c r="D16" s="955"/>
      <c r="E16" s="925"/>
      <c r="F16" s="955"/>
      <c r="G16" s="925" t="n">
        <f aca="false">G34</f>
        <v>0</v>
      </c>
      <c r="H16" s="955"/>
      <c r="I16" s="925" t="n">
        <f aca="false">I34</f>
        <v>0</v>
      </c>
      <c r="J16" s="955"/>
      <c r="K16" s="924"/>
    </row>
    <row r="17" customFormat="false" ht="15" hidden="false" customHeight="false" outlineLevel="0" collapsed="false">
      <c r="A17" s="562" t="s">
        <v>676</v>
      </c>
      <c r="B17" s="1177"/>
      <c r="C17" s="924"/>
      <c r="D17" s="955"/>
      <c r="E17" s="925"/>
      <c r="F17" s="955"/>
      <c r="G17" s="925" t="n">
        <f aca="false">G35</f>
        <v>0</v>
      </c>
      <c r="H17" s="955"/>
      <c r="I17" s="925" t="n">
        <f aca="false">I35</f>
        <v>0</v>
      </c>
      <c r="J17" s="955"/>
      <c r="K17" s="924"/>
    </row>
    <row r="18" customFormat="false" ht="15" hidden="false" customHeight="false" outlineLevel="0" collapsed="false">
      <c r="A18" s="52" t="s">
        <v>165</v>
      </c>
      <c r="B18" s="1178" t="n">
        <v>0</v>
      </c>
      <c r="C18" s="924" t="n">
        <f aca="false">C36</f>
        <v>-1</v>
      </c>
      <c r="D18" s="952" t="n">
        <f aca="false">B18</f>
        <v>0</v>
      </c>
      <c r="E18" s="925" t="n">
        <f aca="false">E36</f>
        <v>-1</v>
      </c>
      <c r="F18" s="952" t="n">
        <f aca="false">D18</f>
        <v>0</v>
      </c>
      <c r="G18" s="925" t="n">
        <f aca="false">G36</f>
        <v>-1</v>
      </c>
      <c r="H18" s="952" t="n">
        <f aca="false">F18</f>
        <v>0</v>
      </c>
      <c r="I18" s="925" t="n">
        <f aca="false">I36</f>
        <v>-1</v>
      </c>
      <c r="J18" s="952" t="n">
        <f aca="false">H18</f>
        <v>0</v>
      </c>
      <c r="K18" s="924" t="n">
        <f aca="false">K36</f>
        <v>-1</v>
      </c>
    </row>
    <row r="19" customFormat="false" ht="15" hidden="false" customHeight="false" outlineLevel="0" collapsed="false">
      <c r="A19" s="52" t="s">
        <v>166</v>
      </c>
      <c r="B19" s="1178" t="n">
        <v>0</v>
      </c>
      <c r="C19" s="924" t="n">
        <f aca="false">C37</f>
        <v>-1</v>
      </c>
      <c r="D19" s="952" t="n">
        <f aca="false">B19</f>
        <v>0</v>
      </c>
      <c r="E19" s="925" t="n">
        <f aca="false">E37</f>
        <v>-1</v>
      </c>
      <c r="F19" s="952" t="n">
        <f aca="false">D19</f>
        <v>0</v>
      </c>
      <c r="G19" s="925" t="n">
        <f aca="false">G37</f>
        <v>-1</v>
      </c>
      <c r="H19" s="952" t="n">
        <f aca="false">F19</f>
        <v>0</v>
      </c>
      <c r="I19" s="925" t="n">
        <f aca="false">I37</f>
        <v>-1</v>
      </c>
      <c r="J19" s="952" t="n">
        <f aca="false">H19</f>
        <v>0</v>
      </c>
      <c r="K19" s="924" t="n">
        <f aca="false">K37</f>
        <v>-1</v>
      </c>
    </row>
    <row r="20" customFormat="false" ht="15" hidden="false" customHeight="false" outlineLevel="0" collapsed="false">
      <c r="A20" s="52" t="s">
        <v>167</v>
      </c>
      <c r="B20" s="1178" t="n">
        <v>0</v>
      </c>
      <c r="C20" s="924" t="n">
        <f aca="false">C38</f>
        <v>-1</v>
      </c>
      <c r="D20" s="952" t="n">
        <f aca="false">B20</f>
        <v>0</v>
      </c>
      <c r="E20" s="925" t="n">
        <f aca="false">E38</f>
        <v>-1</v>
      </c>
      <c r="F20" s="952" t="n">
        <f aca="false">D20</f>
        <v>0</v>
      </c>
      <c r="G20" s="925" t="n">
        <f aca="false">G38</f>
        <v>-1</v>
      </c>
      <c r="H20" s="952" t="n">
        <f aca="false">F20</f>
        <v>0</v>
      </c>
      <c r="I20" s="925" t="n">
        <f aca="false">I38</f>
        <v>-1</v>
      </c>
      <c r="J20" s="952" t="n">
        <f aca="false">H20</f>
        <v>0</v>
      </c>
      <c r="K20" s="924" t="n">
        <f aca="false">K38</f>
        <v>-1</v>
      </c>
    </row>
    <row r="21" customFormat="false" ht="15" hidden="false" customHeight="false" outlineLevel="0" collapsed="false">
      <c r="A21" s="52" t="s">
        <v>168</v>
      </c>
      <c r="B21" s="1178" t="n">
        <v>0</v>
      </c>
      <c r="C21" s="924" t="n">
        <f aca="false">C39</f>
        <v>48499</v>
      </c>
      <c r="D21" s="952" t="n">
        <f aca="false">B21</f>
        <v>0</v>
      </c>
      <c r="E21" s="925" t="n">
        <f aca="false">E39</f>
        <v>48499</v>
      </c>
      <c r="F21" s="952" t="n">
        <f aca="false">D21</f>
        <v>0</v>
      </c>
      <c r="G21" s="925" t="n">
        <f aca="false">G39</f>
        <v>48499</v>
      </c>
      <c r="H21" s="952" t="n">
        <f aca="false">F21</f>
        <v>0</v>
      </c>
      <c r="I21" s="925" t="n">
        <f aca="false">I39</f>
        <v>48499</v>
      </c>
      <c r="J21" s="952" t="n">
        <f aca="false">H21</f>
        <v>0</v>
      </c>
      <c r="K21" s="924" t="n">
        <f aca="false">K39</f>
        <v>48499</v>
      </c>
    </row>
    <row r="22" customFormat="false" ht="30" hidden="false" customHeight="true" outlineLevel="0" collapsed="false">
      <c r="A22" s="52" t="s">
        <v>169</v>
      </c>
      <c r="B22" s="1178" t="n">
        <v>0</v>
      </c>
      <c r="C22" s="924" t="n">
        <f aca="false">C40</f>
        <v>-1</v>
      </c>
      <c r="D22" s="952" t="n">
        <v>0</v>
      </c>
      <c r="E22" s="925" t="n">
        <f aca="false">E40</f>
        <v>-1</v>
      </c>
      <c r="F22" s="952" t="n">
        <v>0</v>
      </c>
      <c r="G22" s="925" t="n">
        <f aca="false">G40</f>
        <v>-1</v>
      </c>
      <c r="H22" s="952" t="n">
        <v>0</v>
      </c>
      <c r="I22" s="925" t="n">
        <f aca="false">I40</f>
        <v>-1</v>
      </c>
      <c r="J22" s="952" t="n">
        <v>0</v>
      </c>
      <c r="K22" s="924" t="n">
        <f aca="false">K40</f>
        <v>-1</v>
      </c>
    </row>
    <row r="23" customFormat="false" ht="30.9" hidden="false" customHeight="true" outlineLevel="0" collapsed="false">
      <c r="A23" s="52" t="s">
        <v>170</v>
      </c>
      <c r="B23" s="1178" t="n">
        <v>0</v>
      </c>
      <c r="C23" s="924" t="n">
        <f aca="false">C41</f>
        <v>-1</v>
      </c>
      <c r="D23" s="952" t="n">
        <v>0</v>
      </c>
      <c r="E23" s="925" t="n">
        <f aca="false">E41</f>
        <v>-1</v>
      </c>
      <c r="F23" s="952" t="n">
        <f aca="false">D23</f>
        <v>0</v>
      </c>
      <c r="G23" s="925" t="n">
        <f aca="false">G41</f>
        <v>-1</v>
      </c>
      <c r="H23" s="952" t="n">
        <f aca="false">F23</f>
        <v>0</v>
      </c>
      <c r="I23" s="925" t="n">
        <f aca="false">I41</f>
        <v>-1</v>
      </c>
      <c r="J23" s="952" t="n">
        <f aca="false">H23</f>
        <v>0</v>
      </c>
      <c r="K23" s="924" t="n">
        <f aca="false">K41</f>
        <v>-1</v>
      </c>
    </row>
    <row r="24" customFormat="false" ht="12.8" hidden="false" customHeight="false" outlineLevel="0" collapsed="false">
      <c r="A24" s="52"/>
      <c r="B24" s="1179"/>
      <c r="C24" s="926"/>
      <c r="D24" s="955"/>
      <c r="E24" s="925"/>
      <c r="F24" s="955"/>
      <c r="G24" s="925"/>
      <c r="H24" s="955"/>
      <c r="I24" s="925"/>
      <c r="J24" s="955"/>
      <c r="K24" s="924"/>
    </row>
    <row r="25" s="281" customFormat="true" ht="16.15" hidden="false" customHeight="false" outlineLevel="0" collapsed="false">
      <c r="A25" s="1171" t="s">
        <v>673</v>
      </c>
      <c r="B25" s="964"/>
      <c r="C25" s="964"/>
      <c r="D25" s="964"/>
      <c r="E25" s="964"/>
      <c r="F25" s="964"/>
      <c r="G25" s="964"/>
      <c r="H25" s="964"/>
      <c r="I25" s="964"/>
      <c r="J25" s="964"/>
      <c r="K25" s="965"/>
      <c r="L25" s="22"/>
    </row>
    <row r="26" s="273" customFormat="true" ht="12.8" hidden="false" customHeight="false" outlineLevel="0" collapsed="false">
      <c r="A26" s="562" t="s">
        <v>529</v>
      </c>
      <c r="B26" s="1180" t="n">
        <f aca="false">'9.0 Scenario''s'!D14</f>
        <v>1</v>
      </c>
      <c r="C26" s="1173"/>
      <c r="D26" s="1172"/>
      <c r="E26" s="862"/>
      <c r="F26" s="1172"/>
      <c r="G26" s="862"/>
      <c r="H26" s="1172"/>
      <c r="I26" s="862"/>
      <c r="J26" s="1172"/>
      <c r="K26" s="1174"/>
      <c r="L26" s="271"/>
    </row>
    <row r="27" s="273" customFormat="true" ht="12.8" hidden="false" customHeight="false" outlineLevel="0" collapsed="false">
      <c r="A27" s="1112" t="s">
        <v>674</v>
      </c>
      <c r="B27" s="295" t="s">
        <v>675</v>
      </c>
      <c r="C27" s="1181"/>
      <c r="D27" s="295" t="s">
        <v>675</v>
      </c>
      <c r="E27" s="1083"/>
      <c r="F27" s="295" t="s">
        <v>675</v>
      </c>
      <c r="G27" s="1083"/>
      <c r="H27" s="295" t="s">
        <v>675</v>
      </c>
      <c r="I27" s="1083"/>
      <c r="J27" s="295" t="s">
        <v>675</v>
      </c>
      <c r="K27" s="1182"/>
      <c r="L27" s="271"/>
    </row>
    <row r="28" customFormat="false" ht="18.75" hidden="false" customHeight="true" outlineLevel="0" collapsed="false">
      <c r="A28" s="1" t="s">
        <v>165</v>
      </c>
      <c r="B28" s="1183" t="n">
        <f aca="false">B10*$B$26</f>
        <v>0</v>
      </c>
      <c r="C28" s="868" t="n">
        <f aca="false">(1-$B28)*'7.2.1 Turnover Vehicles'!C10-('7.2.3 Turnover Service &amp; Body'!$B$24*'7.2.3 Turnover Service &amp; Body'!C$34)-'7.2.2 Turnover Parts'!$B$26</f>
        <v>-1</v>
      </c>
      <c r="D28" s="1183" t="n">
        <f aca="false">D10*$B$26</f>
        <v>0</v>
      </c>
      <c r="E28" s="869" t="n">
        <f aca="false">(1-D28)*'7.2.1 Turnover Vehicles'!E10-('7.2.3 Turnover Service &amp; Body'!$B$24*'7.2.3 Turnover Service &amp; Body'!E$34)-'7.2.2 Turnover Parts'!$B$26</f>
        <v>-1</v>
      </c>
      <c r="F28" s="1183" t="n">
        <f aca="false">F10*$B$26</f>
        <v>0</v>
      </c>
      <c r="G28" s="869" t="n">
        <f aca="false">(1-F28)*'7.2.1 Turnover Vehicles'!G10-('7.2.3 Turnover Service &amp; Body'!$B$24*'7.2.3 Turnover Service &amp; Body'!G$34)-'7.2.2 Turnover Parts'!$B$26</f>
        <v>-1</v>
      </c>
      <c r="H28" s="1183" t="n">
        <f aca="false">H10*$B$26</f>
        <v>0</v>
      </c>
      <c r="I28" s="869" t="n">
        <f aca="false">(1-H28)*'7.2.1 Turnover Vehicles'!I10-('7.2.3 Turnover Service &amp; Body'!$B$24*'7.2.3 Turnover Service &amp; Body'!I$34)-'7.2.2 Turnover Parts'!$B$26</f>
        <v>-1</v>
      </c>
      <c r="J28" s="1183" t="n">
        <f aca="false">J10*$B$26</f>
        <v>0</v>
      </c>
      <c r="K28" s="868" t="n">
        <f aca="false">(1-J28)*'7.2.1 Turnover Vehicles'!K10-('7.2.3 Turnover Service &amp; Body'!$B$24*'7.2.3 Turnover Service &amp; Body'!K$34)-'7.2.2 Turnover Parts'!$B$26</f>
        <v>-1</v>
      </c>
      <c r="N28" s="925"/>
      <c r="O28" s="48"/>
      <c r="P28" s="925"/>
      <c r="Q28" s="876"/>
      <c r="R28" s="925"/>
      <c r="S28" s="876"/>
      <c r="T28" s="925"/>
      <c r="U28" s="876"/>
      <c r="V28" s="925"/>
    </row>
    <row r="29" customFormat="false" ht="10.3" hidden="false" customHeight="true" outlineLevel="0" collapsed="false">
      <c r="A29" s="1" t="s">
        <v>166</v>
      </c>
      <c r="B29" s="1183" t="n">
        <f aca="false">B11*$B$26</f>
        <v>0</v>
      </c>
      <c r="C29" s="868" t="n">
        <f aca="false">(1-$B29)*'7.2.1 Turnover Vehicles'!C11-('7.2.3 Turnover Service &amp; Body'!$B$24*'7.2.3 Turnover Service &amp; Body'!C$34)-'7.2.2 Turnover Parts'!$B$26</f>
        <v>-1</v>
      </c>
      <c r="D29" s="1183" t="n">
        <f aca="false">D11*$B$26</f>
        <v>0</v>
      </c>
      <c r="E29" s="869" t="n">
        <f aca="false">(1-D29)*'7.2.1 Turnover Vehicles'!E11-('7.2.3 Turnover Service &amp; Body'!$B$24*'7.2.3 Turnover Service &amp; Body'!E$34)-'7.2.2 Turnover Parts'!$B$26</f>
        <v>-1</v>
      </c>
      <c r="F29" s="1183" t="n">
        <f aca="false">F11*$B$26</f>
        <v>0</v>
      </c>
      <c r="G29" s="869" t="n">
        <f aca="false">(1-F29)*'7.2.1 Turnover Vehicles'!G11-('7.2.3 Turnover Service &amp; Body'!$B$24*'7.2.3 Turnover Service &amp; Body'!G$34)-'7.2.2 Turnover Parts'!$B$26</f>
        <v>-1</v>
      </c>
      <c r="H29" s="1183" t="n">
        <f aca="false">H11*$B$26</f>
        <v>0</v>
      </c>
      <c r="I29" s="869" t="n">
        <f aca="false">(1-H29)*'7.2.1 Turnover Vehicles'!I11-('7.2.3 Turnover Service &amp; Body'!$B$24*'7.2.3 Turnover Service &amp; Body'!I$34)-'7.2.2 Turnover Parts'!$B$26</f>
        <v>-1</v>
      </c>
      <c r="J29" s="1183" t="n">
        <f aca="false">J11*$B$26</f>
        <v>0</v>
      </c>
      <c r="K29" s="868" t="n">
        <f aca="false">(1-J29)*'7.2.1 Turnover Vehicles'!K11-('7.2.3 Turnover Service &amp; Body'!$B$24*'7.2.3 Turnover Service &amp; Body'!K$34)-'7.2.2 Turnover Parts'!$B$26</f>
        <v>-1</v>
      </c>
      <c r="N29" s="925"/>
      <c r="O29" s="48"/>
      <c r="P29" s="925"/>
      <c r="Q29" s="876"/>
      <c r="R29" s="925"/>
      <c r="S29" s="876"/>
      <c r="T29" s="925"/>
      <c r="U29" s="876"/>
      <c r="V29" s="925"/>
    </row>
    <row r="30" customFormat="false" ht="11.2" hidden="false" customHeight="true" outlineLevel="0" collapsed="false">
      <c r="A30" s="1" t="s">
        <v>167</v>
      </c>
      <c r="B30" s="1183" t="n">
        <f aca="false">B12*$B$26</f>
        <v>0</v>
      </c>
      <c r="C30" s="868" t="n">
        <f aca="false">(1-$B30)*'7.2.1 Turnover Vehicles'!C12-('7.2.3 Turnover Service &amp; Body'!$B$24*'7.2.3 Turnover Service &amp; Body'!C$34)-'7.2.2 Turnover Parts'!$B$26</f>
        <v>-1</v>
      </c>
      <c r="D30" s="1183" t="n">
        <f aca="false">D12*$B$26</f>
        <v>0</v>
      </c>
      <c r="E30" s="869" t="n">
        <f aca="false">(1-D30)*'7.2.1 Turnover Vehicles'!E12-('7.2.3 Turnover Service &amp; Body'!$B$24*'7.2.3 Turnover Service &amp; Body'!E$34)-'7.2.2 Turnover Parts'!$B$26</f>
        <v>-1</v>
      </c>
      <c r="F30" s="1183" t="n">
        <f aca="false">F12*$B$26</f>
        <v>0</v>
      </c>
      <c r="G30" s="869" t="n">
        <f aca="false">(1-F30)*'7.2.1 Turnover Vehicles'!G12-('7.2.3 Turnover Service &amp; Body'!$B$24*'7.2.3 Turnover Service &amp; Body'!G$34)-'7.2.2 Turnover Parts'!$B$26</f>
        <v>-1</v>
      </c>
      <c r="H30" s="1183" t="n">
        <f aca="false">H12*$B$26</f>
        <v>0</v>
      </c>
      <c r="I30" s="869" t="n">
        <f aca="false">(1-H30)*'7.2.1 Turnover Vehicles'!I12-('7.2.3 Turnover Service &amp; Body'!$B$24*'7.2.3 Turnover Service &amp; Body'!I$34)-'7.2.2 Turnover Parts'!$B$26</f>
        <v>-1</v>
      </c>
      <c r="J30" s="1183" t="n">
        <f aca="false">J12*$B$26</f>
        <v>0</v>
      </c>
      <c r="K30" s="868" t="n">
        <f aca="false">(1-J30)*'7.2.1 Turnover Vehicles'!K12-('7.2.3 Turnover Service &amp; Body'!$B$24*'7.2.3 Turnover Service &amp; Body'!K$34)-'7.2.2 Turnover Parts'!$B$26</f>
        <v>-1</v>
      </c>
      <c r="N30" s="925"/>
      <c r="O30" s="48"/>
      <c r="P30" s="925"/>
      <c r="Q30" s="876"/>
      <c r="R30" s="925"/>
      <c r="S30" s="876"/>
      <c r="T30" s="925"/>
      <c r="U30" s="876"/>
      <c r="V30" s="925"/>
    </row>
    <row r="31" customFormat="false" ht="9.35" hidden="false" customHeight="true" outlineLevel="0" collapsed="false">
      <c r="A31" s="1" t="s">
        <v>168</v>
      </c>
      <c r="B31" s="1183" t="n">
        <f aca="false">B13*$B$26</f>
        <v>0</v>
      </c>
      <c r="C31" s="868" t="n">
        <f aca="false">(1-$B31)*'7.2.1 Turnover Vehicles'!C13-('7.2.3 Turnover Service &amp; Body'!$B$24*'7.2.3 Turnover Service &amp; Body'!C$34)-'7.2.2 Turnover Parts'!$B$26</f>
        <v>49999</v>
      </c>
      <c r="D31" s="1183" t="n">
        <f aca="false">D13*$B$26</f>
        <v>0</v>
      </c>
      <c r="E31" s="869" t="n">
        <f aca="false">(1-D31)*'7.2.1 Turnover Vehicles'!E13-('7.2.3 Turnover Service &amp; Body'!$B$24*'7.2.3 Turnover Service &amp; Body'!E$34)-'7.2.2 Turnover Parts'!$B$26</f>
        <v>49999</v>
      </c>
      <c r="F31" s="1183" t="n">
        <f aca="false">F13*$B$26</f>
        <v>0</v>
      </c>
      <c r="G31" s="869" t="n">
        <f aca="false">(1-F31)*'7.2.1 Turnover Vehicles'!G13-('7.2.3 Turnover Service &amp; Body'!$B$24*'7.2.3 Turnover Service &amp; Body'!G$34)-'7.2.2 Turnover Parts'!$B$26</f>
        <v>49999</v>
      </c>
      <c r="H31" s="1183" t="n">
        <f aca="false">H13*$B$26</f>
        <v>0</v>
      </c>
      <c r="I31" s="869" t="n">
        <f aca="false">(1-H31)*'7.2.1 Turnover Vehicles'!I13-('7.2.3 Turnover Service &amp; Body'!$B$24*'7.2.3 Turnover Service &amp; Body'!I$34)-'7.2.2 Turnover Parts'!$B$26</f>
        <v>49999</v>
      </c>
      <c r="J31" s="1183" t="n">
        <f aca="false">J13*$B$26</f>
        <v>0</v>
      </c>
      <c r="K31" s="868" t="n">
        <f aca="false">(1-J31)*'7.2.1 Turnover Vehicles'!K13-('7.2.3 Turnover Service &amp; Body'!$B$24*'7.2.3 Turnover Service &amp; Body'!K$34)-'7.2.2 Turnover Parts'!$B$26</f>
        <v>49999</v>
      </c>
      <c r="N31" s="925"/>
      <c r="O31" s="48"/>
      <c r="P31" s="925"/>
      <c r="Q31" s="876"/>
      <c r="R31" s="925"/>
      <c r="S31" s="876"/>
      <c r="T31" s="925"/>
      <c r="U31" s="876"/>
      <c r="V31" s="925"/>
    </row>
    <row r="32" customFormat="false" ht="10.3" hidden="false" customHeight="true" outlineLevel="0" collapsed="false">
      <c r="A32" s="1" t="s">
        <v>169</v>
      </c>
      <c r="B32" s="1183" t="n">
        <f aca="false">B14*$B$26</f>
        <v>0</v>
      </c>
      <c r="C32" s="868" t="n">
        <f aca="false">(1-$B32)*'7.2.1 Turnover Vehicles'!C14-('7.2.3 Turnover Service &amp; Body'!$B$24*'7.2.3 Turnover Service &amp; Body'!C$34)-'7.2.2 Turnover Parts'!$B$26</f>
        <v>-1</v>
      </c>
      <c r="D32" s="1183" t="n">
        <f aca="false">D14*$B$26</f>
        <v>0</v>
      </c>
      <c r="E32" s="869" t="n">
        <f aca="false">(1-D32)*'7.2.1 Turnover Vehicles'!E14-('7.2.3 Turnover Service &amp; Body'!$B$24*'7.2.3 Turnover Service &amp; Body'!E$34)-'7.2.2 Turnover Parts'!$B$26</f>
        <v>-1</v>
      </c>
      <c r="F32" s="1183" t="n">
        <f aca="false">F14*$B$26</f>
        <v>0</v>
      </c>
      <c r="G32" s="869" t="n">
        <f aca="false">(1-F32)*'7.2.1 Turnover Vehicles'!G14-('7.2.3 Turnover Service &amp; Body'!$B$24*'7.2.3 Turnover Service &amp; Body'!G$34)-'7.2.2 Turnover Parts'!$B$26</f>
        <v>-1</v>
      </c>
      <c r="H32" s="1183" t="n">
        <f aca="false">H14*$B$26</f>
        <v>0</v>
      </c>
      <c r="I32" s="869" t="n">
        <f aca="false">(1-H32)*'7.2.1 Turnover Vehicles'!I14-('7.2.3 Turnover Service &amp; Body'!$B$24*'7.2.3 Turnover Service &amp; Body'!I$34)-'7.2.2 Turnover Parts'!$B$26</f>
        <v>-1</v>
      </c>
      <c r="J32" s="1183" t="n">
        <f aca="false">J14*$B$26</f>
        <v>0</v>
      </c>
      <c r="K32" s="868" t="n">
        <f aca="false">(1-J32)*'7.2.1 Turnover Vehicles'!K14-('7.2.3 Turnover Service &amp; Body'!$B$24*'7.2.3 Turnover Service &amp; Body'!K$34)-'7.2.2 Turnover Parts'!$B$26</f>
        <v>-1</v>
      </c>
      <c r="N32" s="925"/>
      <c r="O32" s="48"/>
      <c r="P32" s="925"/>
      <c r="Q32" s="876"/>
      <c r="R32" s="925"/>
      <c r="S32" s="876"/>
      <c r="T32" s="925"/>
      <c r="U32" s="876"/>
      <c r="V32" s="925"/>
    </row>
    <row r="33" customFormat="false" ht="12.8" hidden="false" customHeight="false" outlineLevel="0" collapsed="false">
      <c r="A33" s="1" t="s">
        <v>170</v>
      </c>
      <c r="B33" s="1183" t="n">
        <f aca="false">B15*$B$26</f>
        <v>0</v>
      </c>
      <c r="C33" s="868" t="n">
        <f aca="false">(1-$B33)*'7.2.1 Turnover Vehicles'!C15-('7.2.3 Turnover Service &amp; Body'!$B$24*'7.2.3 Turnover Service &amp; Body'!C$34)-'7.2.2 Turnover Parts'!$B$26</f>
        <v>-1</v>
      </c>
      <c r="D33" s="1183" t="n">
        <f aca="false">D15*$B$26</f>
        <v>0</v>
      </c>
      <c r="E33" s="869" t="n">
        <f aca="false">(1-D33)*'7.2.1 Turnover Vehicles'!E15-('7.2.3 Turnover Service &amp; Body'!$B$24*'7.2.3 Turnover Service &amp; Body'!E$34)-'7.2.2 Turnover Parts'!$B$26</f>
        <v>-1</v>
      </c>
      <c r="F33" s="1183" t="n">
        <f aca="false">F15*$B$26</f>
        <v>0</v>
      </c>
      <c r="G33" s="869" t="n">
        <f aca="false">(1-F33)*'7.2.1 Turnover Vehicles'!G15-('7.2.3 Turnover Service &amp; Body'!$B$24*'7.2.3 Turnover Service &amp; Body'!G$34)-'7.2.2 Turnover Parts'!$B$26</f>
        <v>-1</v>
      </c>
      <c r="H33" s="1183" t="n">
        <f aca="false">H15*$B$26</f>
        <v>0</v>
      </c>
      <c r="I33" s="869" t="n">
        <f aca="false">(1-H33)*'7.2.1 Turnover Vehicles'!I15-('7.2.3 Turnover Service &amp; Body'!$B$24*'7.2.3 Turnover Service &amp; Body'!I$34)-'7.2.2 Turnover Parts'!$B$26</f>
        <v>-1</v>
      </c>
      <c r="J33" s="1183" t="n">
        <f aca="false">J15*$B$26</f>
        <v>0</v>
      </c>
      <c r="K33" s="868" t="n">
        <f aca="false">(1-J33)*'7.2.1 Turnover Vehicles'!K15-('7.2.3 Turnover Service &amp; Body'!$B$24*'7.2.3 Turnover Service &amp; Body'!K$34)-'7.2.2 Turnover Parts'!$B$26</f>
        <v>-1</v>
      </c>
      <c r="N33" s="925"/>
      <c r="O33" s="48"/>
      <c r="P33" s="925"/>
      <c r="Q33" s="876"/>
      <c r="R33" s="925"/>
      <c r="S33" s="876"/>
      <c r="T33" s="925"/>
      <c r="U33" s="876"/>
      <c r="V33" s="925"/>
    </row>
    <row r="34" customFormat="false" ht="12.8" hidden="false" customHeight="false" outlineLevel="0" collapsed="false">
      <c r="A34" s="1"/>
      <c r="B34" s="1184"/>
      <c r="C34" s="868"/>
      <c r="D34" s="1105"/>
      <c r="E34" s="869"/>
      <c r="F34" s="1105"/>
      <c r="G34" s="869"/>
      <c r="H34" s="1105"/>
      <c r="I34" s="869"/>
      <c r="J34" s="1105"/>
      <c r="K34" s="868"/>
      <c r="N34" s="925"/>
      <c r="O34" s="48"/>
      <c r="P34" s="925"/>
      <c r="Q34" s="876"/>
      <c r="R34" s="925"/>
      <c r="S34" s="876"/>
      <c r="T34" s="925"/>
      <c r="U34" s="876"/>
      <c r="V34" s="925"/>
    </row>
    <row r="35" customFormat="false" ht="12.8" hidden="false" customHeight="false" outlineLevel="0" collapsed="false">
      <c r="A35" s="1112" t="s">
        <v>676</v>
      </c>
      <c r="B35" s="46"/>
      <c r="C35" s="868"/>
      <c r="D35" s="1105"/>
      <c r="E35" s="869"/>
      <c r="F35" s="1105"/>
      <c r="G35" s="869"/>
      <c r="H35" s="1105"/>
      <c r="I35" s="869"/>
      <c r="J35" s="1105"/>
      <c r="K35" s="868"/>
      <c r="N35" s="925"/>
      <c r="O35" s="48"/>
      <c r="P35" s="925"/>
      <c r="Q35" s="876"/>
      <c r="R35" s="925"/>
      <c r="S35" s="876"/>
      <c r="T35" s="925"/>
      <c r="U35" s="876"/>
      <c r="V35" s="925"/>
    </row>
    <row r="36" customFormat="false" ht="12.8" hidden="false" customHeight="false" outlineLevel="0" collapsed="false">
      <c r="A36" s="1" t="s">
        <v>165</v>
      </c>
      <c r="B36" s="1183" t="n">
        <f aca="false">B18*$B$26</f>
        <v>0</v>
      </c>
      <c r="C36" s="868" t="n">
        <f aca="false">(1-$B36)*'7.2.1 Turnover Vehicles'!C21-('7.2.3 Turnover Service &amp; Body'!$B$24*'7.2.3 Turnover Service &amp; Body'!C$34)-'7.2.2 Turnover Parts'!$B$26</f>
        <v>-1</v>
      </c>
      <c r="D36" s="1183" t="n">
        <f aca="false">D18*$B$26</f>
        <v>0</v>
      </c>
      <c r="E36" s="869" t="n">
        <f aca="false">(1-D36)*'7.2.1 Turnover Vehicles'!E21-('7.2.3 Turnover Service &amp; Body'!$B$24*'7.2.3 Turnover Service &amp; Body'!E$34)-'7.2.2 Turnover Parts'!$B$26</f>
        <v>-1</v>
      </c>
      <c r="F36" s="1183" t="n">
        <f aca="false">F18*$B$26</f>
        <v>0</v>
      </c>
      <c r="G36" s="869" t="n">
        <f aca="false">(1-F36)*'7.2.1 Turnover Vehicles'!G21-('7.2.3 Turnover Service &amp; Body'!$B$24*'7.2.3 Turnover Service &amp; Body'!G$34)-'7.2.2 Turnover Parts'!$B$26</f>
        <v>-1</v>
      </c>
      <c r="H36" s="1183" t="n">
        <f aca="false">H18*$B$26</f>
        <v>0</v>
      </c>
      <c r="I36" s="869" t="n">
        <f aca="false">(1-H36)*'7.2.1 Turnover Vehicles'!I21-('7.2.3 Turnover Service &amp; Body'!$B$24*'7.2.3 Turnover Service &amp; Body'!I$34)-'7.2.2 Turnover Parts'!$B$26</f>
        <v>-1</v>
      </c>
      <c r="J36" s="1183" t="n">
        <f aca="false">J18*$B$26</f>
        <v>0</v>
      </c>
      <c r="K36" s="868" t="n">
        <f aca="false">(1-J36)*'7.2.1 Turnover Vehicles'!K21-('7.2.3 Turnover Service &amp; Body'!$B$24*'7.2.3 Turnover Service &amp; Body'!K$34)-'7.2.2 Turnover Parts'!$B$26</f>
        <v>-1</v>
      </c>
      <c r="N36" s="925"/>
      <c r="O36" s="48"/>
      <c r="P36" s="925"/>
      <c r="Q36" s="876"/>
      <c r="R36" s="925"/>
      <c r="S36" s="876"/>
      <c r="T36" s="925"/>
      <c r="U36" s="876"/>
      <c r="V36" s="925"/>
    </row>
    <row r="37" customFormat="false" ht="12.8" hidden="false" customHeight="false" outlineLevel="0" collapsed="false">
      <c r="A37" s="1" t="s">
        <v>166</v>
      </c>
      <c r="B37" s="1183" t="n">
        <f aca="false">B19*$B$26</f>
        <v>0</v>
      </c>
      <c r="C37" s="868" t="n">
        <f aca="false">(1-$B37)*'7.2.1 Turnover Vehicles'!C22-('7.2.3 Turnover Service &amp; Body'!$B$24*'7.2.3 Turnover Service &amp; Body'!C$34)-'7.2.2 Turnover Parts'!$B$26</f>
        <v>-1</v>
      </c>
      <c r="D37" s="1183" t="n">
        <f aca="false">D19*$B$26</f>
        <v>0</v>
      </c>
      <c r="E37" s="869" t="n">
        <f aca="false">(1-D37)*'7.2.1 Turnover Vehicles'!E22-('7.2.3 Turnover Service &amp; Body'!$B$24*'7.2.3 Turnover Service &amp; Body'!E$34)-'7.2.2 Turnover Parts'!$B$26</f>
        <v>-1</v>
      </c>
      <c r="F37" s="1183" t="n">
        <f aca="false">F19*$B$26</f>
        <v>0</v>
      </c>
      <c r="G37" s="869" t="n">
        <f aca="false">(1-F37)*'7.2.1 Turnover Vehicles'!G22-('7.2.3 Turnover Service &amp; Body'!$B$24*'7.2.3 Turnover Service &amp; Body'!G$34)-'7.2.2 Turnover Parts'!$B$26</f>
        <v>-1</v>
      </c>
      <c r="H37" s="1183" t="n">
        <f aca="false">H19*$B$26</f>
        <v>0</v>
      </c>
      <c r="I37" s="869" t="n">
        <f aca="false">(1-H37)*'7.2.1 Turnover Vehicles'!I22-('7.2.3 Turnover Service &amp; Body'!$B$24*'7.2.3 Turnover Service &amp; Body'!I$34)-'7.2.2 Turnover Parts'!$B$26</f>
        <v>-1</v>
      </c>
      <c r="J37" s="1183" t="n">
        <f aca="false">J19*$B$26</f>
        <v>0</v>
      </c>
      <c r="K37" s="868" t="n">
        <f aca="false">(1-J37)*'7.2.1 Turnover Vehicles'!K22-('7.2.3 Turnover Service &amp; Body'!$B$24*'7.2.3 Turnover Service &amp; Body'!K$34)-'7.2.2 Turnover Parts'!$B$26</f>
        <v>-1</v>
      </c>
      <c r="N37" s="925"/>
      <c r="O37" s="48"/>
      <c r="P37" s="925"/>
      <c r="Q37" s="876"/>
      <c r="R37" s="925"/>
      <c r="S37" s="876"/>
      <c r="T37" s="925"/>
      <c r="U37" s="876"/>
      <c r="V37" s="925"/>
    </row>
    <row r="38" customFormat="false" ht="12.8" hidden="false" customHeight="false" outlineLevel="0" collapsed="false">
      <c r="A38" s="1" t="s">
        <v>167</v>
      </c>
      <c r="B38" s="1183" t="n">
        <f aca="false">B20*$B$26</f>
        <v>0</v>
      </c>
      <c r="C38" s="868" t="n">
        <f aca="false">(1-$B38)*'7.2.1 Turnover Vehicles'!C23-('7.2.3 Turnover Service &amp; Body'!$B$24*'7.2.3 Turnover Service &amp; Body'!C$34)-'7.2.2 Turnover Parts'!$B$26</f>
        <v>-1</v>
      </c>
      <c r="D38" s="1183" t="n">
        <f aca="false">D20*$B$26</f>
        <v>0</v>
      </c>
      <c r="E38" s="869" t="n">
        <f aca="false">(1-D38)*'7.2.1 Turnover Vehicles'!E23-('7.2.3 Turnover Service &amp; Body'!$B$24*'7.2.3 Turnover Service &amp; Body'!E$34)-'7.2.2 Turnover Parts'!$B$26</f>
        <v>-1</v>
      </c>
      <c r="F38" s="1183" t="n">
        <f aca="false">F20*$B$26</f>
        <v>0</v>
      </c>
      <c r="G38" s="869" t="n">
        <f aca="false">(1-F38)*'7.2.1 Turnover Vehicles'!G23-('7.2.3 Turnover Service &amp; Body'!$B$24*'7.2.3 Turnover Service &amp; Body'!G$34)-'7.2.2 Turnover Parts'!$B$26</f>
        <v>-1</v>
      </c>
      <c r="H38" s="1183" t="n">
        <f aca="false">H20*$B$26</f>
        <v>0</v>
      </c>
      <c r="I38" s="869" t="n">
        <f aca="false">(1-H38)*'7.2.1 Turnover Vehicles'!I23-('7.2.3 Turnover Service &amp; Body'!$B$24*'7.2.3 Turnover Service &amp; Body'!I$34)-'7.2.2 Turnover Parts'!$B$26</f>
        <v>-1</v>
      </c>
      <c r="J38" s="1183" t="n">
        <f aca="false">J20*$B$26</f>
        <v>0</v>
      </c>
      <c r="K38" s="868" t="n">
        <f aca="false">(1-J38)*'7.2.1 Turnover Vehicles'!K23-('7.2.3 Turnover Service &amp; Body'!$B$24*'7.2.3 Turnover Service &amp; Body'!K$34)-'7.2.2 Turnover Parts'!$B$26</f>
        <v>-1</v>
      </c>
      <c r="N38" s="925"/>
      <c r="O38" s="48"/>
      <c r="P38" s="925"/>
      <c r="Q38" s="876"/>
      <c r="R38" s="925"/>
      <c r="S38" s="876"/>
      <c r="T38" s="925"/>
      <c r="U38" s="876"/>
      <c r="V38" s="925"/>
    </row>
    <row r="39" customFormat="false" ht="12.8" hidden="false" customHeight="false" outlineLevel="0" collapsed="false">
      <c r="A39" s="1" t="s">
        <v>168</v>
      </c>
      <c r="B39" s="1183" t="n">
        <f aca="false">B21*$B$26</f>
        <v>0</v>
      </c>
      <c r="C39" s="868" t="n">
        <f aca="false">(1-$B39)*'7.2.1 Turnover Vehicles'!C24-('7.2.3 Turnover Service &amp; Body'!$B$24*'7.2.3 Turnover Service &amp; Body'!C$34)-'7.2.2 Turnover Parts'!$B$26</f>
        <v>48499</v>
      </c>
      <c r="D39" s="1183" t="n">
        <f aca="false">D21*$B$26</f>
        <v>0</v>
      </c>
      <c r="E39" s="869" t="n">
        <f aca="false">(1-D39)*'7.2.1 Turnover Vehicles'!E24-('7.2.3 Turnover Service &amp; Body'!$B$24*'7.2.3 Turnover Service &amp; Body'!E$34)-'7.2.2 Turnover Parts'!$B$26</f>
        <v>48499</v>
      </c>
      <c r="F39" s="1183" t="n">
        <f aca="false">F21*$B$26</f>
        <v>0</v>
      </c>
      <c r="G39" s="869" t="n">
        <f aca="false">(1-F39)*'7.2.1 Turnover Vehicles'!G24-('7.2.3 Turnover Service &amp; Body'!$B$24*'7.2.3 Turnover Service &amp; Body'!G$34)-'7.2.2 Turnover Parts'!$B$26</f>
        <v>48499</v>
      </c>
      <c r="H39" s="1183" t="n">
        <f aca="false">H21*$B$26</f>
        <v>0</v>
      </c>
      <c r="I39" s="869" t="n">
        <f aca="false">(1-H39)*'7.2.1 Turnover Vehicles'!I24-('7.2.3 Turnover Service &amp; Body'!$B$24*'7.2.3 Turnover Service &amp; Body'!I$34)-'7.2.2 Turnover Parts'!$B$26</f>
        <v>48499</v>
      </c>
      <c r="J39" s="1183" t="n">
        <f aca="false">J21*$B$26</f>
        <v>0</v>
      </c>
      <c r="K39" s="868" t="n">
        <f aca="false">(1-J39)*'7.2.1 Turnover Vehicles'!K24-('7.2.3 Turnover Service &amp; Body'!$B$24*'7.2.3 Turnover Service &amp; Body'!K$34)-'7.2.2 Turnover Parts'!$B$26</f>
        <v>48499</v>
      </c>
      <c r="N39" s="925"/>
      <c r="O39" s="48"/>
      <c r="P39" s="925"/>
      <c r="Q39" s="876"/>
      <c r="R39" s="925"/>
      <c r="S39" s="876"/>
      <c r="T39" s="925"/>
      <c r="U39" s="876"/>
      <c r="V39" s="925"/>
    </row>
    <row r="40" customFormat="false" ht="12.8" hidden="false" customHeight="false" outlineLevel="0" collapsed="false">
      <c r="A40" s="1" t="s">
        <v>169</v>
      </c>
      <c r="B40" s="1183" t="n">
        <f aca="false">B22*$B$26</f>
        <v>0</v>
      </c>
      <c r="C40" s="868" t="n">
        <f aca="false">(1-$B40)*'7.2.1 Turnover Vehicles'!C25-('7.2.3 Turnover Service &amp; Body'!$B$24*'7.2.3 Turnover Service &amp; Body'!C$34)-'7.2.2 Turnover Parts'!$B$26</f>
        <v>-1</v>
      </c>
      <c r="D40" s="1183" t="n">
        <f aca="false">D22*$B$26</f>
        <v>0</v>
      </c>
      <c r="E40" s="869" t="n">
        <f aca="false">(1-D40)*'7.2.1 Turnover Vehicles'!E25-('7.2.3 Turnover Service &amp; Body'!$B$24*'7.2.3 Turnover Service &amp; Body'!E$34)-'7.2.2 Turnover Parts'!$B$26</f>
        <v>-1</v>
      </c>
      <c r="F40" s="1183" t="n">
        <f aca="false">F22*$B$26</f>
        <v>0</v>
      </c>
      <c r="G40" s="869" t="n">
        <f aca="false">(1-F40)*'7.2.1 Turnover Vehicles'!G25-('7.2.3 Turnover Service &amp; Body'!$B$24*'7.2.3 Turnover Service &amp; Body'!G$34)-'7.2.2 Turnover Parts'!$B$26</f>
        <v>-1</v>
      </c>
      <c r="H40" s="1183" t="n">
        <f aca="false">H22*$B$26</f>
        <v>0</v>
      </c>
      <c r="I40" s="869" t="n">
        <f aca="false">(1-H40)*'7.2.1 Turnover Vehicles'!I25-('7.2.3 Turnover Service &amp; Body'!$B$24*'7.2.3 Turnover Service &amp; Body'!I$34)-'7.2.2 Turnover Parts'!$B$26</f>
        <v>-1</v>
      </c>
      <c r="J40" s="1183" t="n">
        <f aca="false">J22*$B$26</f>
        <v>0</v>
      </c>
      <c r="K40" s="868" t="n">
        <f aca="false">(1-J40)*'7.2.1 Turnover Vehicles'!K25-('7.2.3 Turnover Service &amp; Body'!$B$24*'7.2.3 Turnover Service &amp; Body'!K$34)-'7.2.2 Turnover Parts'!$B$26</f>
        <v>-1</v>
      </c>
      <c r="N40" s="925"/>
      <c r="O40" s="48"/>
      <c r="P40" s="925"/>
      <c r="Q40" s="876"/>
      <c r="R40" s="925"/>
      <c r="S40" s="876"/>
      <c r="T40" s="925"/>
      <c r="U40" s="876"/>
      <c r="V40" s="925"/>
    </row>
    <row r="41" customFormat="false" ht="12.8" hidden="false" customHeight="false" outlineLevel="0" collapsed="false">
      <c r="A41" s="1" t="s">
        <v>170</v>
      </c>
      <c r="B41" s="1183" t="n">
        <f aca="false">B23*$B$26</f>
        <v>0</v>
      </c>
      <c r="C41" s="868" t="n">
        <f aca="false">(1-$B41)*'7.2.1 Turnover Vehicles'!C26-('7.2.3 Turnover Service &amp; Body'!$B$24*'7.2.3 Turnover Service &amp; Body'!C$34)-'7.2.2 Turnover Parts'!$B$26</f>
        <v>-1</v>
      </c>
      <c r="D41" s="1183" t="n">
        <f aca="false">D23*$B$26</f>
        <v>0</v>
      </c>
      <c r="E41" s="869" t="n">
        <f aca="false">(1-D41)*'7.2.1 Turnover Vehicles'!E26-('7.2.3 Turnover Service &amp; Body'!$B$24*'7.2.3 Turnover Service &amp; Body'!E$34)-'7.2.2 Turnover Parts'!$B$26</f>
        <v>-1</v>
      </c>
      <c r="F41" s="1183" t="n">
        <f aca="false">F23*$B$26</f>
        <v>0</v>
      </c>
      <c r="G41" s="869" t="n">
        <f aca="false">(1-F41)*'7.2.1 Turnover Vehicles'!G26-('7.2.3 Turnover Service &amp; Body'!$B$24*'7.2.3 Turnover Service &amp; Body'!G$34)-'7.2.2 Turnover Parts'!$B$26</f>
        <v>-1</v>
      </c>
      <c r="H41" s="1183" t="n">
        <f aca="false">H23*$B$26</f>
        <v>0</v>
      </c>
      <c r="I41" s="869" t="n">
        <f aca="false">(1-H41)*'7.2.1 Turnover Vehicles'!I26-('7.2.3 Turnover Service &amp; Body'!$B$24*'7.2.3 Turnover Service &amp; Body'!I$34)-'7.2.2 Turnover Parts'!$B$26</f>
        <v>-1</v>
      </c>
      <c r="J41" s="1183" t="n">
        <f aca="false">J23*$B$26</f>
        <v>0</v>
      </c>
      <c r="K41" s="868" t="n">
        <f aca="false">(1-J41)*'7.2.1 Turnover Vehicles'!K26-('7.2.3 Turnover Service &amp; Body'!$B$24*'7.2.3 Turnover Service &amp; Body'!K$34)-'7.2.2 Turnover Parts'!$B$26</f>
        <v>-1</v>
      </c>
      <c r="N41" s="925"/>
      <c r="O41" s="48"/>
      <c r="P41" s="925"/>
      <c r="Q41" s="876"/>
      <c r="R41" s="925"/>
      <c r="S41" s="876"/>
      <c r="T41" s="925"/>
      <c r="U41" s="876"/>
      <c r="V41" s="925"/>
    </row>
    <row r="42" customFormat="false" ht="12.8" hidden="false" customHeight="false" outlineLevel="0" collapsed="false">
      <c r="A42" s="1"/>
      <c r="B42" s="1184"/>
      <c r="C42" s="868"/>
      <c r="D42" s="2"/>
      <c r="E42" s="996"/>
      <c r="F42" s="996"/>
      <c r="G42" s="996"/>
      <c r="H42" s="996"/>
      <c r="I42" s="996"/>
      <c r="J42" s="996"/>
      <c r="K42" s="1103"/>
    </row>
    <row r="43" s="281" customFormat="true" ht="18" hidden="false" customHeight="false" outlineLevel="0" collapsed="false">
      <c r="A43" s="1171" t="s">
        <v>677</v>
      </c>
      <c r="B43" s="964"/>
      <c r="C43" s="964"/>
      <c r="D43" s="964"/>
      <c r="E43" s="964"/>
      <c r="F43" s="964"/>
      <c r="G43" s="964"/>
      <c r="H43" s="964"/>
      <c r="I43" s="964"/>
      <c r="J43" s="964"/>
      <c r="K43" s="965"/>
      <c r="L43" s="22"/>
    </row>
    <row r="44" customFormat="false" ht="15" hidden="false" customHeight="false" outlineLevel="0" collapsed="false">
      <c r="A44" s="1185"/>
      <c r="B44" s="1172"/>
      <c r="C44" s="849"/>
      <c r="D44" s="48"/>
      <c r="E44" s="1186"/>
      <c r="F44" s="858"/>
      <c r="G44" s="1186"/>
      <c r="H44" s="1186"/>
      <c r="I44" s="1186"/>
      <c r="J44" s="1186"/>
      <c r="K44" s="120"/>
    </row>
    <row r="45" customFormat="false" ht="15" hidden="false" customHeight="false" outlineLevel="0" collapsed="false">
      <c r="A45" s="1185"/>
      <c r="B45" s="1172" t="s">
        <v>675</v>
      </c>
      <c r="C45" s="849"/>
      <c r="D45" s="1172" t="s">
        <v>675</v>
      </c>
      <c r="E45" s="1186"/>
      <c r="F45" s="1172" t="s">
        <v>675</v>
      </c>
      <c r="G45" s="1186"/>
      <c r="H45" s="1172" t="s">
        <v>675</v>
      </c>
      <c r="I45" s="1186"/>
      <c r="J45" s="1172" t="s">
        <v>675</v>
      </c>
      <c r="K45" s="120"/>
    </row>
    <row r="46" customFormat="false" ht="15" hidden="false" customHeight="false" outlineLevel="0" collapsed="false">
      <c r="A46" s="1185" t="s">
        <v>678</v>
      </c>
      <c r="B46" s="1187" t="n">
        <v>0</v>
      </c>
      <c r="C46" s="1188" t="n">
        <f aca="false">(1-$B46)*'7.2.1 Turnover Vehicles'!C42-'7.2.2 Turnover Parts'!$B27-('7.2.3 Turnover Service &amp; Body'!$B25*'7.2.3 Turnover Service &amp; Body'!C34)</f>
        <v>0</v>
      </c>
      <c r="D46" s="1187" t="n">
        <f aca="false">B46</f>
        <v>0</v>
      </c>
      <c r="E46" s="1189" t="n">
        <f aca="false">(1-D46)*'7.2.1 Turnover Vehicles'!E42-'7.2.2 Turnover Parts'!$B27-('7.2.3 Turnover Service &amp; Body'!$B25*'7.2.3 Turnover Service &amp; Body'!E34)</f>
        <v>0</v>
      </c>
      <c r="F46" s="1187" t="n">
        <f aca="false">D46</f>
        <v>0</v>
      </c>
      <c r="G46" s="1189" t="n">
        <f aca="false">(1-F46)*'7.2.1 Turnover Vehicles'!G42-'7.2.2 Turnover Parts'!$B27-('7.2.3 Turnover Service &amp; Body'!$B25*'7.2.3 Turnover Service &amp; Body'!G34)</f>
        <v>0</v>
      </c>
      <c r="H46" s="1187" t="n">
        <f aca="false">F46</f>
        <v>0</v>
      </c>
      <c r="I46" s="1189" t="n">
        <f aca="false">(1-H46)*'7.2.1 Turnover Vehicles'!I42-'7.2.2 Turnover Parts'!$B27-('7.2.3 Turnover Service &amp; Body'!$B25*'7.2.3 Turnover Service &amp; Body'!I34)</f>
        <v>0</v>
      </c>
      <c r="J46" s="1187" t="n">
        <f aca="false">H46</f>
        <v>0</v>
      </c>
      <c r="K46" s="1188" t="n">
        <f aca="false">(1-J46)*'7.2.1 Turnover Vehicles'!K42-'7.2.2 Turnover Parts'!$B27-('7.2.3 Turnover Service &amp; Body'!$B25*'7.2.3 Turnover Service &amp; Body'!K34)</f>
        <v>0</v>
      </c>
    </row>
    <row r="47" customFormat="false" ht="15" hidden="false" customHeight="false" outlineLevel="0" collapsed="false">
      <c r="A47" s="1190"/>
      <c r="B47" s="1191"/>
      <c r="C47" s="1192"/>
      <c r="D47" s="967"/>
      <c r="E47" s="1193"/>
      <c r="F47" s="902"/>
      <c r="G47" s="1193"/>
      <c r="H47" s="1194"/>
      <c r="I47" s="1193"/>
      <c r="J47" s="1194"/>
      <c r="K47" s="1192"/>
    </row>
    <row r="48" customFormat="false" ht="18" hidden="false" customHeight="false" outlineLevel="0" collapsed="false">
      <c r="A48" s="1171" t="s">
        <v>679</v>
      </c>
      <c r="B48" s="964"/>
      <c r="C48" s="964"/>
      <c r="D48" s="964"/>
      <c r="E48" s="964"/>
      <c r="F48" s="964"/>
      <c r="G48" s="964"/>
      <c r="H48" s="964"/>
      <c r="I48" s="964"/>
      <c r="J48" s="964"/>
      <c r="K48" s="965"/>
    </row>
    <row r="49" customFormat="false" ht="15" hidden="false" customHeight="false" outlineLevel="0" collapsed="false">
      <c r="A49" s="1185"/>
      <c r="B49" s="1172"/>
      <c r="C49" s="1188"/>
      <c r="D49" s="876"/>
      <c r="E49" s="1189"/>
      <c r="F49" s="900"/>
      <c r="G49" s="1189"/>
      <c r="H49" s="957"/>
      <c r="I49" s="1189"/>
      <c r="J49" s="957"/>
      <c r="K49" s="1188"/>
    </row>
    <row r="50" customFormat="false" ht="15" hidden="false" customHeight="false" outlineLevel="0" collapsed="false">
      <c r="A50" s="1185"/>
      <c r="B50" s="1172" t="s">
        <v>675</v>
      </c>
      <c r="C50" s="1188"/>
      <c r="D50" s="1172" t="s">
        <v>675</v>
      </c>
      <c r="E50" s="1189"/>
      <c r="F50" s="1172" t="s">
        <v>675</v>
      </c>
      <c r="G50" s="1189"/>
      <c r="H50" s="1172" t="s">
        <v>675</v>
      </c>
      <c r="I50" s="1189"/>
      <c r="J50" s="1172" t="s">
        <v>675</v>
      </c>
      <c r="K50" s="1188"/>
    </row>
    <row r="51" customFormat="false" ht="15" hidden="false" customHeight="false" outlineLevel="0" collapsed="false">
      <c r="A51" s="1195" t="str">
        <f aca="false">IF('7.2.1 Turnover Vehicles'!A62 =""," ",'7.2.1 Turnover Vehicles'!A62)</f>
        <v>Turnover trailer</v>
      </c>
      <c r="B51" s="1178" t="n">
        <v>0</v>
      </c>
      <c r="C51" s="1188" t="n">
        <f aca="false">'7.2.1 Turnover Vehicles'!C62-('7.2.1 Turnover Vehicles'!C62*'7.3 Cost of sales'!$B51)</f>
        <v>0</v>
      </c>
      <c r="D51" s="1178" t="n">
        <f aca="false">B51</f>
        <v>0</v>
      </c>
      <c r="E51" s="1188" t="n">
        <f aca="false">'7.2.1 Turnover Vehicles'!E62-('7.2.1 Turnover Vehicles'!E62*'7.3 Cost of sales'!$B51)</f>
        <v>0</v>
      </c>
      <c r="F51" s="1178" t="n">
        <f aca="false">D51</f>
        <v>0</v>
      </c>
      <c r="G51" s="1188" t="n">
        <f aca="false">'7.2.1 Turnover Vehicles'!G62-('7.2.1 Turnover Vehicles'!G62*'7.3 Cost of sales'!$B51)</f>
        <v>0</v>
      </c>
      <c r="H51" s="1178" t="n">
        <f aca="false">F51</f>
        <v>0</v>
      </c>
      <c r="I51" s="1188" t="n">
        <f aca="false">'7.2.1 Turnover Vehicles'!I62-('7.2.1 Turnover Vehicles'!I62*'7.3 Cost of sales'!$B51)</f>
        <v>0</v>
      </c>
      <c r="J51" s="1178" t="n">
        <f aca="false">H51</f>
        <v>0</v>
      </c>
      <c r="K51" s="1188" t="n">
        <f aca="false">'7.2.1 Turnover Vehicles'!K62-('7.2.1 Turnover Vehicles'!K62*'7.3 Cost of sales'!$B51)</f>
        <v>0</v>
      </c>
    </row>
    <row r="52" customFormat="false" ht="15" hidden="false" customHeight="false" outlineLevel="0" collapsed="false">
      <c r="A52" s="1195" t="str">
        <f aca="false">IF('7.2.1 Turnover Vehicles'!A66 =""," ",'7.2.1 Turnover Vehicles'!A66)</f>
        <v>Turnover vans</v>
      </c>
      <c r="B52" s="1178" t="n">
        <v>0</v>
      </c>
      <c r="C52" s="1188" t="n">
        <f aca="false">'7.2.1 Turnover Vehicles'!C66-('7.2.1 Turnover Vehicles'!C66*'7.3 Cost of sales'!$B52)</f>
        <v>0</v>
      </c>
      <c r="D52" s="1178" t="n">
        <f aca="false">B52</f>
        <v>0</v>
      </c>
      <c r="E52" s="1188" t="n">
        <f aca="false">'7.2.1 Turnover Vehicles'!E66-('7.2.1 Turnover Vehicles'!E66*'7.3 Cost of sales'!$B52)</f>
        <v>0</v>
      </c>
      <c r="F52" s="1178" t="n">
        <f aca="false">D52</f>
        <v>0</v>
      </c>
      <c r="G52" s="1188" t="n">
        <f aca="false">'7.2.1 Turnover Vehicles'!G66-('7.2.1 Turnover Vehicles'!G66*'7.3 Cost of sales'!$B52)</f>
        <v>0</v>
      </c>
      <c r="H52" s="1178" t="n">
        <f aca="false">F52</f>
        <v>0</v>
      </c>
      <c r="I52" s="1188" t="n">
        <f aca="false">'7.2.1 Turnover Vehicles'!I66-('7.2.1 Turnover Vehicles'!I66*'7.3 Cost of sales'!$B52)</f>
        <v>0</v>
      </c>
      <c r="J52" s="1178" t="n">
        <f aca="false">H52</f>
        <v>0</v>
      </c>
      <c r="K52" s="1188" t="n">
        <f aca="false">'7.2.1 Turnover Vehicles'!K66-('7.2.1 Turnover Vehicles'!K66*'7.3 Cost of sales'!$B52)</f>
        <v>0</v>
      </c>
    </row>
    <row r="53" customFormat="false" ht="15" hidden="false" customHeight="false" outlineLevel="0" collapsed="false">
      <c r="A53" s="1195" t="s">
        <v>571</v>
      </c>
      <c r="B53" s="1178" t="n">
        <v>0</v>
      </c>
      <c r="C53" s="1192" t="n">
        <f aca="false">'7.2.1 Turnover Vehicles'!C70-('7.2.1 Turnover Vehicles'!C70*'7.3 Cost of sales'!$B53)</f>
        <v>0</v>
      </c>
      <c r="D53" s="1178" t="n">
        <f aca="false">B53</f>
        <v>0</v>
      </c>
      <c r="E53" s="1192" t="n">
        <f aca="false">'7.2.1 Turnover Vehicles'!E70-('7.2.1 Turnover Vehicles'!E70*'7.3 Cost of sales'!$B53)</f>
        <v>0</v>
      </c>
      <c r="F53" s="1178" t="n">
        <f aca="false">D53</f>
        <v>0</v>
      </c>
      <c r="G53" s="1192" t="n">
        <f aca="false">'7.2.1 Turnover Vehicles'!G70-('7.2.1 Turnover Vehicles'!G70*'7.3 Cost of sales'!$B53)</f>
        <v>0</v>
      </c>
      <c r="H53" s="1178" t="n">
        <f aca="false">F53</f>
        <v>0</v>
      </c>
      <c r="I53" s="1192" t="n">
        <f aca="false">'7.2.1 Turnover Vehicles'!I70-('7.2.1 Turnover Vehicles'!I70*'7.3 Cost of sales'!$B53)</f>
        <v>0</v>
      </c>
      <c r="J53" s="1178" t="n">
        <f aca="false">H53</f>
        <v>0</v>
      </c>
      <c r="K53" s="1192" t="n">
        <f aca="false">'7.2.1 Turnover Vehicles'!K70-('7.2.1 Turnover Vehicles'!K70*'7.3 Cost of sales'!$B53)</f>
        <v>0</v>
      </c>
    </row>
    <row r="54" customFormat="false" ht="15" hidden="false" customHeight="false" outlineLevel="0" collapsed="false">
      <c r="A54" s="1196" t="s">
        <v>680</v>
      </c>
      <c r="B54" s="1197"/>
      <c r="C54" s="1198" t="n">
        <f aca="false">SUM(C51:C53)</f>
        <v>0</v>
      </c>
      <c r="D54" s="904"/>
      <c r="E54" s="1199" t="n">
        <f aca="false">SUM(E51:E53)</f>
        <v>0</v>
      </c>
      <c r="F54" s="971"/>
      <c r="G54" s="1199" t="n">
        <f aca="false">SUM(G51:G53)</f>
        <v>0</v>
      </c>
      <c r="H54" s="972"/>
      <c r="I54" s="1199" t="n">
        <f aca="false">SUM(I51:I53)</f>
        <v>0</v>
      </c>
      <c r="J54" s="972"/>
      <c r="K54" s="1198" t="n">
        <f aca="false">SUM(K51:K53)</f>
        <v>0</v>
      </c>
    </row>
    <row r="55" customFormat="false" ht="15" hidden="false" customHeight="false" outlineLevel="0" collapsed="false">
      <c r="A55" s="82"/>
      <c r="B55" s="107"/>
      <c r="C55" s="84"/>
      <c r="D55" s="107"/>
      <c r="E55" s="107"/>
      <c r="F55" s="107"/>
      <c r="G55" s="107"/>
      <c r="H55" s="107"/>
      <c r="I55" s="107"/>
      <c r="J55" s="107"/>
      <c r="K55" s="84"/>
    </row>
    <row r="56" customFormat="false" ht="18.75" hidden="false" customHeight="false" outlineLevel="0" collapsed="false">
      <c r="A56" s="1200" t="s">
        <v>681</v>
      </c>
      <c r="B56" s="964"/>
      <c r="C56" s="964"/>
      <c r="D56" s="964"/>
      <c r="E56" s="964"/>
      <c r="F56" s="964"/>
      <c r="G56" s="964"/>
      <c r="H56" s="964"/>
      <c r="I56" s="964"/>
      <c r="J56" s="964"/>
      <c r="K56" s="965"/>
    </row>
    <row r="57" customFormat="false" ht="15" hidden="false" customHeight="false" outlineLevel="0" collapsed="false">
      <c r="A57" s="506"/>
      <c r="B57" s="257"/>
      <c r="C57" s="260"/>
      <c r="D57" s="257"/>
      <c r="E57" s="257"/>
      <c r="F57" s="257"/>
      <c r="G57" s="257"/>
      <c r="H57" s="257"/>
      <c r="I57" s="257"/>
      <c r="J57" s="257"/>
      <c r="K57" s="260"/>
    </row>
    <row r="58" customFormat="false" ht="15" hidden="false" customHeight="false" outlineLevel="0" collapsed="false">
      <c r="A58" s="52" t="s">
        <v>682</v>
      </c>
      <c r="B58" s="48"/>
      <c r="C58" s="875" t="n">
        <f aca="false">('7.1 Dealer area'!C39-'7.1 Dealer area'!C51)*'7.3 Cost of sales'!C28+('7.1 Dealer area'!C40-'7.1 Dealer area'!C52)*'7.3 Cost of sales'!C29+('7.1 Dealer area'!C43-'7.1 Dealer area'!C53)*'7.3 Cost of sales'!C30+('7.1 Dealer area'!C44-'7.1 Dealer area'!C54)*'7.3 Cost of sales'!C31+('7.1 Dealer area'!C45-'7.1 Dealer area'!C55)*'7.3 Cost of sales'!C32+('7.1 Dealer area'!C46-'7.1 Dealer area'!C56)*'7.3 Cost of sales'!C33</f>
        <v>-9</v>
      </c>
      <c r="D58" s="876"/>
      <c r="E58" s="876" t="n">
        <f aca="false">('7.1 Dealer area'!E39-'7.1 Dealer area'!E51)*'7.3 Cost of sales'!E28+('7.1 Dealer area'!E40-'7.1 Dealer area'!E52)*'7.3 Cost of sales'!E29+('7.1 Dealer area'!E43-'7.1 Dealer area'!E53)*'7.3 Cost of sales'!E30+('7.1 Dealer area'!E44-'7.1 Dealer area'!E54)*'7.3 Cost of sales'!E31+('7.1 Dealer area'!E45-'7.1 Dealer area'!E55)*'7.3 Cost of sales'!E32+('7.1 Dealer area'!E46-'7.1 Dealer area'!E56)*'7.3 Cost of sales'!E33</f>
        <v>0</v>
      </c>
      <c r="F58" s="876"/>
      <c r="G58" s="876" t="n">
        <f aca="false">('7.1 Dealer area'!G39-'7.1 Dealer area'!G51)*'7.3 Cost of sales'!G28+('7.1 Dealer area'!G40-'7.1 Dealer area'!G52)*'7.3 Cost of sales'!G29+('7.1 Dealer area'!G43-'7.1 Dealer area'!G53)*'7.3 Cost of sales'!G30+('7.1 Dealer area'!G44-'7.1 Dealer area'!G54)*'7.3 Cost of sales'!G31+('7.1 Dealer area'!G45-'7.1 Dealer area'!G55)*'7.3 Cost of sales'!G32+('7.1 Dealer area'!G46-'7.1 Dealer area'!G56)*'7.3 Cost of sales'!G33</f>
        <v>0</v>
      </c>
      <c r="H58" s="876"/>
      <c r="I58" s="876" t="n">
        <f aca="false">('7.1 Dealer area'!I39-'7.1 Dealer area'!I51)*'7.3 Cost of sales'!I28+('7.1 Dealer area'!I40-'7.1 Dealer area'!I52)*'7.3 Cost of sales'!I29+('7.1 Dealer area'!I43-'7.1 Dealer area'!I53)*'7.3 Cost of sales'!I30+('7.1 Dealer area'!I44-'7.1 Dealer area'!I54)*'7.3 Cost of sales'!I31+('7.1 Dealer area'!I45-'7.1 Dealer area'!I55)*'7.3 Cost of sales'!I32+('7.1 Dealer area'!I46-'7.1 Dealer area'!I56)*'7.3 Cost of sales'!I33</f>
        <v>0</v>
      </c>
      <c r="J58" s="876"/>
      <c r="K58" s="875" t="n">
        <f aca="false">('7.1 Dealer area'!K39-'7.1 Dealer area'!K51)*'7.3 Cost of sales'!K28+('7.1 Dealer area'!K40-'7.1 Dealer area'!K52)*'7.3 Cost of sales'!K29+('7.1 Dealer area'!K43-'7.1 Dealer area'!K53)*'7.3 Cost of sales'!K30+('7.1 Dealer area'!K44-'7.1 Dealer area'!K54)*'7.3 Cost of sales'!K31+('7.1 Dealer area'!K45-'7.1 Dealer area'!K55)*'7.3 Cost of sales'!K32+('7.1 Dealer area'!K46-'7.1 Dealer area'!K56)*'7.3 Cost of sales'!K33</f>
        <v>0</v>
      </c>
    </row>
    <row r="59" customFormat="false" ht="15" hidden="false" customHeight="false" outlineLevel="0" collapsed="false">
      <c r="A59" s="52" t="s">
        <v>683</v>
      </c>
      <c r="B59" s="1201"/>
      <c r="C59" s="875" t="n">
        <f aca="false">'7.1 Dealer area'!C51*'7.3 Cost of sales'!C36+'7.1 Dealer area'!C52*'7.3 Cost of sales'!C37+'7.1 Dealer area'!C53*'7.3 Cost of sales'!C38+'7.1 Dealer area'!C54*'7.3 Cost of sales'!C39+'7.1 Dealer area'!C55*'7.3 Cost of sales'!C40+'7.1 Dealer area'!C56*'7.3 Cost of sales'!C41</f>
        <v>-1</v>
      </c>
      <c r="D59" s="876"/>
      <c r="E59" s="876" t="n">
        <f aca="false">'7.1 Dealer area'!E51*'7.3 Cost of sales'!E36+'7.1 Dealer area'!E52*'7.3 Cost of sales'!E37+'7.1 Dealer area'!E53*'7.3 Cost of sales'!E38+'7.1 Dealer area'!E54*'7.3 Cost of sales'!E39+'7.1 Dealer area'!E55*'7.3 Cost of sales'!E40+'7.1 Dealer area'!E56*'7.3 Cost of sales'!E41</f>
        <v>0</v>
      </c>
      <c r="F59" s="876"/>
      <c r="G59" s="876" t="n">
        <f aca="false">'7.1 Dealer area'!G51*'7.3 Cost of sales'!G36+'7.1 Dealer area'!G52*'7.3 Cost of sales'!G37+'7.1 Dealer area'!G53*'7.3 Cost of sales'!G38+'7.1 Dealer area'!G54*'7.3 Cost of sales'!G39+'7.1 Dealer area'!G55*'7.3 Cost of sales'!G40+'7.1 Dealer area'!G56*'7.3 Cost of sales'!G41</f>
        <v>0</v>
      </c>
      <c r="H59" s="876"/>
      <c r="I59" s="876" t="n">
        <f aca="false">'7.1 Dealer area'!I51*'7.3 Cost of sales'!I36+'7.1 Dealer area'!I52*'7.3 Cost of sales'!I37+'7.1 Dealer area'!I53*'7.3 Cost of sales'!I38+'7.1 Dealer area'!I54*'7.3 Cost of sales'!I39+'7.1 Dealer area'!I55*'7.3 Cost of sales'!I40+'7.1 Dealer area'!I56*'7.3 Cost of sales'!I41</f>
        <v>0</v>
      </c>
      <c r="J59" s="876"/>
      <c r="K59" s="875" t="n">
        <f aca="false">'7.1 Dealer area'!K51*'7.3 Cost of sales'!K36+'7.1 Dealer area'!K52*'7.3 Cost of sales'!K37+'7.1 Dealer area'!K53*'7.3 Cost of sales'!K38+'7.1 Dealer area'!K54*'7.3 Cost of sales'!K39+'7.1 Dealer area'!K55*'7.3 Cost of sales'!K40+'7.1 Dealer area'!K56*'7.3 Cost of sales'!K41</f>
        <v>0</v>
      </c>
    </row>
    <row r="60" customFormat="false" ht="15" hidden="false" customHeight="false" outlineLevel="0" collapsed="false">
      <c r="A60" s="52" t="s">
        <v>684</v>
      </c>
      <c r="B60" s="48"/>
      <c r="C60" s="875" t="n">
        <f aca="false">'5.1 DAF Vehicle Parc Input'!K43*'7.3 Cost of sales'!C46*'7.2.1 Turnover Vehicles'!B45</f>
        <v>0</v>
      </c>
      <c r="D60" s="876"/>
      <c r="E60" s="876" t="n">
        <f aca="false">'5.1 DAF Vehicle Parc Input'!M43*'7.3 Cost of sales'!E46*'7.2.1 Turnover Vehicles'!B45</f>
        <v>0</v>
      </c>
      <c r="F60" s="876"/>
      <c r="G60" s="876" t="n">
        <f aca="false">'5.1 DAF Vehicle Parc Input'!O43*'7.3 Cost of sales'!G46*'7.2.1 Turnover Vehicles'!B45</f>
        <v>0</v>
      </c>
      <c r="H60" s="876"/>
      <c r="I60" s="876" t="n">
        <f aca="false">'5.1 DAF Vehicle Parc Input'!Q43*'7.3 Cost of sales'!I46*'7.2.1 Turnover Vehicles'!B45</f>
        <v>0</v>
      </c>
      <c r="J60" s="876"/>
      <c r="K60" s="875" t="n">
        <f aca="false">'5.1 DAF Vehicle Parc Input'!S43*'7.3 Cost of sales'!K46*'7.2.1 Turnover Vehicles'!B45</f>
        <v>0</v>
      </c>
    </row>
    <row r="61" customFormat="false" ht="15" hidden="false" customHeight="false" outlineLevel="0" collapsed="false">
      <c r="A61" s="52" t="s">
        <v>42</v>
      </c>
      <c r="B61" s="48"/>
      <c r="C61" s="966" t="n">
        <f aca="false">C54</f>
        <v>0</v>
      </c>
      <c r="D61" s="876"/>
      <c r="E61" s="967" t="n">
        <f aca="false">E54</f>
        <v>0</v>
      </c>
      <c r="F61" s="876"/>
      <c r="G61" s="967" t="n">
        <f aca="false">G54</f>
        <v>0</v>
      </c>
      <c r="H61" s="876"/>
      <c r="I61" s="967" t="n">
        <f aca="false">I54</f>
        <v>0</v>
      </c>
      <c r="J61" s="876"/>
      <c r="K61" s="966" t="n">
        <f aca="false">K54</f>
        <v>0</v>
      </c>
    </row>
    <row r="62" customFormat="false" ht="15" hidden="false" customHeight="false" outlineLevel="0" collapsed="false">
      <c r="A62" s="562" t="s">
        <v>685</v>
      </c>
      <c r="B62" s="48"/>
      <c r="C62" s="903" t="n">
        <f aca="false">SUM(C58:C61)</f>
        <v>-10</v>
      </c>
      <c r="D62" s="904"/>
      <c r="E62" s="904" t="n">
        <f aca="false">SUM(E58:E61)</f>
        <v>0</v>
      </c>
      <c r="F62" s="904"/>
      <c r="G62" s="904" t="n">
        <f aca="false">SUM(G58:G61)</f>
        <v>0</v>
      </c>
      <c r="H62" s="904"/>
      <c r="I62" s="904" t="n">
        <f aca="false">SUM(I58:I61)</f>
        <v>0</v>
      </c>
      <c r="J62" s="904"/>
      <c r="K62" s="1152" t="n">
        <f aca="false">SUM(K58:K61)</f>
        <v>0</v>
      </c>
    </row>
    <row r="63" customFormat="false" ht="15" hidden="false" customHeight="false" outlineLevel="0" collapsed="false">
      <c r="A63" s="560"/>
      <c r="B63" s="941"/>
      <c r="C63" s="998"/>
      <c r="D63" s="975"/>
      <c r="E63" s="975"/>
      <c r="F63" s="975"/>
      <c r="G63" s="975"/>
      <c r="H63" s="975"/>
      <c r="I63" s="975"/>
      <c r="J63" s="975"/>
      <c r="K63" s="998"/>
    </row>
    <row r="64" s="281" customFormat="true" ht="18.75" hidden="false" customHeight="false" outlineLevel="0" collapsed="false">
      <c r="A64" s="1202" t="s">
        <v>686</v>
      </c>
      <c r="B64" s="964"/>
      <c r="C64" s="964"/>
      <c r="D64" s="964"/>
      <c r="E64" s="964"/>
      <c r="F64" s="964"/>
      <c r="G64" s="964"/>
      <c r="H64" s="964"/>
      <c r="I64" s="964"/>
      <c r="J64" s="964"/>
      <c r="K64" s="965"/>
      <c r="L64" s="22"/>
    </row>
    <row r="65" customFormat="false" ht="15" hidden="false" customHeight="false" outlineLevel="0" collapsed="false">
      <c r="A65" s="562"/>
      <c r="B65" s="1172" t="s">
        <v>687</v>
      </c>
      <c r="C65" s="903"/>
      <c r="D65" s="1172" t="s">
        <v>687</v>
      </c>
      <c r="E65" s="904"/>
      <c r="F65" s="1172" t="s">
        <v>687</v>
      </c>
      <c r="G65" s="904"/>
      <c r="H65" s="1172" t="s">
        <v>687</v>
      </c>
      <c r="I65" s="904"/>
      <c r="J65" s="1172" t="s">
        <v>687</v>
      </c>
      <c r="K65" s="903"/>
      <c r="L65" s="16"/>
      <c r="M65" s="48"/>
      <c r="N65" s="48"/>
      <c r="O65" s="48"/>
      <c r="P65" s="48"/>
      <c r="Q65" s="48"/>
      <c r="R65" s="48"/>
      <c r="S65" s="48"/>
      <c r="T65" s="48"/>
      <c r="U65" s="48"/>
      <c r="V65" s="48"/>
    </row>
    <row r="66" customFormat="false" ht="15" hidden="false" customHeight="false" outlineLevel="0" collapsed="false">
      <c r="A66" s="562"/>
      <c r="B66" s="1172" t="s">
        <v>688</v>
      </c>
      <c r="C66" s="903"/>
      <c r="D66" s="1172" t="s">
        <v>688</v>
      </c>
      <c r="E66" s="904"/>
      <c r="F66" s="1172" t="s">
        <v>688</v>
      </c>
      <c r="G66" s="904"/>
      <c r="H66" s="1172" t="s">
        <v>688</v>
      </c>
      <c r="I66" s="904"/>
      <c r="J66" s="1172" t="s">
        <v>688</v>
      </c>
      <c r="K66" s="903"/>
      <c r="L66" s="16"/>
      <c r="M66" s="48"/>
      <c r="N66" s="48"/>
      <c r="O66" s="48"/>
      <c r="P66" s="48"/>
      <c r="Q66" s="48"/>
      <c r="R66" s="48"/>
      <c r="S66" s="48"/>
      <c r="T66" s="48"/>
      <c r="U66" s="48"/>
      <c r="V66" s="48"/>
    </row>
    <row r="67" customFormat="false" ht="15" hidden="false" customHeight="false" outlineLevel="0" collapsed="false">
      <c r="A67" s="52" t="s">
        <v>689</v>
      </c>
      <c r="B67" s="952" t="n">
        <v>0</v>
      </c>
      <c r="C67" s="875" t="n">
        <f aca="false">+C58*$B$67</f>
        <v>-0</v>
      </c>
      <c r="D67" s="952" t="n">
        <f aca="false">B67</f>
        <v>0</v>
      </c>
      <c r="E67" s="876" t="n">
        <f aca="false">+E58*D67</f>
        <v>0</v>
      </c>
      <c r="F67" s="952" t="n">
        <f aca="false">D67</f>
        <v>0</v>
      </c>
      <c r="G67" s="876" t="n">
        <f aca="false">+G58*F67</f>
        <v>0</v>
      </c>
      <c r="H67" s="952" t="n">
        <f aca="false">F67</f>
        <v>0</v>
      </c>
      <c r="I67" s="876" t="n">
        <f aca="false">+I58*H67</f>
        <v>0</v>
      </c>
      <c r="J67" s="952" t="n">
        <f aca="false">H67</f>
        <v>0</v>
      </c>
      <c r="K67" s="875" t="n">
        <f aca="false">+K58*J67</f>
        <v>0</v>
      </c>
      <c r="L67" s="16"/>
      <c r="M67" s="48"/>
      <c r="N67" s="48"/>
      <c r="O67" s="48"/>
      <c r="P67" s="48"/>
      <c r="Q67" s="48"/>
      <c r="R67" s="48"/>
      <c r="S67" s="48"/>
      <c r="T67" s="48"/>
      <c r="U67" s="48"/>
      <c r="V67" s="48"/>
    </row>
    <row r="68" customFormat="false" ht="15" hidden="false" customHeight="false" outlineLevel="0" collapsed="false">
      <c r="A68" s="52" t="s">
        <v>690</v>
      </c>
      <c r="B68" s="952" t="n">
        <v>0</v>
      </c>
      <c r="C68" s="966" t="n">
        <f aca="false">C61*$B68</f>
        <v>0</v>
      </c>
      <c r="D68" s="952" t="n">
        <f aca="false">B68</f>
        <v>0</v>
      </c>
      <c r="E68" s="967" t="n">
        <f aca="false">E61*D68</f>
        <v>0</v>
      </c>
      <c r="F68" s="952" t="n">
        <f aca="false">D68</f>
        <v>0</v>
      </c>
      <c r="G68" s="967" t="n">
        <f aca="false">G61*F68</f>
        <v>0</v>
      </c>
      <c r="H68" s="952" t="n">
        <f aca="false">F68</f>
        <v>0</v>
      </c>
      <c r="I68" s="967" t="n">
        <f aca="false">I61*H68</f>
        <v>0</v>
      </c>
      <c r="J68" s="952" t="n">
        <f aca="false">H68</f>
        <v>0</v>
      </c>
      <c r="K68" s="966" t="n">
        <f aca="false">K61*J68</f>
        <v>0</v>
      </c>
      <c r="L68" s="16"/>
      <c r="M68" s="48"/>
      <c r="N68" s="48"/>
      <c r="O68" s="48"/>
      <c r="P68" s="48"/>
      <c r="Q68" s="48"/>
      <c r="R68" s="48"/>
      <c r="S68" s="48"/>
      <c r="T68" s="48"/>
      <c r="U68" s="48"/>
      <c r="V68" s="48"/>
    </row>
    <row r="69" customFormat="false" ht="15" hidden="false" customHeight="false" outlineLevel="0" collapsed="false">
      <c r="A69" s="52"/>
      <c r="B69" s="961"/>
      <c r="C69" s="875" t="n">
        <f aca="false">SUM(C67:C68)</f>
        <v>0</v>
      </c>
      <c r="D69" s="876"/>
      <c r="E69" s="876" t="n">
        <f aca="false">SUM(E67:E68)</f>
        <v>0</v>
      </c>
      <c r="F69" s="876"/>
      <c r="G69" s="876" t="n">
        <f aca="false">SUM(G67:G68)</f>
        <v>0</v>
      </c>
      <c r="H69" s="876"/>
      <c r="I69" s="876" t="n">
        <f aca="false">SUM(I67:I68)</f>
        <v>0</v>
      </c>
      <c r="J69" s="876"/>
      <c r="K69" s="875" t="n">
        <f aca="false">SUM(K67:K68)</f>
        <v>0</v>
      </c>
      <c r="L69" s="16"/>
      <c r="M69" s="48"/>
      <c r="N69" s="48"/>
      <c r="O69" s="48"/>
      <c r="P69" s="48"/>
      <c r="Q69" s="48"/>
      <c r="R69" s="48"/>
      <c r="S69" s="48"/>
      <c r="T69" s="48"/>
      <c r="U69" s="48"/>
      <c r="V69" s="48"/>
    </row>
    <row r="70" customFormat="false" ht="15" hidden="false" customHeight="false" outlineLevel="0" collapsed="false">
      <c r="A70" s="82"/>
      <c r="B70" s="1203"/>
      <c r="C70" s="966"/>
      <c r="D70" s="967"/>
      <c r="E70" s="967"/>
      <c r="F70" s="967"/>
      <c r="G70" s="967"/>
      <c r="H70" s="967"/>
      <c r="I70" s="967"/>
      <c r="J70" s="967"/>
      <c r="K70" s="966"/>
      <c r="L70" s="16"/>
      <c r="M70" s="48"/>
      <c r="N70" s="48"/>
      <c r="O70" s="48"/>
      <c r="P70" s="48"/>
      <c r="Q70" s="48"/>
      <c r="R70" s="48"/>
      <c r="S70" s="48"/>
      <c r="T70" s="48"/>
      <c r="U70" s="48"/>
      <c r="V70" s="48"/>
    </row>
    <row r="71" customFormat="false" ht="15" hidden="false" customHeight="false" outlineLevel="0" collapsed="false">
      <c r="A71" s="48"/>
      <c r="B71" s="961"/>
      <c r="C71" s="876"/>
      <c r="D71" s="876"/>
      <c r="E71" s="876"/>
      <c r="F71" s="876"/>
      <c r="G71" s="876"/>
      <c r="H71" s="876"/>
      <c r="I71" s="876"/>
      <c r="J71" s="876"/>
      <c r="K71" s="876"/>
    </row>
    <row r="72" s="281" customFormat="true" ht="18.75" hidden="false" customHeight="false" outlineLevel="0" collapsed="false">
      <c r="A72" s="839" t="s">
        <v>691</v>
      </c>
      <c r="B72" s="132"/>
      <c r="C72" s="132"/>
      <c r="D72" s="132"/>
      <c r="E72" s="132"/>
      <c r="F72" s="132"/>
      <c r="G72" s="132"/>
      <c r="H72" s="132"/>
      <c r="I72" s="132"/>
      <c r="J72" s="132"/>
      <c r="K72" s="133"/>
      <c r="L72" s="22"/>
    </row>
    <row r="73" customFormat="false" ht="18.75" hidden="false" customHeight="false" outlineLevel="0" collapsed="false">
      <c r="A73" s="839" t="s">
        <v>692</v>
      </c>
      <c r="B73" s="132"/>
      <c r="C73" s="132"/>
      <c r="D73" s="132"/>
      <c r="E73" s="132"/>
      <c r="F73" s="132"/>
      <c r="G73" s="132"/>
      <c r="H73" s="132"/>
      <c r="I73" s="132"/>
      <c r="J73" s="132"/>
      <c r="K73" s="133"/>
    </row>
    <row r="74" customFormat="false" ht="15" hidden="false" customHeight="false" outlineLevel="0" collapsed="false">
      <c r="A74" s="562"/>
      <c r="B74" s="1172"/>
      <c r="C74" s="54"/>
      <c r="D74" s="48"/>
      <c r="E74" s="48"/>
      <c r="F74" s="48"/>
      <c r="G74" s="48"/>
      <c r="H74" s="48"/>
      <c r="I74" s="48"/>
      <c r="J74" s="48"/>
      <c r="K74" s="54"/>
    </row>
    <row r="75" customFormat="false" ht="15" hidden="false" customHeight="false" outlineLevel="0" collapsed="false">
      <c r="A75" s="52"/>
      <c r="B75" s="1172" t="s">
        <v>675</v>
      </c>
      <c r="C75" s="54"/>
      <c r="D75" s="1172" t="s">
        <v>675</v>
      </c>
      <c r="E75" s="48"/>
      <c r="F75" s="1172" t="s">
        <v>675</v>
      </c>
      <c r="G75" s="48"/>
      <c r="H75" s="1172" t="s">
        <v>675</v>
      </c>
      <c r="I75" s="48"/>
      <c r="J75" s="1172" t="s">
        <v>675</v>
      </c>
      <c r="K75" s="54"/>
    </row>
    <row r="76" customFormat="false" ht="15" hidden="false" customHeight="false" outlineLevel="0" collapsed="false">
      <c r="A76" s="52" t="s">
        <v>693</v>
      </c>
      <c r="B76" s="952" t="n">
        <v>0</v>
      </c>
      <c r="C76" s="875" t="e">
        <f aca="false">('7.2.2 Turnover Parts'!C36-'7.2.2 Turnover Parts'!C26)*(1-'7.3 Cost of sales'!$B76)</f>
        <v>#VALUE!</v>
      </c>
      <c r="D76" s="952" t="n">
        <f aca="false">B76</f>
        <v>0</v>
      </c>
      <c r="E76" s="876" t="e">
        <f aca="false">('7.2.2 Turnover Parts'!E36-'7.2.2 Turnover Parts'!E26)*(1-'7.3 Cost of sales'!D76)</f>
        <v>#VALUE!</v>
      </c>
      <c r="F76" s="952" t="n">
        <f aca="false">D76</f>
        <v>0</v>
      </c>
      <c r="G76" s="876" t="e">
        <f aca="false">('7.2.2 Turnover Parts'!G36-'7.2.2 Turnover Parts'!G26)*(1-'7.3 Cost of sales'!F76)</f>
        <v>#VALUE!</v>
      </c>
      <c r="H76" s="952" t="n">
        <f aca="false">F76</f>
        <v>0</v>
      </c>
      <c r="I76" s="876" t="e">
        <f aca="false">('7.2.2 Turnover Parts'!I36-'7.2.2 Turnover Parts'!I26)*(1-'7.3 Cost of sales'!H76)</f>
        <v>#VALUE!</v>
      </c>
      <c r="J76" s="952" t="n">
        <f aca="false">H76</f>
        <v>0</v>
      </c>
      <c r="K76" s="875" t="e">
        <f aca="false">('7.2.2 Turnover Parts'!K36-'7.2.2 Turnover Parts'!K26)*(1-'7.3 Cost of sales'!J76)</f>
        <v>#VALUE!</v>
      </c>
      <c r="M76" s="876"/>
      <c r="N76" s="876"/>
      <c r="O76" s="876"/>
      <c r="P76" s="876"/>
      <c r="Q76" s="876"/>
      <c r="R76" s="876"/>
      <c r="S76" s="876"/>
      <c r="T76" s="876"/>
      <c r="U76" s="876"/>
    </row>
    <row r="77" customFormat="false" ht="15" hidden="false" customHeight="false" outlineLevel="0" collapsed="false">
      <c r="A77" s="52" t="s">
        <v>694</v>
      </c>
      <c r="B77" s="952" t="n">
        <v>0</v>
      </c>
      <c r="C77" s="875" t="n">
        <f aca="false">('7.2.2 Turnover Parts'!C37-'7.2.2 Turnover Parts'!C27)*(1-'7.3 Cost of sales'!$B77)</f>
        <v>0</v>
      </c>
      <c r="D77" s="952" t="n">
        <f aca="false">B77</f>
        <v>0</v>
      </c>
      <c r="E77" s="876" t="n">
        <f aca="false">('7.2.2 Turnover Parts'!E37-'7.2.2 Turnover Parts'!E27)*(1-'7.3 Cost of sales'!D77)</f>
        <v>0</v>
      </c>
      <c r="F77" s="952" t="n">
        <f aca="false">D77</f>
        <v>0</v>
      </c>
      <c r="G77" s="876" t="n">
        <f aca="false">('7.2.2 Turnover Parts'!G37-'7.2.2 Turnover Parts'!G27)*(1-'7.3 Cost of sales'!F77)</f>
        <v>0</v>
      </c>
      <c r="H77" s="952" t="n">
        <f aca="false">F77</f>
        <v>0</v>
      </c>
      <c r="I77" s="876" t="n">
        <f aca="false">('7.2.2 Turnover Parts'!I37-'7.2.2 Turnover Parts'!I27)*(1-'7.3 Cost of sales'!H77)</f>
        <v>0</v>
      </c>
      <c r="J77" s="952" t="n">
        <f aca="false">H77</f>
        <v>0</v>
      </c>
      <c r="K77" s="875" t="n">
        <f aca="false">('7.2.2 Turnover Parts'!K37-'7.2.2 Turnover Parts'!K27)*(1-'7.3 Cost of sales'!J77)</f>
        <v>0</v>
      </c>
      <c r="M77" s="876"/>
      <c r="N77" s="876"/>
      <c r="O77" s="876"/>
      <c r="P77" s="876"/>
      <c r="Q77" s="876"/>
      <c r="R77" s="876"/>
      <c r="S77" s="876"/>
      <c r="T77" s="876"/>
      <c r="U77" s="876"/>
    </row>
    <row r="78" customFormat="false" ht="15" hidden="false" customHeight="false" outlineLevel="0" collapsed="false">
      <c r="A78" s="52" t="s">
        <v>695</v>
      </c>
      <c r="B78" s="952" t="n">
        <v>0</v>
      </c>
      <c r="C78" s="875" t="n">
        <f aca="false">'7.2.2 Turnover Parts'!C26*(1-'7.3 Cost of sales'!$B$78)</f>
        <v>10</v>
      </c>
      <c r="D78" s="952" t="n">
        <f aca="false">B78</f>
        <v>0</v>
      </c>
      <c r="E78" s="925" t="n">
        <f aca="false">'7.2.2 Turnover Parts'!E26*(1-'7.3 Cost of sales'!D78)</f>
        <v>0</v>
      </c>
      <c r="F78" s="952" t="n">
        <f aca="false">D78</f>
        <v>0</v>
      </c>
      <c r="G78" s="925" t="n">
        <f aca="false">'7.2.2 Turnover Parts'!G26*(1-'7.3 Cost of sales'!F78)</f>
        <v>0</v>
      </c>
      <c r="H78" s="952" t="n">
        <f aca="false">F78</f>
        <v>0</v>
      </c>
      <c r="I78" s="925" t="n">
        <f aca="false">'7.2.2 Turnover Parts'!I26*(1-'7.3 Cost of sales'!H78)</f>
        <v>0</v>
      </c>
      <c r="J78" s="952" t="n">
        <f aca="false">H78</f>
        <v>0</v>
      </c>
      <c r="K78" s="924" t="n">
        <f aca="false">'7.2.2 Turnover Parts'!K26*(1-'7.3 Cost of sales'!J78)</f>
        <v>0</v>
      </c>
      <c r="M78" s="876"/>
      <c r="N78" s="876"/>
      <c r="O78" s="876"/>
      <c r="P78" s="876"/>
      <c r="Q78" s="876"/>
      <c r="R78" s="876"/>
      <c r="S78" s="876"/>
      <c r="T78" s="876"/>
      <c r="U78" s="876"/>
    </row>
    <row r="79" customFormat="false" ht="15" hidden="false" customHeight="false" outlineLevel="0" collapsed="false">
      <c r="A79" s="52" t="s">
        <v>696</v>
      </c>
      <c r="B79" s="952" t="n">
        <v>0</v>
      </c>
      <c r="C79" s="924" t="n">
        <f aca="false">'7.2.2 Turnover Parts'!C27*(1-'7.3 Cost of sales'!B79)</f>
        <v>0</v>
      </c>
      <c r="D79" s="952" t="n">
        <f aca="false">B79</f>
        <v>0</v>
      </c>
      <c r="E79" s="925" t="n">
        <f aca="false">'7.2.2 Turnover Parts'!E27*(1-'7.3 Cost of sales'!D79)</f>
        <v>0</v>
      </c>
      <c r="F79" s="952" t="n">
        <f aca="false">D79</f>
        <v>0</v>
      </c>
      <c r="G79" s="925" t="n">
        <f aca="false">'7.2.2 Turnover Parts'!G27*(1-'7.3 Cost of sales'!F79)</f>
        <v>0</v>
      </c>
      <c r="H79" s="952" t="n">
        <f aca="false">F79</f>
        <v>0</v>
      </c>
      <c r="I79" s="925" t="n">
        <f aca="false">'7.2.2 Turnover Parts'!I27*(1-'7.3 Cost of sales'!H79)</f>
        <v>0</v>
      </c>
      <c r="J79" s="952" t="n">
        <f aca="false">H79</f>
        <v>0</v>
      </c>
      <c r="K79" s="924" t="n">
        <f aca="false">'7.2.2 Turnover Parts'!K27*(1-'7.3 Cost of sales'!J79)</f>
        <v>0</v>
      </c>
      <c r="M79" s="876"/>
      <c r="N79" s="876"/>
      <c r="O79" s="876"/>
      <c r="P79" s="876"/>
      <c r="Q79" s="876"/>
      <c r="R79" s="876"/>
      <c r="S79" s="876"/>
      <c r="T79" s="876"/>
      <c r="U79" s="876"/>
    </row>
    <row r="80" customFormat="false" ht="15" hidden="false" customHeight="false" outlineLevel="0" collapsed="false">
      <c r="A80" s="52" t="s">
        <v>697</v>
      </c>
      <c r="B80" s="952" t="n">
        <v>0</v>
      </c>
      <c r="C80" s="875" t="n">
        <f aca="false">'7.2.2 Turnover Parts'!C41*(1-'7.3 Cost of sales'!B80)</f>
        <v>0</v>
      </c>
      <c r="D80" s="952" t="n">
        <f aca="false">B80</f>
        <v>0</v>
      </c>
      <c r="E80" s="876" t="e">
        <f aca="false">'7.2.2 Turnover Parts'!E41*(1-'7.3 Cost of sales'!D80)</f>
        <v>#VALUE!</v>
      </c>
      <c r="F80" s="952" t="n">
        <f aca="false">D80</f>
        <v>0</v>
      </c>
      <c r="G80" s="876" t="e">
        <f aca="false">'7.2.2 Turnover Parts'!G41*(1-'7.3 Cost of sales'!F80)</f>
        <v>#VALUE!</v>
      </c>
      <c r="H80" s="952" t="n">
        <f aca="false">F80</f>
        <v>0</v>
      </c>
      <c r="I80" s="876" t="e">
        <f aca="false">'7.2.2 Turnover Parts'!I41*(1-'7.3 Cost of sales'!H80)</f>
        <v>#VALUE!</v>
      </c>
      <c r="J80" s="952" t="n">
        <f aca="false">H80</f>
        <v>0</v>
      </c>
      <c r="K80" s="875" t="e">
        <f aca="false">'7.2.2 Turnover Parts'!K41*(1-'7.3 Cost of sales'!J80)</f>
        <v>#VALUE!</v>
      </c>
      <c r="M80" s="876"/>
      <c r="N80" s="876"/>
      <c r="O80" s="876"/>
      <c r="P80" s="876"/>
      <c r="Q80" s="876"/>
      <c r="R80" s="876"/>
      <c r="S80" s="876"/>
      <c r="T80" s="876"/>
      <c r="U80" s="876"/>
    </row>
    <row r="81" customFormat="false" ht="15" hidden="false" customHeight="false" outlineLevel="0" collapsed="false">
      <c r="A81" s="52" t="s">
        <v>698</v>
      </c>
      <c r="B81" s="952" t="n">
        <v>0</v>
      </c>
      <c r="C81" s="875" t="e">
        <f aca="false">'7.2.2 Turnover Parts'!C42*(1-'7.3 Cost of sales'!B81)</f>
        <v>#VALUE!</v>
      </c>
      <c r="D81" s="952" t="n">
        <f aca="false">B81</f>
        <v>0</v>
      </c>
      <c r="E81" s="876" t="e">
        <f aca="false">'7.2.2 Turnover Parts'!E42*(1-'7.3 Cost of sales'!D81)</f>
        <v>#VALUE!</v>
      </c>
      <c r="F81" s="952" t="n">
        <f aca="false">D81</f>
        <v>0</v>
      </c>
      <c r="G81" s="876" t="e">
        <f aca="false">'7.2.2 Turnover Parts'!G42*(1-'7.3 Cost of sales'!F81)</f>
        <v>#VALUE!</v>
      </c>
      <c r="H81" s="952" t="n">
        <f aca="false">F81</f>
        <v>0</v>
      </c>
      <c r="I81" s="876" t="e">
        <f aca="false">'7.2.2 Turnover Parts'!I42*(1-'7.3 Cost of sales'!H81)</f>
        <v>#VALUE!</v>
      </c>
      <c r="J81" s="952" t="n">
        <f aca="false">H81</f>
        <v>0</v>
      </c>
      <c r="K81" s="875" t="e">
        <f aca="false">'7.2.2 Turnover Parts'!K42*(1-'7.3 Cost of sales'!J81)</f>
        <v>#VALUE!</v>
      </c>
      <c r="M81" s="876"/>
      <c r="N81" s="876"/>
      <c r="O81" s="876"/>
      <c r="P81" s="876"/>
      <c r="Q81" s="876"/>
      <c r="R81" s="876"/>
      <c r="S81" s="876"/>
      <c r="T81" s="876"/>
      <c r="U81" s="876"/>
    </row>
    <row r="82" customFormat="false" ht="15" hidden="false" customHeight="false" outlineLevel="0" collapsed="false">
      <c r="A82" s="52" t="s">
        <v>699</v>
      </c>
      <c r="B82" s="952" t="n">
        <v>0</v>
      </c>
      <c r="C82" s="875" t="n">
        <f aca="false">'7.2.2 Turnover Parts'!C43*(1-'7.3 Cost of sales'!B82)</f>
        <v>0</v>
      </c>
      <c r="D82" s="952" t="n">
        <f aca="false">B82</f>
        <v>0</v>
      </c>
      <c r="E82" s="876" t="n">
        <f aca="false">'7.2.2 Turnover Parts'!E43*(1-'7.3 Cost of sales'!D82)</f>
        <v>0</v>
      </c>
      <c r="F82" s="952" t="n">
        <f aca="false">D82</f>
        <v>0</v>
      </c>
      <c r="G82" s="876" t="n">
        <f aca="false">'7.2.2 Turnover Parts'!G43*(1-'7.3 Cost of sales'!F82)</f>
        <v>0</v>
      </c>
      <c r="H82" s="952" t="n">
        <f aca="false">F82</f>
        <v>0</v>
      </c>
      <c r="I82" s="876" t="n">
        <f aca="false">'7.2.2 Turnover Parts'!I43*(1-'7.3 Cost of sales'!H82)</f>
        <v>0</v>
      </c>
      <c r="J82" s="952" t="n">
        <f aca="false">H82</f>
        <v>0</v>
      </c>
      <c r="K82" s="875" t="n">
        <f aca="false">'7.2.2 Turnover Parts'!K43*(1-'7.3 Cost of sales'!J82)</f>
        <v>0</v>
      </c>
      <c r="M82" s="876"/>
      <c r="N82" s="876"/>
      <c r="O82" s="876"/>
      <c r="P82" s="876"/>
      <c r="Q82" s="876"/>
      <c r="R82" s="876"/>
      <c r="S82" s="876"/>
      <c r="T82" s="876"/>
      <c r="U82" s="876"/>
    </row>
    <row r="83" customFormat="false" ht="15" hidden="false" customHeight="false" outlineLevel="0" collapsed="false">
      <c r="A83" s="52" t="s">
        <v>182</v>
      </c>
      <c r="B83" s="952" t="n">
        <v>0</v>
      </c>
      <c r="C83" s="924" t="n">
        <f aca="false">'7.2.2 Turnover Parts'!C19*(1-'7.3 Cost of sales'!B83)</f>
        <v>0</v>
      </c>
      <c r="D83" s="952" t="n">
        <f aca="false">B83</f>
        <v>0</v>
      </c>
      <c r="E83" s="925" t="n">
        <f aca="false">'7.2.2 Turnover Parts'!E19*(1-'7.3 Cost of sales'!D83)</f>
        <v>0</v>
      </c>
      <c r="F83" s="952" t="n">
        <f aca="false">D83</f>
        <v>0</v>
      </c>
      <c r="G83" s="925" t="n">
        <f aca="false">'7.2.2 Turnover Parts'!G19*(1-'7.3 Cost of sales'!F83)</f>
        <v>0</v>
      </c>
      <c r="H83" s="952" t="n">
        <f aca="false">F83</f>
        <v>0</v>
      </c>
      <c r="I83" s="925" t="n">
        <f aca="false">'7.2.2 Turnover Parts'!I19*(1-'7.3 Cost of sales'!H83)</f>
        <v>0</v>
      </c>
      <c r="J83" s="952" t="n">
        <f aca="false">H83</f>
        <v>0</v>
      </c>
      <c r="K83" s="924" t="n">
        <f aca="false">'7.2.2 Turnover Parts'!K19*(1-'7.3 Cost of sales'!J83)</f>
        <v>0</v>
      </c>
      <c r="M83" s="876"/>
      <c r="N83" s="876"/>
      <c r="O83" s="876"/>
      <c r="P83" s="876"/>
      <c r="Q83" s="876"/>
      <c r="R83" s="876"/>
      <c r="S83" s="876"/>
      <c r="T83" s="876"/>
      <c r="U83" s="876"/>
    </row>
    <row r="84" customFormat="false" ht="15" hidden="false" customHeight="false" outlineLevel="0" collapsed="false">
      <c r="A84" s="52" t="s">
        <v>700</v>
      </c>
      <c r="B84" s="952" t="n">
        <v>0</v>
      </c>
      <c r="C84" s="966" t="e">
        <f aca="false">'7.2.2 Turnover Parts'!C20*(1-'7.3 Cost of sales'!B84)</f>
        <v>#VALUE!</v>
      </c>
      <c r="D84" s="952" t="n">
        <f aca="false">B84</f>
        <v>0</v>
      </c>
      <c r="E84" s="967" t="n">
        <f aca="false">'7.2.2 Turnover Parts'!E20*(1-'7.3 Cost of sales'!D84)</f>
        <v>0</v>
      </c>
      <c r="F84" s="952" t="n">
        <f aca="false">D84</f>
        <v>0</v>
      </c>
      <c r="G84" s="967" t="n">
        <f aca="false">'7.2.2 Turnover Parts'!G20*(1-'7.3 Cost of sales'!F84)</f>
        <v>0</v>
      </c>
      <c r="H84" s="952" t="n">
        <f aca="false">F84</f>
        <v>0</v>
      </c>
      <c r="I84" s="967" t="n">
        <f aca="false">'7.2.2 Turnover Parts'!I20*(1-'7.3 Cost of sales'!H84)</f>
        <v>0</v>
      </c>
      <c r="J84" s="952" t="n">
        <f aca="false">H84</f>
        <v>0</v>
      </c>
      <c r="K84" s="966" t="n">
        <f aca="false">'7.2.2 Turnover Parts'!K20*(1-'7.3 Cost of sales'!J84)</f>
        <v>0</v>
      </c>
      <c r="M84" s="876"/>
      <c r="N84" s="876"/>
      <c r="O84" s="876"/>
      <c r="P84" s="876"/>
      <c r="Q84" s="876"/>
      <c r="R84" s="876"/>
      <c r="S84" s="876"/>
      <c r="T84" s="876"/>
      <c r="U84" s="876"/>
    </row>
    <row r="85" customFormat="false" ht="15" hidden="false" customHeight="false" outlineLevel="0" collapsed="false">
      <c r="A85" s="562" t="s">
        <v>293</v>
      </c>
      <c r="B85" s="67"/>
      <c r="C85" s="903" t="e">
        <f aca="false">SUM(C76:C84)</f>
        <v>#VALUE!</v>
      </c>
      <c r="D85" s="67"/>
      <c r="E85" s="904" t="e">
        <f aca="false">SUM(E76:E84)</f>
        <v>#VALUE!</v>
      </c>
      <c r="F85" s="67"/>
      <c r="G85" s="904" t="e">
        <f aca="false">SUM(G76:G84)</f>
        <v>#VALUE!</v>
      </c>
      <c r="H85" s="67"/>
      <c r="I85" s="904" t="e">
        <f aca="false">SUM(I76:I84)</f>
        <v>#VALUE!</v>
      </c>
      <c r="J85" s="67"/>
      <c r="K85" s="903" t="e">
        <f aca="false">SUM(K76:K84)</f>
        <v>#VALUE!</v>
      </c>
      <c r="O85" s="48"/>
      <c r="P85" s="48"/>
      <c r="Q85" s="48"/>
      <c r="R85" s="48"/>
      <c r="S85" s="48"/>
      <c r="T85" s="48"/>
      <c r="U85" s="48"/>
    </row>
    <row r="86" customFormat="false" ht="15" hidden="false" customHeight="false" outlineLevel="0" collapsed="false">
      <c r="A86" s="82" t="s">
        <v>701</v>
      </c>
      <c r="B86" s="107"/>
      <c r="C86" s="1204" t="e">
        <f aca="false">IF('7.2.2 Turnover Parts'!C17=0,0,((('7.2.2 Turnover Parts'!C36-'7.2.2 Turnover Parts'!C26)*'7.3 Cost of sales'!B76)+('7.2.2 Turnover Parts'!C26*'7.3 Cost of sales'!B78)+('7.2.2 Turnover Parts'!C41*'7.3 Cost of sales'!B80)+('7.2.2 Turnover Parts'!C42*'7.3 Cost of sales'!B81))/('7.2.2 Turnover Parts'!C17+1E-016))</f>
        <v>#VALUE!</v>
      </c>
      <c r="D86" s="1205" t="e">
        <f aca="false">IF('7.2.2 Turnover Parts'!E17=0,0,((('7.2.2 Turnover Parts'!E36-'7.2.2 Turnover Parts'!E26)*'7.3 Cost of sales'!D76)+('7.2.2 Turnover Parts'!E26*'7.3 Cost of sales'!D78)+('7.2.2 Turnover Parts'!E41*'7.3 Cost of sales'!D80)+('7.2.2 Turnover Parts'!E42*'7.3 Cost of sales'!D81))/('7.2.2 Turnover Parts'!E17+0.000000001))</f>
        <v>#VALUE!</v>
      </c>
      <c r="E86" s="107"/>
      <c r="F86" s="1205" t="e">
        <f aca="false">IF('7.2.2 Turnover Parts'!G17=0,0,((('7.2.2 Turnover Parts'!G36-'7.2.2 Turnover Parts'!G26)*'7.3 Cost of sales'!F76)+('7.2.2 Turnover Parts'!G26*'7.3 Cost of sales'!F78)+('7.2.2 Turnover Parts'!G41*'7.3 Cost of sales'!F80)+('7.2.2 Turnover Parts'!G42*'7.3 Cost of sales'!F81))/('7.2.2 Turnover Parts'!G17+0.00000000000001))</f>
        <v>#VALUE!</v>
      </c>
      <c r="G86" s="107"/>
      <c r="H86" s="1205" t="e">
        <f aca="false">IF('7.2.2 Turnover Parts'!I17=0,0,((('7.2.2 Turnover Parts'!I36-'7.2.2 Turnover Parts'!I26)*'7.3 Cost of sales'!H76)+('7.2.2 Turnover Parts'!I26*'7.3 Cost of sales'!H78)+('7.2.2 Turnover Parts'!I41*'7.3 Cost of sales'!H80)+('7.2.2 Turnover Parts'!I42*'7.3 Cost of sales'!H81))/('7.2.2 Turnover Parts'!I17+1E-015))</f>
        <v>#VALUE!</v>
      </c>
      <c r="I86" s="107"/>
      <c r="J86" s="1205" t="e">
        <f aca="false">IF('7.2.2 Turnover Parts'!K17=0,0,((('7.2.2 Turnover Parts'!K36-'7.2.2 Turnover Parts'!K26)*'7.3 Cost of sales'!J76)+('7.2.2 Turnover Parts'!K26*'7.3 Cost of sales'!J78)+('7.2.2 Turnover Parts'!K41*'7.3 Cost of sales'!J80)+('7.2.2 Turnover Parts'!K42*'7.3 Cost of sales'!J81))/('7.2.2 Turnover Parts'!K17+1E-015))</f>
        <v>#VALUE!</v>
      </c>
      <c r="K86" s="84"/>
    </row>
    <row r="87" customFormat="false" ht="18.75" hidden="false" customHeight="false" outlineLevel="0" collapsed="false">
      <c r="A87" s="1206" t="s">
        <v>702</v>
      </c>
      <c r="B87" s="1207"/>
      <c r="C87" s="1207"/>
      <c r="D87" s="1207"/>
      <c r="E87" s="964"/>
      <c r="F87" s="964"/>
      <c r="G87" s="964"/>
      <c r="H87" s="964"/>
      <c r="I87" s="964"/>
      <c r="J87" s="1207"/>
      <c r="K87" s="1208"/>
    </row>
    <row r="88" customFormat="false" ht="15" hidden="false" customHeight="false" outlineLevel="0" collapsed="false">
      <c r="A88" s="1209" t="s">
        <v>703</v>
      </c>
      <c r="B88" s="1210"/>
      <c r="C88" s="1211" t="n">
        <v>0</v>
      </c>
      <c r="D88" s="1212"/>
      <c r="E88" s="1187" t="n">
        <f aca="false">C88</f>
        <v>0</v>
      </c>
      <c r="F88" s="1213"/>
      <c r="G88" s="1187" t="n">
        <f aca="false">E88</f>
        <v>0</v>
      </c>
      <c r="H88" s="1213"/>
      <c r="I88" s="1187" t="n">
        <f aca="false">G88</f>
        <v>0</v>
      </c>
      <c r="J88" s="1212"/>
      <c r="K88" s="1211" t="n">
        <f aca="false">I88</f>
        <v>0</v>
      </c>
    </row>
    <row r="89" customFormat="false" ht="15" hidden="false" customHeight="false" outlineLevel="0" collapsed="false">
      <c r="A89" s="1214"/>
      <c r="B89" s="1172" t="s">
        <v>687</v>
      </c>
      <c r="C89" s="1215"/>
      <c r="D89" s="1172" t="s">
        <v>687</v>
      </c>
      <c r="E89" s="1216"/>
      <c r="F89" s="1172" t="s">
        <v>687</v>
      </c>
      <c r="G89" s="1216"/>
      <c r="H89" s="1172" t="s">
        <v>687</v>
      </c>
      <c r="I89" s="1216"/>
      <c r="J89" s="1172" t="s">
        <v>687</v>
      </c>
      <c r="K89" s="1215"/>
    </row>
    <row r="90" customFormat="false" ht="15" hidden="false" customHeight="false" outlineLevel="0" collapsed="false">
      <c r="A90" s="1214"/>
      <c r="B90" s="1172" t="s">
        <v>688</v>
      </c>
      <c r="C90" s="1215"/>
      <c r="D90" s="1172" t="s">
        <v>688</v>
      </c>
      <c r="E90" s="1216"/>
      <c r="F90" s="1172" t="s">
        <v>688</v>
      </c>
      <c r="G90" s="1216"/>
      <c r="H90" s="1172" t="s">
        <v>688</v>
      </c>
      <c r="I90" s="1216"/>
      <c r="J90" s="1172" t="s">
        <v>688</v>
      </c>
      <c r="K90" s="1215"/>
    </row>
    <row r="91" customFormat="false" ht="15" hidden="false" customHeight="false" outlineLevel="0" collapsed="false">
      <c r="A91" s="1185" t="s">
        <v>704</v>
      </c>
      <c r="B91" s="1187" t="n">
        <v>0</v>
      </c>
      <c r="C91" s="1217" t="e">
        <f aca="false">(C76+C78+C80+C81)*C88*B91</f>
        <v>#VALUE!</v>
      </c>
      <c r="D91" s="1187" t="n">
        <f aca="false">B91</f>
        <v>0</v>
      </c>
      <c r="E91" s="1218" t="e">
        <f aca="false">(E76+E78+E80+E81)*E88*D91</f>
        <v>#VALUE!</v>
      </c>
      <c r="F91" s="1187" t="n">
        <f aca="false">D91</f>
        <v>0</v>
      </c>
      <c r="G91" s="1218" t="e">
        <f aca="false">(G76+G78+G80+G81)*G88*F91</f>
        <v>#VALUE!</v>
      </c>
      <c r="H91" s="1187" t="n">
        <f aca="false">F91</f>
        <v>0</v>
      </c>
      <c r="I91" s="1218" t="e">
        <f aca="false">(I76+I78+I80+I81)*I88*H91</f>
        <v>#VALUE!</v>
      </c>
      <c r="J91" s="1187" t="n">
        <f aca="false">H91</f>
        <v>0</v>
      </c>
      <c r="K91" s="1217" t="e">
        <f aca="false">(K76+K78+K80+K81)*K88*J91</f>
        <v>#VALUE!</v>
      </c>
    </row>
    <row r="92" customFormat="false" ht="15" hidden="false" customHeight="false" outlineLevel="0" collapsed="false">
      <c r="A92" s="1185" t="s">
        <v>651</v>
      </c>
      <c r="B92" s="1187" t="n">
        <v>0</v>
      </c>
      <c r="C92" s="1219" t="e">
        <f aca="false">(C77+C79+C82+C84)*$B$92</f>
        <v>#VALUE!</v>
      </c>
      <c r="D92" s="1187" t="n">
        <f aca="false">B92</f>
        <v>0</v>
      </c>
      <c r="E92" s="1220" t="n">
        <f aca="false">(E77+E79+E82+E84)*D92</f>
        <v>0</v>
      </c>
      <c r="F92" s="1187" t="n">
        <f aca="false">D92</f>
        <v>0</v>
      </c>
      <c r="G92" s="1220" t="n">
        <f aca="false">(G77+G79+G82+G84)*F92</f>
        <v>0</v>
      </c>
      <c r="H92" s="1187" t="n">
        <f aca="false">F92</f>
        <v>0</v>
      </c>
      <c r="I92" s="1220" t="n">
        <f aca="false">(I77+I79+I82+I84)*H92</f>
        <v>0</v>
      </c>
      <c r="J92" s="1187" t="n">
        <f aca="false">H92</f>
        <v>0</v>
      </c>
      <c r="K92" s="1221" t="n">
        <f aca="false">(K77+K79+K82+K84)*J92</f>
        <v>0</v>
      </c>
    </row>
    <row r="93" customFormat="false" ht="15" hidden="false" customHeight="false" outlineLevel="0" collapsed="false">
      <c r="A93" s="1185"/>
      <c r="B93" s="1222"/>
      <c r="C93" s="1217" t="e">
        <f aca="false">SUM(C91:C92)</f>
        <v>#VALUE!</v>
      </c>
      <c r="D93" s="1218"/>
      <c r="E93" s="1223" t="e">
        <f aca="false">SUM(E91:E92)</f>
        <v>#VALUE!</v>
      </c>
      <c r="F93" s="1223"/>
      <c r="G93" s="1223" t="e">
        <f aca="false">SUM(G91:G92)</f>
        <v>#VALUE!</v>
      </c>
      <c r="H93" s="1223"/>
      <c r="I93" s="1223" t="e">
        <f aca="false">SUM(I91:I92)</f>
        <v>#VALUE!</v>
      </c>
      <c r="J93" s="1223"/>
      <c r="K93" s="1224" t="e">
        <f aca="false">SUM(K91:K92)</f>
        <v>#VALUE!</v>
      </c>
    </row>
    <row r="94" customFormat="false" ht="15" hidden="false" customHeight="false" outlineLevel="0" collapsed="false">
      <c r="A94" s="1190"/>
      <c r="B94" s="1191"/>
      <c r="C94" s="1219"/>
      <c r="D94" s="1225"/>
      <c r="E94" s="1225"/>
      <c r="F94" s="1225"/>
      <c r="G94" s="1225"/>
      <c r="H94" s="1225"/>
      <c r="I94" s="1225"/>
      <c r="J94" s="1225"/>
      <c r="K94" s="1219"/>
    </row>
    <row r="95" customFormat="false" ht="15" hidden="false" customHeight="false" outlineLevel="0" collapsed="false">
      <c r="A95" s="1216"/>
      <c r="B95" s="1222"/>
      <c r="C95" s="1218"/>
      <c r="D95" s="1218"/>
      <c r="E95" s="1218"/>
      <c r="F95" s="1218"/>
      <c r="G95" s="1218"/>
      <c r="H95" s="1218"/>
      <c r="I95" s="1218"/>
      <c r="J95" s="1218"/>
      <c r="K95" s="1218"/>
    </row>
    <row r="96" customFormat="false" ht="18.75" hidden="false" customHeight="false" outlineLevel="0" collapsed="false">
      <c r="A96" s="839" t="s">
        <v>705</v>
      </c>
      <c r="B96" s="132"/>
      <c r="C96" s="132"/>
      <c r="D96" s="132"/>
      <c r="E96" s="132"/>
      <c r="F96" s="132"/>
      <c r="G96" s="132"/>
      <c r="H96" s="132"/>
      <c r="I96" s="132"/>
      <c r="J96" s="132"/>
      <c r="K96" s="133"/>
    </row>
    <row r="97" customFormat="false" ht="15" hidden="false" customHeight="false" outlineLevel="0" collapsed="false">
      <c r="A97" s="1185"/>
      <c r="B97" s="1172"/>
      <c r="C97" s="1226"/>
      <c r="D97" s="1218"/>
      <c r="E97" s="1218"/>
      <c r="F97" s="1218"/>
      <c r="G97" s="1218"/>
      <c r="H97" s="1218"/>
      <c r="I97" s="1218"/>
      <c r="J97" s="1218"/>
      <c r="K97" s="1217"/>
    </row>
    <row r="98" customFormat="false" ht="15" hidden="false" customHeight="false" outlineLevel="0" collapsed="false">
      <c r="A98" s="1185"/>
      <c r="B98" s="1172" t="s">
        <v>675</v>
      </c>
      <c r="C98" s="1217"/>
      <c r="D98" s="1172" t="s">
        <v>675</v>
      </c>
      <c r="E98" s="1218"/>
      <c r="F98" s="1172" t="s">
        <v>675</v>
      </c>
      <c r="G98" s="1218"/>
      <c r="H98" s="1172" t="s">
        <v>675</v>
      </c>
      <c r="I98" s="1218"/>
      <c r="J98" s="1172" t="s">
        <v>675</v>
      </c>
      <c r="K98" s="1217"/>
    </row>
    <row r="99" customFormat="false" ht="15" hidden="false" customHeight="false" outlineLevel="0" collapsed="false">
      <c r="A99" s="1185" t="str">
        <f aca="false">'7.2.3 Turnover Service &amp; Body'!A49</f>
        <v>Body &amp; paint</v>
      </c>
      <c r="B99" s="1178" t="n">
        <v>0</v>
      </c>
      <c r="C99" s="1217" t="n">
        <f aca="false">'7.2.3 Turnover Service &amp; Body'!C49*(1-'7.3 Cost of sales'!$B$99)</f>
        <v>3000</v>
      </c>
      <c r="D99" s="1178" t="n">
        <f aca="false">B99</f>
        <v>0</v>
      </c>
      <c r="E99" s="1218" t="n">
        <f aca="false">'7.2.3 Turnover Service &amp; Body'!E49*(1-'7.3 Cost of sales'!D99)</f>
        <v>5000</v>
      </c>
      <c r="F99" s="1178" t="n">
        <f aca="false">D99</f>
        <v>0</v>
      </c>
      <c r="G99" s="1218" t="n">
        <f aca="false">'7.2.3 Turnover Service &amp; Body'!G49*(1-'7.3 Cost of sales'!F99)</f>
        <v>8000</v>
      </c>
      <c r="H99" s="1178" t="n">
        <f aca="false">F99</f>
        <v>0</v>
      </c>
      <c r="I99" s="1218" t="n">
        <f aca="false">'7.2.3 Turnover Service &amp; Body'!I49*(1-'7.3 Cost of sales'!H99)</f>
        <v>12000</v>
      </c>
      <c r="J99" s="1178" t="n">
        <f aca="false">H99</f>
        <v>0</v>
      </c>
      <c r="K99" s="1217" t="n">
        <f aca="false">'7.2.3 Turnover Service &amp; Body'!K49*(1-'7.3 Cost of sales'!J99)</f>
        <v>16000</v>
      </c>
    </row>
    <row r="100" customFormat="false" ht="15" hidden="false" customHeight="false" outlineLevel="0" collapsed="false">
      <c r="A100" s="1185" t="str">
        <f aca="false">'7.2.3 Turnover Service &amp; Body'!A50</f>
        <v>Other 1</v>
      </c>
      <c r="B100" s="1178" t="n">
        <v>0</v>
      </c>
      <c r="C100" s="1217" t="n">
        <f aca="false">'7.2.3 Turnover Service &amp; Body'!C50*(1-'7.3 Cost of sales'!$B$100)</f>
        <v>0</v>
      </c>
      <c r="D100" s="1178" t="n">
        <f aca="false">B100</f>
        <v>0</v>
      </c>
      <c r="E100" s="1218" t="n">
        <f aca="false">'7.2.3 Turnover Service &amp; Body'!E50*(1-'7.3 Cost of sales'!D100)</f>
        <v>0</v>
      </c>
      <c r="F100" s="1178" t="n">
        <f aca="false">D100</f>
        <v>0</v>
      </c>
      <c r="G100" s="1218" t="n">
        <f aca="false">'7.2.3 Turnover Service &amp; Body'!G50*(1-'7.3 Cost of sales'!F100)</f>
        <v>0</v>
      </c>
      <c r="H100" s="1178" t="n">
        <f aca="false">F100</f>
        <v>0</v>
      </c>
      <c r="I100" s="1218" t="n">
        <f aca="false">'7.2.3 Turnover Service &amp; Body'!I50*(1-'7.3 Cost of sales'!H100)</f>
        <v>0</v>
      </c>
      <c r="J100" s="1178" t="n">
        <f aca="false">H100</f>
        <v>0</v>
      </c>
      <c r="K100" s="1217" t="n">
        <f aca="false">'7.2.3 Turnover Service &amp; Body'!K50*(1-'7.3 Cost of sales'!J100)</f>
        <v>0</v>
      </c>
    </row>
    <row r="101" customFormat="false" ht="15" hidden="false" customHeight="false" outlineLevel="0" collapsed="false">
      <c r="A101" s="1185" t="str">
        <f aca="false">'7.2.3 Turnover Service &amp; Body'!A51</f>
        <v>Other 2</v>
      </c>
      <c r="B101" s="1178" t="n">
        <v>0</v>
      </c>
      <c r="C101" s="1219" t="n">
        <f aca="false">'7.2.3 Turnover Service &amp; Body'!C51*(1-'7.3 Cost of sales'!B101)</f>
        <v>0</v>
      </c>
      <c r="D101" s="1178" t="n">
        <f aca="false">B101</f>
        <v>0</v>
      </c>
      <c r="E101" s="1225" t="n">
        <f aca="false">'7.2.3 Turnover Service &amp; Body'!E51*(1-'7.3 Cost of sales'!D101)</f>
        <v>0</v>
      </c>
      <c r="F101" s="1178" t="n">
        <f aca="false">D101</f>
        <v>0</v>
      </c>
      <c r="G101" s="1225" t="n">
        <f aca="false">'7.2.3 Turnover Service &amp; Body'!G51*(1-'7.3 Cost of sales'!F101)</f>
        <v>0</v>
      </c>
      <c r="H101" s="1178" t="n">
        <f aca="false">F101</f>
        <v>0</v>
      </c>
      <c r="I101" s="1225" t="n">
        <f aca="false">'7.2.3 Turnover Service &amp; Body'!I51*(1-'7.3 Cost of sales'!H101)</f>
        <v>0</v>
      </c>
      <c r="J101" s="1178" t="n">
        <f aca="false">H101</f>
        <v>0</v>
      </c>
      <c r="K101" s="1219" t="n">
        <f aca="false">'7.2.3 Turnover Service &amp; Body'!K51*(1-'7.3 Cost of sales'!J101)</f>
        <v>0</v>
      </c>
    </row>
    <row r="102" customFormat="false" ht="15" hidden="false" customHeight="false" outlineLevel="0" collapsed="false">
      <c r="A102" s="1214" t="s">
        <v>293</v>
      </c>
      <c r="B102" s="1197"/>
      <c r="C102" s="1227" t="n">
        <f aca="false">SUM(C99:C101)</f>
        <v>3000</v>
      </c>
      <c r="D102" s="1228"/>
      <c r="E102" s="1228" t="n">
        <f aca="false">SUM(E99:E101)</f>
        <v>5000</v>
      </c>
      <c r="F102" s="1228"/>
      <c r="G102" s="1228" t="n">
        <f aca="false">SUM(G99:G101)</f>
        <v>8000</v>
      </c>
      <c r="H102" s="1228"/>
      <c r="I102" s="1228" t="n">
        <f aca="false">SUM(I99:I101)</f>
        <v>12000</v>
      </c>
      <c r="J102" s="1228"/>
      <c r="K102" s="1227" t="n">
        <f aca="false">SUM(K99:K101)</f>
        <v>16000</v>
      </c>
    </row>
    <row r="103" customFormat="false" ht="15" hidden="false" customHeight="false" outlineLevel="0" collapsed="false">
      <c r="A103" s="1190"/>
      <c r="B103" s="1191"/>
      <c r="C103" s="1219"/>
      <c r="D103" s="1225"/>
      <c r="E103" s="1225"/>
      <c r="F103" s="1225"/>
      <c r="G103" s="1225"/>
      <c r="H103" s="1225"/>
      <c r="I103" s="1225"/>
      <c r="J103" s="1225"/>
      <c r="K103" s="1219"/>
    </row>
    <row r="104" customFormat="false" ht="15.75" hidden="false" customHeight="false" outlineLevel="0" collapsed="false">
      <c r="A104" s="1216"/>
      <c r="B104" s="1222"/>
      <c r="C104" s="1218"/>
      <c r="D104" s="1218"/>
      <c r="E104" s="1218"/>
      <c r="F104" s="1218"/>
      <c r="G104" s="1218"/>
      <c r="H104" s="1218"/>
      <c r="I104" s="1218"/>
      <c r="J104" s="1218"/>
      <c r="K104" s="1218"/>
    </row>
    <row r="105" customFormat="false" ht="19.5" hidden="false" customHeight="false" outlineLevel="0" collapsed="false">
      <c r="A105" s="1229" t="s">
        <v>706</v>
      </c>
      <c r="B105" s="1230"/>
      <c r="C105" s="1230"/>
      <c r="D105" s="1230"/>
      <c r="E105" s="1230"/>
      <c r="F105" s="1230"/>
      <c r="G105" s="1230"/>
      <c r="H105" s="1230"/>
      <c r="I105" s="1230"/>
      <c r="J105" s="1230"/>
      <c r="K105" s="1231"/>
    </row>
    <row r="106" customFormat="false" ht="15" hidden="false" customHeight="false" outlineLevel="0" collapsed="false">
      <c r="A106" s="1046"/>
      <c r="B106" s="48"/>
      <c r="C106" s="54"/>
      <c r="D106" s="48"/>
      <c r="E106" s="48"/>
      <c r="F106" s="48"/>
      <c r="G106" s="48"/>
      <c r="H106" s="48"/>
      <c r="I106" s="48"/>
      <c r="J106" s="48"/>
      <c r="K106" s="670"/>
    </row>
    <row r="107" customFormat="false" ht="15" hidden="false" customHeight="false" outlineLevel="0" collapsed="false">
      <c r="A107" s="1046" t="s">
        <v>707</v>
      </c>
      <c r="B107" s="48"/>
      <c r="C107" s="875" t="n">
        <f aca="false">C62</f>
        <v>-10</v>
      </c>
      <c r="D107" s="48"/>
      <c r="E107" s="925" t="n">
        <f aca="false">E62</f>
        <v>0</v>
      </c>
      <c r="F107" s="86"/>
      <c r="G107" s="925" t="n">
        <f aca="false">G62</f>
        <v>0</v>
      </c>
      <c r="H107" s="86"/>
      <c r="I107" s="925" t="n">
        <f aca="false">I62</f>
        <v>0</v>
      </c>
      <c r="J107" s="86"/>
      <c r="K107" s="1232" t="n">
        <f aca="false">K62</f>
        <v>0</v>
      </c>
    </row>
    <row r="108" customFormat="false" ht="15" hidden="false" customHeight="false" outlineLevel="0" collapsed="false">
      <c r="A108" s="1046" t="s">
        <v>173</v>
      </c>
      <c r="B108" s="48"/>
      <c r="C108" s="875" t="e">
        <f aca="false">C85</f>
        <v>#VALUE!</v>
      </c>
      <c r="D108" s="48"/>
      <c r="E108" s="925" t="e">
        <f aca="false">E85</f>
        <v>#VALUE!</v>
      </c>
      <c r="F108" s="86"/>
      <c r="G108" s="925" t="e">
        <f aca="false">G85</f>
        <v>#VALUE!</v>
      </c>
      <c r="H108" s="86"/>
      <c r="I108" s="925" t="e">
        <f aca="false">I85</f>
        <v>#VALUE!</v>
      </c>
      <c r="J108" s="86"/>
      <c r="K108" s="1232" t="e">
        <f aca="false">K85</f>
        <v>#VALUE!</v>
      </c>
    </row>
    <row r="109" customFormat="false" ht="15" hidden="false" customHeight="false" outlineLevel="0" collapsed="false">
      <c r="A109" s="1046" t="s">
        <v>708</v>
      </c>
      <c r="B109" s="48"/>
      <c r="C109" s="875" t="n">
        <f aca="false">C102</f>
        <v>3000</v>
      </c>
      <c r="D109" s="48"/>
      <c r="E109" s="925" t="n">
        <f aca="false">E102</f>
        <v>5000</v>
      </c>
      <c r="F109" s="86"/>
      <c r="G109" s="925" t="n">
        <f aca="false">G102</f>
        <v>8000</v>
      </c>
      <c r="H109" s="86"/>
      <c r="I109" s="925" t="n">
        <f aca="false">I102</f>
        <v>12000</v>
      </c>
      <c r="J109" s="86"/>
      <c r="K109" s="1232" t="n">
        <f aca="false">K102</f>
        <v>16000</v>
      </c>
    </row>
    <row r="110" customFormat="false" ht="15" hidden="false" customHeight="false" outlineLevel="0" collapsed="false">
      <c r="A110" s="1046" t="s">
        <v>709</v>
      </c>
      <c r="B110" s="48"/>
      <c r="C110" s="875" t="n">
        <f aca="false">-C69</f>
        <v>-0</v>
      </c>
      <c r="D110" s="48"/>
      <c r="E110" s="925" t="n">
        <f aca="false">-E69</f>
        <v>-0</v>
      </c>
      <c r="F110" s="86"/>
      <c r="G110" s="925" t="n">
        <f aca="false">-G69</f>
        <v>-0</v>
      </c>
      <c r="H110" s="86"/>
      <c r="I110" s="925" t="n">
        <f aca="false">-I69</f>
        <v>-0</v>
      </c>
      <c r="J110" s="86"/>
      <c r="K110" s="1232" t="n">
        <f aca="false">-K69</f>
        <v>-0</v>
      </c>
    </row>
    <row r="111" customFormat="false" ht="15" hidden="false" customHeight="false" outlineLevel="0" collapsed="false">
      <c r="A111" s="1046" t="s">
        <v>710</v>
      </c>
      <c r="B111" s="48"/>
      <c r="C111" s="966" t="e">
        <f aca="false">-C93</f>
        <v>#VALUE!</v>
      </c>
      <c r="D111" s="48"/>
      <c r="E111" s="927" t="e">
        <f aca="false">-E93</f>
        <v>#VALUE!</v>
      </c>
      <c r="F111" s="86"/>
      <c r="G111" s="927" t="e">
        <f aca="false">-G93</f>
        <v>#VALUE!</v>
      </c>
      <c r="H111" s="86"/>
      <c r="I111" s="927" t="e">
        <f aca="false">-I93</f>
        <v>#VALUE!</v>
      </c>
      <c r="J111" s="86"/>
      <c r="K111" s="1233" t="e">
        <f aca="false">-K93</f>
        <v>#VALUE!</v>
      </c>
    </row>
    <row r="112" customFormat="false" ht="15" hidden="false" customHeight="false" outlineLevel="0" collapsed="false">
      <c r="A112" s="1060" t="s">
        <v>293</v>
      </c>
      <c r="B112" s="48"/>
      <c r="C112" s="1152" t="e">
        <f aca="false">SUM(C107:C111)</f>
        <v>#VALUE!</v>
      </c>
      <c r="D112" s="67"/>
      <c r="E112" s="911" t="e">
        <f aca="false">SUM(E107:E111)</f>
        <v>#VALUE!</v>
      </c>
      <c r="F112" s="67"/>
      <c r="G112" s="911" t="e">
        <f aca="false">SUM(G107:G111)</f>
        <v>#VALUE!</v>
      </c>
      <c r="H112" s="280"/>
      <c r="I112" s="911" t="e">
        <f aca="false">SUM(I107:I111)</f>
        <v>#VALUE!</v>
      </c>
      <c r="J112" s="280"/>
      <c r="K112" s="1234" t="e">
        <f aca="false">SUM(K107:K111)</f>
        <v>#VALUE!</v>
      </c>
    </row>
    <row r="113" customFormat="false" ht="15.75" hidden="false" customHeight="false" outlineLevel="0" collapsed="false">
      <c r="A113" s="1064"/>
      <c r="B113" s="1065"/>
      <c r="C113" s="1066"/>
      <c r="D113" s="1065"/>
      <c r="E113" s="1065"/>
      <c r="F113" s="1065"/>
      <c r="G113" s="1065"/>
      <c r="H113" s="1065"/>
      <c r="I113" s="1065"/>
      <c r="J113" s="1065"/>
      <c r="K113" s="1068"/>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7.xml><?xml version="1.0" encoding="utf-8"?>
<worksheet xmlns="http://schemas.openxmlformats.org/spreadsheetml/2006/main" xmlns:r="http://schemas.openxmlformats.org/officeDocument/2006/relationships">
  <sheetPr filterMode="false">
    <tabColor rgb="FFC0C0C0"/>
    <pageSetUpPr fitToPage="false"/>
  </sheetPr>
  <dimension ref="A1:K173"/>
  <sheetViews>
    <sheetView showFormulas="false" showGridLines="false" showRowColHeaders="true" showZeros="true" rightToLeft="false" tabSelected="false" showOutlineSymbols="true" defaultGridColor="true" view="normal" topLeftCell="A4" colorId="64" zoomScale="80" zoomScaleNormal="80" zoomScalePageLayoutView="100" workbookViewId="0">
      <selection pane="topLeft" activeCell="C22" activeCellId="0" sqref="C22"/>
    </sheetView>
  </sheetViews>
  <sheetFormatPr defaultRowHeight="15" zeroHeight="true" outlineLevelRow="0" outlineLevelCol="0"/>
  <cols>
    <col collapsed="false" customWidth="true" hidden="false" outlineLevel="0" max="1" min="1" style="4" width="33"/>
    <col collapsed="false" customWidth="true" hidden="false" outlineLevel="0" max="2" min="2" style="4" width="10.42"/>
    <col collapsed="false" customWidth="true" hidden="false" outlineLevel="0" max="3" min="3" style="4" width="13.57"/>
    <col collapsed="false" customWidth="true" hidden="false" outlineLevel="0" max="4" min="4" style="4" width="9.14"/>
    <col collapsed="false" customWidth="true" hidden="false" outlineLevel="0" max="5" min="5" style="4" width="13.57"/>
    <col collapsed="false" customWidth="true" hidden="false" outlineLevel="0" max="6" min="6" style="4" width="9.14"/>
    <col collapsed="false" customWidth="true" hidden="false" outlineLevel="0" max="7" min="7" style="4" width="14.15"/>
    <col collapsed="false" customWidth="true" hidden="false" outlineLevel="0" max="8" min="8" style="4" width="10.85"/>
    <col collapsed="false" customWidth="true" hidden="false" outlineLevel="0" max="9" min="9" style="4" width="14.43"/>
    <col collapsed="false" customWidth="true" hidden="false" outlineLevel="0" max="10" min="10" style="4" width="11.86"/>
    <col collapsed="false" customWidth="true" hidden="false" outlineLevel="0" max="11" min="11" style="4" width="15.57"/>
    <col collapsed="false" customWidth="true" hidden="false" outlineLevel="0" max="12" min="12" style="4" width="1.42"/>
    <col collapsed="false" customWidth="true" hidden="true" outlineLevel="0" max="13" min="13" style="4" width="9.14"/>
    <col collapsed="false" customWidth="false" hidden="true" outlineLevel="0" max="14" min="14" style="4" width="11.57"/>
    <col collapsed="false" customWidth="true" hidden="true" outlineLevel="0" max="1025" min="15" style="4" width="9.14"/>
  </cols>
  <sheetData>
    <row r="1" customFormat="false" ht="28.5" hidden="false" customHeight="false" outlineLevel="0" collapsed="false">
      <c r="A1" s="113" t="s">
        <v>525</v>
      </c>
      <c r="B1" s="114"/>
      <c r="C1" s="114"/>
      <c r="D1" s="114"/>
      <c r="E1" s="114"/>
      <c r="F1" s="114"/>
      <c r="G1" s="114"/>
      <c r="H1" s="114"/>
      <c r="I1" s="114"/>
      <c r="J1" s="114"/>
      <c r="K1" s="115" t="s">
        <v>711</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851"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'7.1 Dealer area'!K3</f>
        <v>EUR</v>
      </c>
    </row>
    <row r="4" customFormat="false" ht="15" hidden="false" customHeight="false" outlineLevel="0" collapsed="false">
      <c r="A4" s="52"/>
      <c r="B4" s="129"/>
      <c r="C4" s="48"/>
      <c r="D4" s="48"/>
      <c r="E4" s="48"/>
      <c r="F4" s="48"/>
      <c r="G4" s="130"/>
      <c r="H4" s="48"/>
      <c r="I4" s="48"/>
      <c r="J4" s="48"/>
      <c r="K4" s="939"/>
    </row>
    <row r="5" customFormat="false" ht="15" hidden="false" customHeight="false" outlineLevel="0" collapsed="false">
      <c r="A5" s="82"/>
      <c r="B5" s="107"/>
      <c r="C5" s="940" t="n">
        <f aca="false">'7.3 Cost of sales'!C5</f>
        <v>2019</v>
      </c>
      <c r="D5" s="941"/>
      <c r="E5" s="860" t="n">
        <f aca="false">'7.1 Dealer area'!E5</f>
        <v>2020</v>
      </c>
      <c r="F5" s="942"/>
      <c r="G5" s="860" t="n">
        <f aca="false">'7.1 Dealer area'!G5</f>
        <v>2021</v>
      </c>
      <c r="H5" s="943"/>
      <c r="I5" s="860" t="n">
        <f aca="false">'7.1 Dealer area'!I5</f>
        <v>2022</v>
      </c>
      <c r="J5" s="943"/>
      <c r="K5" s="860" t="n">
        <f aca="false">'7.1 Dealer area'!K5</f>
        <v>2023</v>
      </c>
    </row>
    <row r="6" customFormat="false" ht="18.75" hidden="false" customHeight="false" outlineLevel="0" collapsed="false">
      <c r="A6" s="839" t="s">
        <v>712</v>
      </c>
      <c r="B6" s="132"/>
      <c r="C6" s="132"/>
      <c r="D6" s="132"/>
      <c r="E6" s="132"/>
      <c r="F6" s="132"/>
      <c r="G6" s="132"/>
      <c r="H6" s="132"/>
      <c r="I6" s="132"/>
      <c r="J6" s="132"/>
      <c r="K6" s="133"/>
    </row>
    <row r="7" customFormat="false" ht="15" hidden="false" customHeight="false" outlineLevel="0" collapsed="false">
      <c r="A7" s="52"/>
      <c r="B7" s="48"/>
      <c r="C7" s="54"/>
      <c r="D7" s="48"/>
      <c r="E7" s="48"/>
      <c r="F7" s="48"/>
      <c r="G7" s="48"/>
      <c r="H7" s="48"/>
      <c r="I7" s="48"/>
      <c r="J7" s="48"/>
      <c r="K7" s="54"/>
    </row>
    <row r="8" customFormat="false" ht="15" hidden="false" customHeight="false" outlineLevel="0" collapsed="false">
      <c r="A8" s="52" t="s">
        <v>713</v>
      </c>
      <c r="B8" s="48"/>
      <c r="C8" s="1235" t="n">
        <v>0</v>
      </c>
      <c r="D8" s="1051"/>
      <c r="E8" s="1236" t="n">
        <f aca="false">+C8</f>
        <v>0</v>
      </c>
      <c r="F8" s="1237"/>
      <c r="G8" s="1236" t="n">
        <f aca="false">+C8</f>
        <v>0</v>
      </c>
      <c r="H8" s="1238"/>
      <c r="I8" s="1236" t="n">
        <f aca="false">+C8</f>
        <v>0</v>
      </c>
      <c r="J8" s="1238"/>
      <c r="K8" s="1239" t="n">
        <f aca="false">+C8</f>
        <v>0</v>
      </c>
    </row>
    <row r="9" customFormat="false" ht="15" hidden="false" customHeight="false" outlineLevel="0" collapsed="false">
      <c r="A9" s="52" t="s">
        <v>714</v>
      </c>
      <c r="B9" s="48"/>
      <c r="C9" s="1235" t="n">
        <v>0</v>
      </c>
      <c r="D9" s="1051"/>
      <c r="E9" s="1236" t="n">
        <f aca="false">+C9</f>
        <v>0</v>
      </c>
      <c r="F9" s="1237"/>
      <c r="G9" s="1236" t="n">
        <f aca="false">+C9</f>
        <v>0</v>
      </c>
      <c r="H9" s="1238"/>
      <c r="I9" s="1236" t="n">
        <f aca="false">+C9</f>
        <v>0</v>
      </c>
      <c r="J9" s="1238"/>
      <c r="K9" s="1239" t="n">
        <f aca="false">+C9</f>
        <v>0</v>
      </c>
    </row>
    <row r="10" customFormat="false" ht="15" hidden="false" customHeight="false" outlineLevel="0" collapsed="false">
      <c r="A10" s="52" t="s">
        <v>715</v>
      </c>
      <c r="B10" s="48"/>
      <c r="C10" s="1235" t="n">
        <v>0</v>
      </c>
      <c r="D10" s="1051"/>
      <c r="E10" s="1236" t="n">
        <f aca="false">C10</f>
        <v>0</v>
      </c>
      <c r="F10" s="1237"/>
      <c r="G10" s="1236" t="n">
        <f aca="false">E10</f>
        <v>0</v>
      </c>
      <c r="H10" s="1238"/>
      <c r="I10" s="1236" t="n">
        <f aca="false">G10</f>
        <v>0</v>
      </c>
      <c r="J10" s="1238"/>
      <c r="K10" s="1239" t="n">
        <f aca="false">I10</f>
        <v>0</v>
      </c>
    </row>
    <row r="11" customFormat="false" ht="15" hidden="false" customHeight="false" outlineLevel="0" collapsed="false">
      <c r="A11" s="52" t="s">
        <v>716</v>
      </c>
      <c r="B11" s="48"/>
      <c r="C11" s="1235" t="n">
        <v>0</v>
      </c>
      <c r="D11" s="1051"/>
      <c r="E11" s="1236" t="n">
        <f aca="false">C11</f>
        <v>0</v>
      </c>
      <c r="F11" s="1238"/>
      <c r="G11" s="1236" t="n">
        <f aca="false">E11</f>
        <v>0</v>
      </c>
      <c r="H11" s="1238"/>
      <c r="I11" s="1236" t="n">
        <f aca="false">G11</f>
        <v>0</v>
      </c>
      <c r="J11" s="1238"/>
      <c r="K11" s="1239" t="n">
        <f aca="false">I11</f>
        <v>0</v>
      </c>
    </row>
    <row r="12" customFormat="false" ht="15" hidden="false" customHeight="false" outlineLevel="0" collapsed="false">
      <c r="A12" s="52" t="s">
        <v>717</v>
      </c>
      <c r="B12" s="48"/>
      <c r="C12" s="1240" t="n">
        <f aca="false">'7.2.1 Turnover Vehicles'!C88</f>
        <v>1</v>
      </c>
      <c r="D12" s="1241"/>
      <c r="E12" s="1242" t="n">
        <f aca="false">'7.2.1 Turnover Vehicles'!E88</f>
        <v>1</v>
      </c>
      <c r="F12" s="1243"/>
      <c r="G12" s="1242" t="n">
        <f aca="false">'7.2.1 Turnover Vehicles'!G88</f>
        <v>1</v>
      </c>
      <c r="H12" s="1243"/>
      <c r="I12" s="1242" t="n">
        <f aca="false">'7.2.1 Turnover Vehicles'!I88</f>
        <v>1</v>
      </c>
      <c r="J12" s="1243"/>
      <c r="K12" s="1240" t="n">
        <f aca="false">'7.2.1 Turnover Vehicles'!K88</f>
        <v>1</v>
      </c>
    </row>
    <row r="13" customFormat="false" ht="15" hidden="false" customHeight="false" outlineLevel="0" collapsed="false">
      <c r="A13" s="52" t="s">
        <v>718</v>
      </c>
      <c r="B13" s="48"/>
      <c r="C13" s="1050" t="n">
        <f aca="false">+'7.2.1 Turnover Vehicles'!C89-C12-C14</f>
        <v>4</v>
      </c>
      <c r="D13" s="1052"/>
      <c r="E13" s="1052" t="n">
        <f aca="false">+'7.2.1 Turnover Vehicles'!E89-E12-E14</f>
        <v>4</v>
      </c>
      <c r="F13" s="1052"/>
      <c r="G13" s="1052" t="n">
        <f aca="false">+'7.2.1 Turnover Vehicles'!G89-G12-G14</f>
        <v>5</v>
      </c>
      <c r="H13" s="1052"/>
      <c r="I13" s="1052" t="n">
        <f aca="false">+'7.2.1 Turnover Vehicles'!I89-I12-I14</f>
        <v>6</v>
      </c>
      <c r="J13" s="1052"/>
      <c r="K13" s="1050" t="n">
        <f aca="false">+'7.2.1 Turnover Vehicles'!K89-K12-K14</f>
        <v>6</v>
      </c>
    </row>
    <row r="14" customFormat="false" ht="15" hidden="false" customHeight="false" outlineLevel="0" collapsed="false">
      <c r="A14" s="52" t="s">
        <v>719</v>
      </c>
      <c r="B14" s="48"/>
      <c r="C14" s="1050" t="n">
        <f aca="false">'7.2.1 Turnover Vehicles'!C87</f>
        <v>3</v>
      </c>
      <c r="D14" s="1052"/>
      <c r="E14" s="1052" t="n">
        <f aca="false">'7.2.1 Turnover Vehicles'!E87</f>
        <v>3</v>
      </c>
      <c r="F14" s="1052"/>
      <c r="G14" s="1052" t="n">
        <f aca="false">'7.2.1 Turnover Vehicles'!G87</f>
        <v>3</v>
      </c>
      <c r="H14" s="1052"/>
      <c r="I14" s="1052" t="n">
        <f aca="false">'7.2.1 Turnover Vehicles'!I87</f>
        <v>3</v>
      </c>
      <c r="J14" s="1052"/>
      <c r="K14" s="1050" t="n">
        <f aca="false">'7.2.1 Turnover Vehicles'!K87</f>
        <v>3</v>
      </c>
    </row>
    <row r="15" customFormat="false" ht="15" hidden="false" customHeight="false" outlineLevel="0" collapsed="false">
      <c r="A15" s="52" t="s">
        <v>720</v>
      </c>
      <c r="B15" s="48"/>
      <c r="C15" s="1050" t="n">
        <f aca="false">+'7.2.3 Turnover Service &amp; Body'!C67</f>
        <v>0</v>
      </c>
      <c r="D15" s="1052"/>
      <c r="E15" s="1052" t="n">
        <f aca="false">+'7.2.3 Turnover Service &amp; Body'!E67</f>
        <v>0</v>
      </c>
      <c r="F15" s="1052"/>
      <c r="G15" s="1052" t="n">
        <f aca="false">+'7.2.3 Turnover Service &amp; Body'!G67</f>
        <v>0</v>
      </c>
      <c r="H15" s="1052"/>
      <c r="I15" s="1052" t="n">
        <f aca="false">+'7.2.3 Turnover Service &amp; Body'!I67</f>
        <v>0</v>
      </c>
      <c r="J15" s="1052"/>
      <c r="K15" s="1050" t="n">
        <f aca="false">+'7.2.3 Turnover Service &amp; Body'!K67</f>
        <v>0</v>
      </c>
    </row>
    <row r="16" customFormat="false" ht="15" hidden="false" customHeight="false" outlineLevel="0" collapsed="false">
      <c r="A16" s="52" t="s">
        <v>721</v>
      </c>
      <c r="B16" s="48"/>
      <c r="C16" s="1244" t="n">
        <f aca="false">'7.2.3 Turnover Service &amp; Body'!C68</f>
        <v>0</v>
      </c>
      <c r="D16" s="1052"/>
      <c r="E16" s="1241" t="n">
        <f aca="false">'7.2.3 Turnover Service &amp; Body'!E68</f>
        <v>0</v>
      </c>
      <c r="F16" s="1052"/>
      <c r="G16" s="1241" t="n">
        <f aca="false">'7.2.3 Turnover Service &amp; Body'!G68</f>
        <v>0</v>
      </c>
      <c r="H16" s="1052"/>
      <c r="I16" s="1241" t="n">
        <f aca="false">'7.2.3 Turnover Service &amp; Body'!I68</f>
        <v>0</v>
      </c>
      <c r="J16" s="1052"/>
      <c r="K16" s="1244" t="n">
        <f aca="false">'7.2.3 Turnover Service &amp; Body'!K68</f>
        <v>0</v>
      </c>
    </row>
    <row r="17" customFormat="false" ht="15" hidden="false" customHeight="false" outlineLevel="0" collapsed="false">
      <c r="A17" s="52" t="s">
        <v>722</v>
      </c>
      <c r="B17" s="48"/>
      <c r="C17" s="1244" t="n">
        <f aca="false">'7.2.3 Turnover Service &amp; Body'!C70</f>
        <v>0</v>
      </c>
      <c r="D17" s="1052"/>
      <c r="E17" s="1241" t="n">
        <f aca="false">'7.2.3 Turnover Service &amp; Body'!E70</f>
        <v>0</v>
      </c>
      <c r="F17" s="1052"/>
      <c r="G17" s="1241" t="n">
        <f aca="false">'7.2.3 Turnover Service &amp; Body'!G70</f>
        <v>0</v>
      </c>
      <c r="H17" s="1052"/>
      <c r="I17" s="1241" t="n">
        <f aca="false">'7.2.3 Turnover Service &amp; Body'!I70</f>
        <v>0</v>
      </c>
      <c r="J17" s="1052"/>
      <c r="K17" s="1244" t="n">
        <f aca="false">'7.2.3 Turnover Service &amp; Body'!K70</f>
        <v>0</v>
      </c>
    </row>
    <row r="18" customFormat="false" ht="15" hidden="false" customHeight="false" outlineLevel="0" collapsed="false">
      <c r="A18" s="52" t="s">
        <v>723</v>
      </c>
      <c r="B18" s="48"/>
      <c r="C18" s="1244" t="n">
        <f aca="false">+'7.2.3 Turnover Service &amp; Body'!C69</f>
        <v>0</v>
      </c>
      <c r="D18" s="1052"/>
      <c r="E18" s="1241" t="n">
        <f aca="false">+'7.2.3 Turnover Service &amp; Body'!E69</f>
        <v>0</v>
      </c>
      <c r="F18" s="1052"/>
      <c r="G18" s="1241" t="n">
        <f aca="false">+'7.2.3 Turnover Service &amp; Body'!G69</f>
        <v>0</v>
      </c>
      <c r="H18" s="1052"/>
      <c r="I18" s="1241" t="n">
        <f aca="false">+'7.2.3 Turnover Service &amp; Body'!I69</f>
        <v>0</v>
      </c>
      <c r="J18" s="1052"/>
      <c r="K18" s="1244" t="n">
        <f aca="false">+'7.2.3 Turnover Service &amp; Body'!K69</f>
        <v>0</v>
      </c>
    </row>
    <row r="19" customFormat="false" ht="15" hidden="false" customHeight="false" outlineLevel="0" collapsed="false">
      <c r="A19" s="52" t="s">
        <v>724</v>
      </c>
      <c r="B19" s="48"/>
      <c r="C19" s="1050" t="n">
        <f aca="false">+'7.2.2 Turnover Parts'!C53</f>
        <v>0</v>
      </c>
      <c r="D19" s="1052"/>
      <c r="E19" s="1052" t="n">
        <f aca="false">+'7.2.2 Turnover Parts'!E53</f>
        <v>0</v>
      </c>
      <c r="F19" s="1052"/>
      <c r="G19" s="1052" t="n">
        <f aca="false">+'7.2.2 Turnover Parts'!G53</f>
        <v>0</v>
      </c>
      <c r="H19" s="1052"/>
      <c r="I19" s="1052" t="n">
        <f aca="false">+'7.2.2 Turnover Parts'!I53</f>
        <v>0</v>
      </c>
      <c r="J19" s="1052"/>
      <c r="K19" s="1050" t="n">
        <f aca="false">+'7.2.2 Turnover Parts'!K53</f>
        <v>0</v>
      </c>
    </row>
    <row r="20" customFormat="false" ht="15" hidden="false" customHeight="false" outlineLevel="0" collapsed="false">
      <c r="A20" s="52" t="s">
        <v>725</v>
      </c>
      <c r="B20" s="48"/>
      <c r="C20" s="1050" t="n">
        <f aca="false">'7.2.2 Turnover Parts'!C54</f>
        <v>0</v>
      </c>
      <c r="D20" s="1052"/>
      <c r="E20" s="1241" t="n">
        <f aca="false">'7.2.2 Turnover Parts'!E54</f>
        <v>0</v>
      </c>
      <c r="F20" s="1241"/>
      <c r="G20" s="1241" t="n">
        <f aca="false">'7.2.2 Turnover Parts'!G54</f>
        <v>0</v>
      </c>
      <c r="H20" s="1241"/>
      <c r="I20" s="1241" t="n">
        <f aca="false">'7.2.2 Turnover Parts'!I54</f>
        <v>0</v>
      </c>
      <c r="J20" s="1052"/>
      <c r="K20" s="1244" t="n">
        <f aca="false">'7.2.2 Turnover Parts'!K54</f>
        <v>0</v>
      </c>
    </row>
    <row r="21" customFormat="false" ht="15" hidden="false" customHeight="false" outlineLevel="0" collapsed="false">
      <c r="A21" s="52" t="s">
        <v>726</v>
      </c>
      <c r="B21" s="48"/>
      <c r="C21" s="1050" t="n">
        <f aca="false">'7.2.2 Turnover Parts'!C55</f>
        <v>0</v>
      </c>
      <c r="D21" s="1052"/>
      <c r="E21" s="1241" t="n">
        <f aca="false">'7.2.2 Turnover Parts'!E55</f>
        <v>0</v>
      </c>
      <c r="F21" s="1241"/>
      <c r="G21" s="1241" t="n">
        <f aca="false">'7.2.2 Turnover Parts'!G55</f>
        <v>0</v>
      </c>
      <c r="H21" s="1241"/>
      <c r="I21" s="1241" t="n">
        <f aca="false">'7.2.2 Turnover Parts'!I55</f>
        <v>0</v>
      </c>
      <c r="J21" s="1241"/>
      <c r="K21" s="1244" t="n">
        <f aca="false">'7.2.2 Turnover Parts'!K55</f>
        <v>0</v>
      </c>
    </row>
    <row r="22" customFormat="false" ht="15" hidden="false" customHeight="false" outlineLevel="0" collapsed="false">
      <c r="A22" s="52" t="s">
        <v>727</v>
      </c>
      <c r="B22" s="48"/>
      <c r="C22" s="1245" t="n">
        <f aca="false">'7.2.2 Turnover Parts'!C56</f>
        <v>0</v>
      </c>
      <c r="D22" s="1052"/>
      <c r="E22" s="1246" t="n">
        <f aca="false">'7.2.2 Turnover Parts'!E56</f>
        <v>0</v>
      </c>
      <c r="F22" s="1241"/>
      <c r="G22" s="1246" t="n">
        <f aca="false">'7.2.2 Turnover Parts'!G56</f>
        <v>0</v>
      </c>
      <c r="H22" s="1241"/>
      <c r="I22" s="1246" t="n">
        <f aca="false">'7.2.2 Turnover Parts'!I56</f>
        <v>0</v>
      </c>
      <c r="J22" s="1241"/>
      <c r="K22" s="1245" t="n">
        <f aca="false">'7.2.2 Turnover Parts'!K56</f>
        <v>0</v>
      </c>
    </row>
    <row r="23" customFormat="false" ht="15" hidden="false" customHeight="false" outlineLevel="0" collapsed="false">
      <c r="A23" s="562" t="s">
        <v>728</v>
      </c>
      <c r="B23" s="67"/>
      <c r="C23" s="1247" t="n">
        <f aca="false">SUM(C8:C22)</f>
        <v>8</v>
      </c>
      <c r="D23" s="1248"/>
      <c r="E23" s="1248" t="n">
        <f aca="false">SUM(E8:E22)</f>
        <v>8</v>
      </c>
      <c r="F23" s="1248"/>
      <c r="G23" s="1248" t="n">
        <f aca="false">SUM(G8:G22)</f>
        <v>9</v>
      </c>
      <c r="H23" s="1248"/>
      <c r="I23" s="1248" t="n">
        <f aca="false">SUM(I8:I22)</f>
        <v>10</v>
      </c>
      <c r="J23" s="1248"/>
      <c r="K23" s="1247" t="n">
        <f aca="false">SUM(K8:K22)</f>
        <v>10</v>
      </c>
    </row>
    <row r="24" customFormat="false" ht="15" hidden="false" customHeight="false" outlineLevel="0" collapsed="false">
      <c r="A24" s="560"/>
      <c r="B24" s="941"/>
      <c r="C24" s="1249"/>
      <c r="D24" s="1250"/>
      <c r="E24" s="1250"/>
      <c r="F24" s="1250"/>
      <c r="G24" s="1250"/>
      <c r="H24" s="1250"/>
      <c r="I24" s="1250"/>
      <c r="J24" s="1250"/>
      <c r="K24" s="1249"/>
    </row>
    <row r="25" s="48" customFormat="true" ht="15" hidden="false" customHeight="false" outlineLevel="0" collapsed="false">
      <c r="A25" s="67"/>
      <c r="B25" s="67"/>
      <c r="C25" s="917"/>
      <c r="D25" s="67"/>
      <c r="E25" s="917"/>
      <c r="F25" s="67"/>
      <c r="G25" s="917"/>
      <c r="H25" s="67"/>
      <c r="I25" s="917"/>
      <c r="J25" s="67"/>
      <c r="K25" s="917"/>
    </row>
    <row r="26" s="281" customFormat="true" ht="18.75" hidden="false" customHeight="false" outlineLevel="0" collapsed="false">
      <c r="A26" s="839" t="s">
        <v>729</v>
      </c>
      <c r="B26" s="132"/>
      <c r="C26" s="132"/>
      <c r="D26" s="132"/>
      <c r="E26" s="132"/>
      <c r="F26" s="132"/>
      <c r="G26" s="132"/>
      <c r="H26" s="132"/>
      <c r="I26" s="132"/>
      <c r="J26" s="132"/>
      <c r="K26" s="133"/>
    </row>
    <row r="27" customFormat="false" ht="18.75" hidden="false" customHeight="false" outlineLevel="0" collapsed="false">
      <c r="A27" s="1251"/>
      <c r="C27" s="523" t="s">
        <v>730</v>
      </c>
      <c r="D27" s="107"/>
      <c r="E27" s="1252" t="n">
        <v>0.06</v>
      </c>
      <c r="F27" s="300"/>
      <c r="G27" s="1253" t="n">
        <v>0.06</v>
      </c>
      <c r="H27" s="300"/>
      <c r="I27" s="1253" t="n">
        <v>0.06</v>
      </c>
      <c r="J27" s="300"/>
      <c r="K27" s="1254" t="n">
        <v>0.06</v>
      </c>
    </row>
    <row r="28" customFormat="false" ht="18.75" hidden="false" customHeight="false" outlineLevel="0" collapsed="false">
      <c r="A28" s="839" t="s">
        <v>731</v>
      </c>
      <c r="B28" s="132"/>
      <c r="C28" s="132"/>
      <c r="D28" s="132"/>
      <c r="E28" s="500"/>
      <c r="F28" s="132"/>
      <c r="G28" s="132"/>
      <c r="H28" s="132"/>
      <c r="I28" s="132"/>
      <c r="J28" s="132"/>
      <c r="K28" s="133"/>
    </row>
    <row r="29" customFormat="false" ht="15" hidden="false" customHeight="false" outlineLevel="0" collapsed="false">
      <c r="A29" s="52"/>
      <c r="B29" s="48"/>
      <c r="C29" s="54"/>
      <c r="D29" s="48"/>
      <c r="E29" s="48"/>
      <c r="F29" s="48"/>
      <c r="G29" s="48"/>
      <c r="H29" s="48"/>
      <c r="I29" s="48"/>
      <c r="J29" s="48"/>
      <c r="K29" s="54"/>
    </row>
    <row r="30" customFormat="false" ht="15" hidden="false" customHeight="false" outlineLevel="0" collapsed="false">
      <c r="A30" s="52" t="s">
        <v>732</v>
      </c>
      <c r="B30" s="48"/>
      <c r="C30" s="951" t="n">
        <v>0</v>
      </c>
      <c r="D30" s="48"/>
      <c r="E30" s="876" t="n">
        <f aca="false">C30*(1+$E$27)</f>
        <v>0</v>
      </c>
      <c r="F30" s="876"/>
      <c r="G30" s="876" t="n">
        <f aca="false">E30*(1+G27)</f>
        <v>0</v>
      </c>
      <c r="H30" s="876"/>
      <c r="I30" s="876" t="n">
        <f aca="false">G30*(1+I27)</f>
        <v>0</v>
      </c>
      <c r="J30" s="876"/>
      <c r="K30" s="875" t="n">
        <f aca="false">I30*(1+K27)</f>
        <v>0</v>
      </c>
    </row>
    <row r="31" customFormat="false" ht="15" hidden="false" customHeight="false" outlineLevel="0" collapsed="false">
      <c r="A31" s="52" t="s">
        <v>733</v>
      </c>
      <c r="B31" s="1255" t="n">
        <v>0</v>
      </c>
      <c r="C31" s="924" t="n">
        <f aca="false">C30*B31</f>
        <v>0</v>
      </c>
      <c r="D31" s="48"/>
      <c r="E31" s="876" t="n">
        <f aca="false">E30*B31</f>
        <v>0</v>
      </c>
      <c r="F31" s="876"/>
      <c r="G31" s="876" t="n">
        <f aca="false">G30*B31</f>
        <v>0</v>
      </c>
      <c r="H31" s="876"/>
      <c r="I31" s="876" t="n">
        <f aca="false">I30*B31</f>
        <v>0</v>
      </c>
      <c r="J31" s="876"/>
      <c r="K31" s="875" t="n">
        <f aca="false">K30*B31</f>
        <v>0</v>
      </c>
    </row>
    <row r="32" customFormat="false" ht="15" hidden="false" customHeight="false" outlineLevel="0" collapsed="false">
      <c r="A32" s="52" t="s">
        <v>734</v>
      </c>
      <c r="B32" s="48"/>
      <c r="C32" s="1013" t="n">
        <v>0</v>
      </c>
      <c r="D32" s="48"/>
      <c r="E32" s="967" t="n">
        <f aca="false">C32*(1+$E$27)</f>
        <v>0</v>
      </c>
      <c r="F32" s="876"/>
      <c r="G32" s="967" t="n">
        <f aca="false">E32*(1+G27)</f>
        <v>0</v>
      </c>
      <c r="H32" s="876"/>
      <c r="I32" s="967" t="n">
        <f aca="false">G32*(1+I27)</f>
        <v>0</v>
      </c>
      <c r="J32" s="876"/>
      <c r="K32" s="966" t="n">
        <f aca="false">I32*(1+K27)</f>
        <v>0</v>
      </c>
    </row>
    <row r="33" customFormat="false" ht="15" hidden="false" customHeight="false" outlineLevel="0" collapsed="false">
      <c r="A33" s="52" t="s">
        <v>735</v>
      </c>
      <c r="B33" s="48"/>
      <c r="C33" s="875" t="n">
        <f aca="false">SUM(C30:C32)</f>
        <v>0</v>
      </c>
      <c r="D33" s="48"/>
      <c r="E33" s="876" t="n">
        <f aca="false">SUM(E30:E32)</f>
        <v>0</v>
      </c>
      <c r="F33" s="876"/>
      <c r="G33" s="876" t="n">
        <f aca="false">SUM(G30:G32)</f>
        <v>0</v>
      </c>
      <c r="H33" s="876"/>
      <c r="I33" s="876" t="n">
        <f aca="false">SUM(I30:I32)</f>
        <v>0</v>
      </c>
      <c r="J33" s="876"/>
      <c r="K33" s="875" t="n">
        <f aca="false">SUM(K30:K32)</f>
        <v>0</v>
      </c>
    </row>
    <row r="34" customFormat="false" ht="15" hidden="false" customHeight="false" outlineLevel="0" collapsed="false">
      <c r="A34" s="52" t="s">
        <v>736</v>
      </c>
      <c r="B34" s="48"/>
      <c r="C34" s="1050" t="n">
        <f aca="false">C8</f>
        <v>0</v>
      </c>
      <c r="D34" s="1052"/>
      <c r="E34" s="1052" t="n">
        <f aca="false">E8</f>
        <v>0</v>
      </c>
      <c r="F34" s="1052"/>
      <c r="G34" s="1052" t="n">
        <f aca="false">G8</f>
        <v>0</v>
      </c>
      <c r="H34" s="1052"/>
      <c r="I34" s="1052" t="n">
        <f aca="false">I8</f>
        <v>0</v>
      </c>
      <c r="J34" s="1052"/>
      <c r="K34" s="1050" t="n">
        <f aca="false">K8</f>
        <v>0</v>
      </c>
    </row>
    <row r="35" customFormat="false" ht="15" hidden="false" customHeight="false" outlineLevel="0" collapsed="false">
      <c r="A35" s="52" t="s">
        <v>735</v>
      </c>
      <c r="B35" s="48"/>
      <c r="C35" s="1256" t="n">
        <f aca="false">C33*C34*$B$171</f>
        <v>0</v>
      </c>
      <c r="D35" s="48"/>
      <c r="E35" s="1256" t="n">
        <f aca="false">E33*E34*$B$171</f>
        <v>0</v>
      </c>
      <c r="F35" s="48"/>
      <c r="G35" s="1256" t="n">
        <f aca="false">G33*G34*$B$171</f>
        <v>0</v>
      </c>
      <c r="H35" s="48"/>
      <c r="I35" s="1256" t="n">
        <f aca="false">I33*I34*$B$171</f>
        <v>0</v>
      </c>
      <c r="J35" s="48"/>
      <c r="K35" s="1256" t="n">
        <f aca="false">K33*K34*$B$171</f>
        <v>0</v>
      </c>
    </row>
    <row r="36" customFormat="false" ht="15" hidden="false" customHeight="false" outlineLevel="0" collapsed="false">
      <c r="A36" s="52"/>
      <c r="B36" s="48"/>
      <c r="C36" s="54"/>
      <c r="D36" s="48"/>
      <c r="E36" s="48"/>
      <c r="F36" s="48"/>
      <c r="G36" s="48"/>
      <c r="H36" s="48"/>
      <c r="I36" s="48"/>
      <c r="J36" s="48"/>
      <c r="K36" s="54"/>
    </row>
    <row r="37" customFormat="false" ht="18.75" hidden="false" customHeight="false" outlineLevel="0" collapsed="false">
      <c r="A37" s="839" t="s">
        <v>737</v>
      </c>
      <c r="B37" s="132"/>
      <c r="C37" s="132"/>
      <c r="D37" s="132"/>
      <c r="E37" s="132"/>
      <c r="F37" s="132"/>
      <c r="G37" s="132"/>
      <c r="H37" s="132"/>
      <c r="I37" s="132"/>
      <c r="J37" s="132"/>
      <c r="K37" s="133"/>
    </row>
    <row r="38" customFormat="false" ht="15" hidden="false" customHeight="false" outlineLevel="0" collapsed="false">
      <c r="A38" s="52"/>
      <c r="B38" s="48"/>
      <c r="C38" s="54"/>
      <c r="D38" s="48"/>
      <c r="E38" s="48"/>
      <c r="F38" s="48"/>
      <c r="G38" s="48"/>
      <c r="H38" s="48"/>
      <c r="I38" s="48"/>
      <c r="J38" s="48"/>
      <c r="K38" s="54"/>
    </row>
    <row r="39" customFormat="false" ht="15" hidden="false" customHeight="false" outlineLevel="0" collapsed="false">
      <c r="A39" s="52" t="s">
        <v>732</v>
      </c>
      <c r="B39" s="48"/>
      <c r="C39" s="951" t="n">
        <v>10484</v>
      </c>
      <c r="D39" s="48"/>
      <c r="E39" s="876" t="n">
        <f aca="false">C39*(1+$E$27)</f>
        <v>11113.04</v>
      </c>
      <c r="F39" s="876"/>
      <c r="G39" s="876" t="n">
        <f aca="false">E39*(1+G27)</f>
        <v>11779.8224</v>
      </c>
      <c r="H39" s="876"/>
      <c r="I39" s="876" t="n">
        <f aca="false">G39*(1+I27)</f>
        <v>12486.611744</v>
      </c>
      <c r="J39" s="876"/>
      <c r="K39" s="875" t="n">
        <f aca="false">I39*(1+K27)</f>
        <v>13235.80844864</v>
      </c>
    </row>
    <row r="40" customFormat="false" ht="15" hidden="false" customHeight="false" outlineLevel="0" collapsed="false">
      <c r="A40" s="52" t="s">
        <v>733</v>
      </c>
      <c r="B40" s="1255" t="n">
        <f aca="false">B31</f>
        <v>0</v>
      </c>
      <c r="C40" s="924" t="n">
        <f aca="false">C39*B40</f>
        <v>0</v>
      </c>
      <c r="D40" s="48"/>
      <c r="E40" s="876" t="n">
        <f aca="false">E39*B40</f>
        <v>0</v>
      </c>
      <c r="F40" s="876"/>
      <c r="G40" s="876" t="n">
        <f aca="false">G39*B40</f>
        <v>0</v>
      </c>
      <c r="H40" s="876"/>
      <c r="I40" s="876" t="n">
        <f aca="false">I39*B40</f>
        <v>0</v>
      </c>
      <c r="J40" s="876"/>
      <c r="K40" s="875" t="n">
        <f aca="false">K39*B40</f>
        <v>0</v>
      </c>
    </row>
    <row r="41" customFormat="false" ht="15" hidden="false" customHeight="false" outlineLevel="0" collapsed="false">
      <c r="A41" s="52" t="s">
        <v>734</v>
      </c>
      <c r="B41" s="48"/>
      <c r="C41" s="1013" t="n">
        <v>0</v>
      </c>
      <c r="D41" s="48"/>
      <c r="E41" s="967" t="n">
        <f aca="false">C41*(1+$E$27)</f>
        <v>0</v>
      </c>
      <c r="F41" s="876"/>
      <c r="G41" s="967" t="n">
        <f aca="false">E41*(1+G27)</f>
        <v>0</v>
      </c>
      <c r="H41" s="876"/>
      <c r="I41" s="967" t="n">
        <f aca="false">G41*(1+I27)</f>
        <v>0</v>
      </c>
      <c r="J41" s="876"/>
      <c r="K41" s="966" t="n">
        <f aca="false">I41*(1+K27)</f>
        <v>0</v>
      </c>
    </row>
    <row r="42" customFormat="false" ht="15" hidden="false" customHeight="false" outlineLevel="0" collapsed="false">
      <c r="A42" s="52" t="s">
        <v>735</v>
      </c>
      <c r="B42" s="48"/>
      <c r="C42" s="875" t="n">
        <f aca="false">SUM(C39:C41)</f>
        <v>10484</v>
      </c>
      <c r="D42" s="48"/>
      <c r="E42" s="876" t="n">
        <f aca="false">SUM(E39:E41)</f>
        <v>11113.04</v>
      </c>
      <c r="F42" s="876"/>
      <c r="G42" s="876" t="n">
        <f aca="false">SUM(G39:G41)</f>
        <v>11779.8224</v>
      </c>
      <c r="H42" s="876"/>
      <c r="I42" s="876" t="n">
        <f aca="false">SUM(I39:I41)</f>
        <v>12486.611744</v>
      </c>
      <c r="J42" s="876"/>
      <c r="K42" s="875" t="n">
        <f aca="false">SUM(K39:K41)</f>
        <v>13235.80844864</v>
      </c>
    </row>
    <row r="43" customFormat="false" ht="15" hidden="false" customHeight="false" outlineLevel="0" collapsed="false">
      <c r="A43" s="52" t="s">
        <v>736</v>
      </c>
      <c r="B43" s="48"/>
      <c r="C43" s="1050" t="n">
        <f aca="false">C9</f>
        <v>0</v>
      </c>
      <c r="D43" s="1052"/>
      <c r="E43" s="1052" t="n">
        <f aca="false">E9</f>
        <v>0</v>
      </c>
      <c r="F43" s="1052"/>
      <c r="G43" s="1052" t="n">
        <f aca="false">G9</f>
        <v>0</v>
      </c>
      <c r="H43" s="1052"/>
      <c r="I43" s="1052" t="n">
        <f aca="false">I9</f>
        <v>0</v>
      </c>
      <c r="J43" s="1052"/>
      <c r="K43" s="1257" t="n">
        <f aca="false">K9</f>
        <v>0</v>
      </c>
    </row>
    <row r="44" customFormat="false" ht="15" hidden="false" customHeight="false" outlineLevel="0" collapsed="false">
      <c r="A44" s="52" t="s">
        <v>735</v>
      </c>
      <c r="B44" s="48"/>
      <c r="C44" s="1256" t="n">
        <f aca="false">C42*C43*$B$171</f>
        <v>0</v>
      </c>
      <c r="D44" s="48"/>
      <c r="E44" s="1256" t="n">
        <f aca="false">E42*E43*$B$171</f>
        <v>0</v>
      </c>
      <c r="F44" s="48"/>
      <c r="G44" s="1256" t="n">
        <f aca="false">G42*G43*$B$171</f>
        <v>0</v>
      </c>
      <c r="H44" s="48"/>
      <c r="I44" s="1256" t="n">
        <f aca="false">I42*I43*$B$171</f>
        <v>0</v>
      </c>
      <c r="J44" s="48"/>
      <c r="K44" s="1256" t="n">
        <f aca="false">K42*K43*$B$171</f>
        <v>0</v>
      </c>
    </row>
    <row r="45" customFormat="false" ht="15" hidden="false" customHeight="false" outlineLevel="0" collapsed="false">
      <c r="A45" s="52"/>
      <c r="B45" s="48"/>
      <c r="C45" s="54"/>
      <c r="D45" s="48"/>
      <c r="E45" s="48"/>
      <c r="F45" s="48"/>
      <c r="G45" s="48"/>
      <c r="H45" s="48"/>
      <c r="I45" s="48"/>
      <c r="J45" s="48"/>
      <c r="K45" s="54"/>
    </row>
    <row r="46" customFormat="false" ht="18.75" hidden="false" customHeight="false" outlineLevel="0" collapsed="false">
      <c r="A46" s="839" t="s">
        <v>738</v>
      </c>
      <c r="B46" s="132"/>
      <c r="C46" s="132"/>
      <c r="D46" s="132"/>
      <c r="E46" s="132"/>
      <c r="F46" s="132"/>
      <c r="G46" s="132"/>
      <c r="H46" s="132"/>
      <c r="I46" s="132"/>
      <c r="J46" s="132"/>
      <c r="K46" s="133"/>
    </row>
    <row r="47" customFormat="false" ht="15" hidden="false" customHeight="false" outlineLevel="0" collapsed="false">
      <c r="A47" s="52"/>
      <c r="B47" s="48"/>
      <c r="C47" s="260"/>
      <c r="D47" s="48"/>
      <c r="E47" s="48"/>
      <c r="F47" s="48"/>
      <c r="G47" s="48"/>
      <c r="H47" s="48"/>
      <c r="I47" s="48"/>
      <c r="J47" s="48"/>
      <c r="K47" s="54"/>
    </row>
    <row r="48" customFormat="false" ht="15" hidden="false" customHeight="false" outlineLevel="0" collapsed="false">
      <c r="A48" s="52" t="s">
        <v>732</v>
      </c>
      <c r="B48" s="48"/>
      <c r="C48" s="951" t="n">
        <v>5032</v>
      </c>
      <c r="D48" s="876"/>
      <c r="E48" s="876" t="n">
        <f aca="false">C48*(1+$E$27)</f>
        <v>5333.92</v>
      </c>
      <c r="F48" s="876"/>
      <c r="G48" s="876" t="n">
        <f aca="false">E48*(1+G27)</f>
        <v>5653.9552</v>
      </c>
      <c r="H48" s="876"/>
      <c r="I48" s="876" t="n">
        <f aca="false">G48*(1+I27)</f>
        <v>5993.192512</v>
      </c>
      <c r="J48" s="876"/>
      <c r="K48" s="875" t="n">
        <f aca="false">I48*(1+K27)</f>
        <v>6352.78406272</v>
      </c>
    </row>
    <row r="49" customFormat="false" ht="15" hidden="false" customHeight="false" outlineLevel="0" collapsed="false">
      <c r="A49" s="52" t="s">
        <v>733</v>
      </c>
      <c r="B49" s="1258" t="n">
        <f aca="false">B31</f>
        <v>0</v>
      </c>
      <c r="C49" s="924" t="n">
        <f aca="false">C48*B49</f>
        <v>0</v>
      </c>
      <c r="D49" s="876"/>
      <c r="E49" s="876" t="n">
        <f aca="false">E48*B49</f>
        <v>0</v>
      </c>
      <c r="F49" s="876"/>
      <c r="G49" s="876" t="n">
        <f aca="false">G48*B49</f>
        <v>0</v>
      </c>
      <c r="H49" s="876"/>
      <c r="I49" s="876" t="n">
        <f aca="false">I48*B49</f>
        <v>0</v>
      </c>
      <c r="J49" s="876"/>
      <c r="K49" s="875" t="n">
        <f aca="false">K48*B49</f>
        <v>0</v>
      </c>
    </row>
    <row r="50" customFormat="false" ht="15" hidden="false" customHeight="false" outlineLevel="0" collapsed="false">
      <c r="A50" s="52" t="s">
        <v>734</v>
      </c>
      <c r="B50" s="48"/>
      <c r="C50" s="1013" t="n">
        <v>0</v>
      </c>
      <c r="D50" s="876"/>
      <c r="E50" s="967" t="n">
        <f aca="false">C50*(1+$E$27)</f>
        <v>0</v>
      </c>
      <c r="F50" s="876"/>
      <c r="G50" s="967" t="n">
        <f aca="false">E50*(1+G27)</f>
        <v>0</v>
      </c>
      <c r="H50" s="876"/>
      <c r="I50" s="967" t="n">
        <f aca="false">G50*(1+I27)</f>
        <v>0</v>
      </c>
      <c r="J50" s="876"/>
      <c r="K50" s="966" t="n">
        <f aca="false">I50*(1+K27)</f>
        <v>0</v>
      </c>
    </row>
    <row r="51" customFormat="false" ht="15" hidden="false" customHeight="false" outlineLevel="0" collapsed="false">
      <c r="A51" s="52" t="s">
        <v>735</v>
      </c>
      <c r="B51" s="48"/>
      <c r="C51" s="875" t="n">
        <f aca="false">SUM(C48:C50)</f>
        <v>5032</v>
      </c>
      <c r="D51" s="876"/>
      <c r="E51" s="876" t="n">
        <f aca="false">SUM(E48:E50)</f>
        <v>5333.92</v>
      </c>
      <c r="F51" s="876"/>
      <c r="G51" s="876" t="n">
        <f aca="false">SUM(G48:G50)</f>
        <v>5653.9552</v>
      </c>
      <c r="H51" s="876"/>
      <c r="I51" s="876" t="n">
        <f aca="false">SUM(I48:I50)</f>
        <v>5993.192512</v>
      </c>
      <c r="J51" s="876"/>
      <c r="K51" s="875" t="n">
        <f aca="false">SUM(K48:K50)</f>
        <v>6352.78406272</v>
      </c>
    </row>
    <row r="52" customFormat="false" ht="15" hidden="false" customHeight="false" outlineLevel="0" collapsed="false">
      <c r="A52" s="52" t="s">
        <v>736</v>
      </c>
      <c r="B52" s="48"/>
      <c r="C52" s="1050" t="n">
        <f aca="false">C10</f>
        <v>0</v>
      </c>
      <c r="D52" s="1052"/>
      <c r="E52" s="1052" t="n">
        <f aca="false">E10</f>
        <v>0</v>
      </c>
      <c r="F52" s="1052"/>
      <c r="G52" s="1052" t="n">
        <f aca="false">G10</f>
        <v>0</v>
      </c>
      <c r="H52" s="1052"/>
      <c r="I52" s="1052" t="n">
        <f aca="false">I10</f>
        <v>0</v>
      </c>
      <c r="J52" s="1052"/>
      <c r="K52" s="1257" t="n">
        <f aca="false">K10</f>
        <v>0</v>
      </c>
    </row>
    <row r="53" customFormat="false" ht="15" hidden="false" customHeight="false" outlineLevel="0" collapsed="false">
      <c r="A53" s="52" t="s">
        <v>735</v>
      </c>
      <c r="B53" s="48"/>
      <c r="C53" s="1256" t="n">
        <f aca="false">C51*C52*$B$171</f>
        <v>0</v>
      </c>
      <c r="D53" s="876"/>
      <c r="E53" s="1256" t="n">
        <f aca="false">E51*E52*$B$171</f>
        <v>0</v>
      </c>
      <c r="F53" s="876"/>
      <c r="G53" s="1256" t="n">
        <f aca="false">G51*G52*$B$171</f>
        <v>0</v>
      </c>
      <c r="H53" s="876"/>
      <c r="I53" s="1256" t="n">
        <f aca="false">I51*I52*$B$171</f>
        <v>0</v>
      </c>
      <c r="J53" s="876"/>
      <c r="K53" s="1256" t="n">
        <f aca="false">K51*K52*$B$171</f>
        <v>0</v>
      </c>
    </row>
    <row r="54" customFormat="false" ht="15" hidden="false" customHeight="false" outlineLevel="0" collapsed="false">
      <c r="A54" s="52"/>
      <c r="B54" s="48"/>
      <c r="C54" s="875"/>
      <c r="D54" s="876"/>
      <c r="E54" s="876"/>
      <c r="F54" s="876"/>
      <c r="G54" s="876"/>
      <c r="H54" s="876"/>
      <c r="I54" s="876"/>
      <c r="J54" s="876"/>
      <c r="K54" s="875"/>
    </row>
    <row r="55" customFormat="false" ht="18.75" hidden="false" customHeight="false" outlineLevel="0" collapsed="false">
      <c r="A55" s="839" t="s">
        <v>739</v>
      </c>
      <c r="B55" s="132"/>
      <c r="C55" s="132"/>
      <c r="D55" s="132"/>
      <c r="E55" s="132"/>
      <c r="F55" s="132"/>
      <c r="G55" s="132"/>
      <c r="H55" s="132"/>
      <c r="I55" s="132"/>
      <c r="J55" s="132"/>
      <c r="K55" s="133"/>
    </row>
    <row r="56" customFormat="false" ht="15" hidden="false" customHeight="false" outlineLevel="0" collapsed="false">
      <c r="A56" s="52"/>
      <c r="B56" s="48"/>
      <c r="C56" s="54"/>
      <c r="D56" s="48"/>
      <c r="E56" s="48"/>
      <c r="F56" s="48"/>
      <c r="G56" s="48"/>
      <c r="H56" s="48"/>
      <c r="I56" s="48"/>
      <c r="J56" s="48"/>
      <c r="K56" s="54"/>
    </row>
    <row r="57" customFormat="false" ht="15" hidden="false" customHeight="false" outlineLevel="0" collapsed="false">
      <c r="A57" s="52" t="s">
        <v>732</v>
      </c>
      <c r="B57" s="48"/>
      <c r="C57" s="951" t="n">
        <v>15516</v>
      </c>
      <c r="D57" s="48"/>
      <c r="E57" s="876" t="n">
        <f aca="false">C57*(1+$E$27)</f>
        <v>16446.96</v>
      </c>
      <c r="F57" s="876"/>
      <c r="G57" s="876" t="n">
        <f aca="false">E57*(1+G27)</f>
        <v>17433.7776</v>
      </c>
      <c r="H57" s="876"/>
      <c r="I57" s="876" t="n">
        <f aca="false">G57*(1+I27)</f>
        <v>18479.804256</v>
      </c>
      <c r="J57" s="876"/>
      <c r="K57" s="875" t="n">
        <f aca="false">I57*(1+K27)</f>
        <v>19588.59251136</v>
      </c>
    </row>
    <row r="58" customFormat="false" ht="15" hidden="false" customHeight="false" outlineLevel="0" collapsed="false">
      <c r="A58" s="52" t="s">
        <v>733</v>
      </c>
      <c r="B58" s="1255" t="n">
        <f aca="false">B31</f>
        <v>0</v>
      </c>
      <c r="C58" s="924" t="n">
        <f aca="false">C57*B58</f>
        <v>0</v>
      </c>
      <c r="D58" s="48"/>
      <c r="E58" s="876" t="n">
        <f aca="false">E57*B58</f>
        <v>0</v>
      </c>
      <c r="F58" s="876"/>
      <c r="G58" s="876" t="n">
        <f aca="false">G57*B58</f>
        <v>0</v>
      </c>
      <c r="H58" s="876"/>
      <c r="I58" s="876" t="n">
        <f aca="false">I57*B58</f>
        <v>0</v>
      </c>
      <c r="J58" s="876"/>
      <c r="K58" s="875" t="n">
        <f aca="false">K57*B58</f>
        <v>0</v>
      </c>
    </row>
    <row r="59" customFormat="false" ht="15" hidden="false" customHeight="false" outlineLevel="0" collapsed="false">
      <c r="A59" s="52" t="s">
        <v>734</v>
      </c>
      <c r="B59" s="48"/>
      <c r="C59" s="1259" t="n">
        <v>0</v>
      </c>
      <c r="D59" s="48"/>
      <c r="E59" s="967" t="n">
        <f aca="false">C59*(1+$E$27)</f>
        <v>0</v>
      </c>
      <c r="F59" s="876"/>
      <c r="G59" s="967" t="n">
        <f aca="false">E59*(1+G27)</f>
        <v>0</v>
      </c>
      <c r="H59" s="876"/>
      <c r="I59" s="967" t="n">
        <f aca="false">G59*(1+I27)</f>
        <v>0</v>
      </c>
      <c r="J59" s="876"/>
      <c r="K59" s="966" t="n">
        <f aca="false">I59*(1+K27)</f>
        <v>0</v>
      </c>
    </row>
    <row r="60" customFormat="false" ht="15" hidden="false" customHeight="false" outlineLevel="0" collapsed="false">
      <c r="A60" s="52" t="s">
        <v>735</v>
      </c>
      <c r="B60" s="48"/>
      <c r="C60" s="875" t="n">
        <f aca="false">SUM(C57:C59)</f>
        <v>15516</v>
      </c>
      <c r="D60" s="48"/>
      <c r="E60" s="876" t="n">
        <f aca="false">SUM(E57:E59)</f>
        <v>16446.96</v>
      </c>
      <c r="F60" s="876"/>
      <c r="G60" s="876" t="n">
        <f aca="false">SUM(G57:G59)</f>
        <v>17433.7776</v>
      </c>
      <c r="H60" s="876"/>
      <c r="I60" s="876" t="n">
        <f aca="false">SUM(I57:I59)</f>
        <v>18479.804256</v>
      </c>
      <c r="J60" s="876"/>
      <c r="K60" s="875" t="n">
        <f aca="false">SUM(K57:K59)</f>
        <v>19588.59251136</v>
      </c>
    </row>
    <row r="61" customFormat="false" ht="15" hidden="false" customHeight="false" outlineLevel="0" collapsed="false">
      <c r="A61" s="52" t="s">
        <v>736</v>
      </c>
      <c r="B61" s="48"/>
      <c r="C61" s="1050" t="n">
        <f aca="false">C11</f>
        <v>0</v>
      </c>
      <c r="D61" s="1052"/>
      <c r="E61" s="1052" t="n">
        <f aca="false">E11</f>
        <v>0</v>
      </c>
      <c r="F61" s="1052"/>
      <c r="G61" s="1052" t="n">
        <f aca="false">G11</f>
        <v>0</v>
      </c>
      <c r="H61" s="1052"/>
      <c r="I61" s="1052" t="n">
        <f aca="false">I11</f>
        <v>0</v>
      </c>
      <c r="J61" s="1052"/>
      <c r="K61" s="1050" t="n">
        <f aca="false">K11</f>
        <v>0</v>
      </c>
    </row>
    <row r="62" customFormat="false" ht="15" hidden="false" customHeight="false" outlineLevel="0" collapsed="false">
      <c r="A62" s="52" t="s">
        <v>735</v>
      </c>
      <c r="B62" s="48"/>
      <c r="C62" s="1256" t="n">
        <f aca="false">C60*C61*$B$171</f>
        <v>0</v>
      </c>
      <c r="D62" s="48"/>
      <c r="E62" s="1256" t="n">
        <f aca="false">E60*E61*$B$171</f>
        <v>0</v>
      </c>
      <c r="F62" s="48"/>
      <c r="G62" s="1256" t="n">
        <f aca="false">G60*G61*$B$171</f>
        <v>0</v>
      </c>
      <c r="H62" s="48"/>
      <c r="I62" s="1256" t="n">
        <f aca="false">I60*I61*$B$171</f>
        <v>0</v>
      </c>
      <c r="J62" s="48"/>
      <c r="K62" s="1256" t="n">
        <f aca="false">K60*K61*$B$171</f>
        <v>0</v>
      </c>
    </row>
    <row r="63" customFormat="false" ht="15" hidden="false" customHeight="false" outlineLevel="0" collapsed="false">
      <c r="A63" s="82"/>
      <c r="B63" s="107"/>
      <c r="C63" s="84"/>
      <c r="D63" s="107"/>
      <c r="E63" s="107"/>
      <c r="F63" s="107"/>
      <c r="G63" s="107"/>
      <c r="H63" s="107"/>
      <c r="I63" s="107"/>
      <c r="J63" s="107"/>
      <c r="K63" s="1256"/>
    </row>
    <row r="64" customFormat="false" ht="18.75" hidden="false" customHeight="false" outlineLevel="0" collapsed="false">
      <c r="A64" s="839" t="s">
        <v>740</v>
      </c>
      <c r="B64" s="132"/>
      <c r="C64" s="132"/>
      <c r="D64" s="132"/>
      <c r="E64" s="132"/>
      <c r="F64" s="132"/>
      <c r="G64" s="132"/>
      <c r="H64" s="132"/>
      <c r="I64" s="132"/>
      <c r="J64" s="132"/>
      <c r="K64" s="133"/>
    </row>
    <row r="65" customFormat="false" ht="15" hidden="false" customHeight="false" outlineLevel="0" collapsed="false">
      <c r="A65" s="52"/>
      <c r="B65" s="48"/>
      <c r="C65" s="260"/>
      <c r="D65" s="48"/>
      <c r="E65" s="48"/>
      <c r="F65" s="48"/>
      <c r="G65" s="48"/>
      <c r="H65" s="48"/>
      <c r="I65" s="48"/>
      <c r="J65" s="48"/>
      <c r="K65" s="54"/>
    </row>
    <row r="66" customFormat="false" ht="15" hidden="false" customHeight="false" outlineLevel="0" collapsed="false">
      <c r="A66" s="52" t="s">
        <v>732</v>
      </c>
      <c r="B66" s="48"/>
      <c r="C66" s="951" t="n">
        <v>14677</v>
      </c>
      <c r="D66" s="876"/>
      <c r="E66" s="876" t="n">
        <f aca="false">C66*(1+$E$27)</f>
        <v>15557.62</v>
      </c>
      <c r="F66" s="876"/>
      <c r="G66" s="876" t="n">
        <f aca="false">E66*(1+G27)</f>
        <v>16491.0772</v>
      </c>
      <c r="H66" s="876"/>
      <c r="I66" s="876" t="n">
        <f aca="false">G66*(1+I27)</f>
        <v>17480.541832</v>
      </c>
      <c r="J66" s="876"/>
      <c r="K66" s="875" t="n">
        <f aca="false">I66*(1+K27)</f>
        <v>18529.37434192</v>
      </c>
    </row>
    <row r="67" customFormat="false" ht="15" hidden="false" customHeight="false" outlineLevel="0" collapsed="false">
      <c r="A67" s="52" t="s">
        <v>733</v>
      </c>
      <c r="B67" s="1258" t="n">
        <f aca="false">B31</f>
        <v>0</v>
      </c>
      <c r="C67" s="924" t="n">
        <f aca="false">C66*B67</f>
        <v>0</v>
      </c>
      <c r="D67" s="876"/>
      <c r="E67" s="876" t="n">
        <f aca="false">E66*B67</f>
        <v>0</v>
      </c>
      <c r="F67" s="876"/>
      <c r="G67" s="876" t="n">
        <f aca="false">G66*B67</f>
        <v>0</v>
      </c>
      <c r="H67" s="876"/>
      <c r="I67" s="876" t="n">
        <f aca="false">I66*B67</f>
        <v>0</v>
      </c>
      <c r="J67" s="876"/>
      <c r="K67" s="875" t="n">
        <f aca="false">K66*B67</f>
        <v>0</v>
      </c>
    </row>
    <row r="68" customFormat="false" ht="15" hidden="false" customHeight="false" outlineLevel="0" collapsed="false">
      <c r="A68" s="52" t="s">
        <v>734</v>
      </c>
      <c r="B68" s="48"/>
      <c r="C68" s="1013" t="n">
        <v>0</v>
      </c>
      <c r="D68" s="876"/>
      <c r="E68" s="967" t="n">
        <f aca="false">C68*(1+$E$27)</f>
        <v>0</v>
      </c>
      <c r="F68" s="876"/>
      <c r="G68" s="967" t="n">
        <f aca="false">E68*(1+G27)</f>
        <v>0</v>
      </c>
      <c r="H68" s="876"/>
      <c r="I68" s="967" t="n">
        <f aca="false">G68*(1+I27)</f>
        <v>0</v>
      </c>
      <c r="J68" s="876"/>
      <c r="K68" s="966" t="n">
        <f aca="false">I68*(1+K27)</f>
        <v>0</v>
      </c>
    </row>
    <row r="69" customFormat="false" ht="15" hidden="false" customHeight="false" outlineLevel="0" collapsed="false">
      <c r="A69" s="52" t="s">
        <v>735</v>
      </c>
      <c r="B69" s="48"/>
      <c r="C69" s="875" t="n">
        <f aca="false">SUM(C66:C68)</f>
        <v>14677</v>
      </c>
      <c r="D69" s="876"/>
      <c r="E69" s="876" t="n">
        <f aca="false">SUM(E66:E68)</f>
        <v>15557.62</v>
      </c>
      <c r="F69" s="876"/>
      <c r="G69" s="876" t="n">
        <f aca="false">SUM(G66:G68)</f>
        <v>16491.0772</v>
      </c>
      <c r="H69" s="876"/>
      <c r="I69" s="876" t="n">
        <f aca="false">SUM(I66:I68)</f>
        <v>17480.541832</v>
      </c>
      <c r="J69" s="876"/>
      <c r="K69" s="875" t="n">
        <f aca="false">SUM(K66:K68)</f>
        <v>18529.37434192</v>
      </c>
    </row>
    <row r="70" customFormat="false" ht="15" hidden="false" customHeight="false" outlineLevel="0" collapsed="false">
      <c r="A70" s="52" t="s">
        <v>736</v>
      </c>
      <c r="B70" s="48"/>
      <c r="C70" s="1050" t="n">
        <f aca="false">C12</f>
        <v>1</v>
      </c>
      <c r="D70" s="1052"/>
      <c r="E70" s="1052" t="n">
        <f aca="false">E12</f>
        <v>1</v>
      </c>
      <c r="F70" s="1052"/>
      <c r="G70" s="1052" t="n">
        <f aca="false">G12</f>
        <v>1</v>
      </c>
      <c r="H70" s="1052"/>
      <c r="I70" s="1052" t="n">
        <f aca="false">I12</f>
        <v>1</v>
      </c>
      <c r="J70" s="1052"/>
      <c r="K70" s="1257" t="n">
        <f aca="false">K12</f>
        <v>1</v>
      </c>
    </row>
    <row r="71" customFormat="false" ht="15" hidden="false" customHeight="false" outlineLevel="0" collapsed="false">
      <c r="A71" s="52" t="s">
        <v>735</v>
      </c>
      <c r="B71" s="48"/>
      <c r="C71" s="1256" t="n">
        <f aca="false">C69*C70*$B$171</f>
        <v>14677</v>
      </c>
      <c r="D71" s="876"/>
      <c r="E71" s="1256" t="n">
        <f aca="false">E69*E70*$B$171</f>
        <v>15557.62</v>
      </c>
      <c r="F71" s="876"/>
      <c r="G71" s="1256" t="n">
        <f aca="false">G69*G70*$B$171</f>
        <v>16491.0772</v>
      </c>
      <c r="H71" s="876"/>
      <c r="I71" s="1256" t="n">
        <f aca="false">I69*I70*$B$171</f>
        <v>17480.541832</v>
      </c>
      <c r="J71" s="876"/>
      <c r="K71" s="1256" t="n">
        <f aca="false">K69*K70*$B$171</f>
        <v>18529.37434192</v>
      </c>
    </row>
    <row r="72" customFormat="false" ht="15" hidden="false" customHeight="false" outlineLevel="0" collapsed="false">
      <c r="A72" s="52"/>
      <c r="B72" s="48"/>
      <c r="C72" s="875"/>
      <c r="D72" s="876"/>
      <c r="E72" s="876"/>
      <c r="F72" s="876"/>
      <c r="G72" s="876"/>
      <c r="H72" s="876"/>
      <c r="I72" s="876"/>
      <c r="J72" s="876"/>
      <c r="K72" s="875"/>
    </row>
    <row r="73" customFormat="false" ht="18.75" hidden="false" customHeight="false" outlineLevel="0" collapsed="false">
      <c r="A73" s="839" t="s">
        <v>741</v>
      </c>
      <c r="B73" s="132"/>
      <c r="C73" s="132"/>
      <c r="D73" s="132"/>
      <c r="E73" s="132"/>
      <c r="F73" s="132"/>
      <c r="G73" s="132"/>
      <c r="H73" s="132"/>
      <c r="I73" s="132"/>
      <c r="J73" s="132"/>
      <c r="K73" s="133"/>
    </row>
    <row r="74" customFormat="false" ht="15" hidden="false" customHeight="false" outlineLevel="0" collapsed="false">
      <c r="A74" s="52"/>
      <c r="B74" s="48"/>
      <c r="C74" s="260"/>
      <c r="D74" s="48"/>
      <c r="E74" s="48"/>
      <c r="F74" s="48"/>
      <c r="G74" s="48"/>
      <c r="H74" s="48"/>
      <c r="I74" s="48"/>
      <c r="J74" s="48"/>
      <c r="K74" s="54"/>
    </row>
    <row r="75" customFormat="false" ht="15" hidden="false" customHeight="false" outlineLevel="0" collapsed="false">
      <c r="A75" s="52" t="s">
        <v>732</v>
      </c>
      <c r="B75" s="48"/>
      <c r="C75" s="924"/>
      <c r="D75" s="876"/>
      <c r="E75" s="876"/>
      <c r="F75" s="876"/>
      <c r="G75" s="876"/>
      <c r="H75" s="876"/>
      <c r="I75" s="876"/>
      <c r="J75" s="876"/>
      <c r="K75" s="875"/>
    </row>
    <row r="76" customFormat="false" ht="15" hidden="false" customHeight="false" outlineLevel="0" collapsed="false">
      <c r="A76" s="52" t="s">
        <v>742</v>
      </c>
      <c r="B76" s="48"/>
      <c r="C76" s="951" t="n">
        <v>7548</v>
      </c>
      <c r="D76" s="876"/>
      <c r="E76" s="876" t="n">
        <f aca="false">C76*(1+$E$27)</f>
        <v>8000.88</v>
      </c>
      <c r="F76" s="876"/>
      <c r="G76" s="876" t="n">
        <f aca="false">E76*(1+G27)</f>
        <v>8480.9328</v>
      </c>
      <c r="H76" s="876"/>
      <c r="I76" s="876" t="n">
        <f aca="false">G76*(1+I27)</f>
        <v>8989.788768</v>
      </c>
      <c r="J76" s="876"/>
      <c r="K76" s="875" t="n">
        <f aca="false">I76*(1+K27)</f>
        <v>9529.17609408</v>
      </c>
    </row>
    <row r="77" customFormat="false" ht="15" hidden="false" customHeight="false" outlineLevel="0" collapsed="false">
      <c r="A77" s="52" t="s">
        <v>743</v>
      </c>
      <c r="B77" s="1260" t="n">
        <v>65</v>
      </c>
      <c r="C77" s="924" t="n">
        <f aca="false">IF(('7.2.1 Turnover Vehicles'!C84+'7.2.1 Turnover Vehicles'!C85)*$B77=0,0,('7.1 Dealer area'!C41+'7.1 Dealer area'!C47+'5.1 DAF Vehicle Parc Input'!K43)/('7.2.1 Turnover Vehicles'!C84+'7.2.1 Turnover Vehicles'!C85)*$B77)</f>
        <v>162.5</v>
      </c>
      <c r="D77" s="925"/>
      <c r="E77" s="925" t="n">
        <f aca="false">IF(('7.2.1 Turnover Vehicles'!E84+'7.2.1 Turnover Vehicles'!E85)*$B77=0,0,('7.1 Dealer area'!E41+'7.1 Dealer area'!E47+'5.1 DAF Vehicle Parc Input'!L43)/('7.2.1 Turnover Vehicles'!E84+'7.2.1 Turnover Vehicles'!E85)*$B77)</f>
        <v>0</v>
      </c>
      <c r="F77" s="925"/>
      <c r="G77" s="925" t="n">
        <f aca="false">IF(('7.2.1 Turnover Vehicles'!G84+'7.2.1 Turnover Vehicles'!G85)*$B77=0,0,('7.1 Dealer area'!G41+'7.1 Dealer area'!G47+'5.1 DAF Vehicle Parc Input'!M43)/('7.2.1 Turnover Vehicles'!G84+'7.2.1 Turnover Vehicles'!G85)*$B77)</f>
        <v>0</v>
      </c>
      <c r="H77" s="925"/>
      <c r="I77" s="925" t="n">
        <f aca="false">IF(('7.2.1 Turnover Vehicles'!I84+'7.2.1 Turnover Vehicles'!I85)*$B77=0,0,('7.1 Dealer area'!I41+'7.1 Dealer area'!I47+'5.1 DAF Vehicle Parc Input'!N43)/('7.2.1 Turnover Vehicles'!I84+'7.2.1 Turnover Vehicles'!I85)*$B77)</f>
        <v>0</v>
      </c>
      <c r="J77" s="925"/>
      <c r="K77" s="924" t="n">
        <f aca="false">IF(('7.2.1 Turnover Vehicles'!K84+'7.2.1 Turnover Vehicles'!K85)*$B77=0,0,('7.1 Dealer area'!K41+'7.1 Dealer area'!K47+'5.1 DAF Vehicle Parc Input'!O43)/('7.2.1 Turnover Vehicles'!K84+'7.2.1 Turnover Vehicles'!K85)*$B77)</f>
        <v>0</v>
      </c>
    </row>
    <row r="78" customFormat="false" ht="15" hidden="false" customHeight="false" outlineLevel="0" collapsed="false">
      <c r="A78" s="52" t="s">
        <v>733</v>
      </c>
      <c r="B78" s="1258" t="n">
        <f aca="false">B67</f>
        <v>0</v>
      </c>
      <c r="C78" s="924" t="n">
        <f aca="false">(C76+C77)*$B$78</f>
        <v>0</v>
      </c>
      <c r="D78" s="876"/>
      <c r="E78" s="925" t="n">
        <f aca="false">(E76+E77)*$B$78</f>
        <v>0</v>
      </c>
      <c r="F78" s="876"/>
      <c r="G78" s="925" t="n">
        <f aca="false">(G76+G77)*$B$78</f>
        <v>0</v>
      </c>
      <c r="H78" s="876"/>
      <c r="I78" s="925" t="n">
        <f aca="false">(I76+I77)*$B$78</f>
        <v>0</v>
      </c>
      <c r="J78" s="876"/>
      <c r="K78" s="924" t="n">
        <f aca="false">(K76+K77)*$B$78</f>
        <v>0</v>
      </c>
    </row>
    <row r="79" customFormat="false" ht="15" hidden="false" customHeight="false" outlineLevel="0" collapsed="false">
      <c r="A79" s="52" t="s">
        <v>744</v>
      </c>
      <c r="B79" s="48"/>
      <c r="C79" s="1013" t="n">
        <v>0</v>
      </c>
      <c r="D79" s="876"/>
      <c r="E79" s="967" t="n">
        <f aca="false">C79*(1+$E$27)</f>
        <v>0</v>
      </c>
      <c r="F79" s="876"/>
      <c r="G79" s="967" t="n">
        <f aca="false">E79*(1+G27)</f>
        <v>0</v>
      </c>
      <c r="H79" s="876"/>
      <c r="I79" s="967" t="n">
        <f aca="false">G79*(1+I27)</f>
        <v>0</v>
      </c>
      <c r="J79" s="876"/>
      <c r="K79" s="966" t="n">
        <f aca="false">I79*(1+K27)</f>
        <v>0</v>
      </c>
    </row>
    <row r="80" customFormat="false" ht="15" hidden="false" customHeight="false" outlineLevel="0" collapsed="false">
      <c r="A80" s="52" t="s">
        <v>735</v>
      </c>
      <c r="B80" s="48"/>
      <c r="C80" s="875" t="n">
        <f aca="false">SUM(C75:C79)</f>
        <v>7710.5</v>
      </c>
      <c r="D80" s="876"/>
      <c r="E80" s="876" t="n">
        <f aca="false">SUM(E75:E79)</f>
        <v>8000.88</v>
      </c>
      <c r="F80" s="876"/>
      <c r="G80" s="876" t="n">
        <f aca="false">SUM(G75:G79)</f>
        <v>8480.9328</v>
      </c>
      <c r="H80" s="876"/>
      <c r="I80" s="876" t="n">
        <f aca="false">SUM(I75:I79)</f>
        <v>8989.788768</v>
      </c>
      <c r="J80" s="876"/>
      <c r="K80" s="875" t="n">
        <f aca="false">SUM(K75:K79)</f>
        <v>9529.17609408</v>
      </c>
    </row>
    <row r="81" customFormat="false" ht="15" hidden="false" customHeight="false" outlineLevel="0" collapsed="false">
      <c r="A81" s="52" t="s">
        <v>736</v>
      </c>
      <c r="B81" s="48"/>
      <c r="C81" s="1050" t="n">
        <f aca="false">C13</f>
        <v>4</v>
      </c>
      <c r="D81" s="1052"/>
      <c r="E81" s="1261" t="n">
        <f aca="false">E13</f>
        <v>4</v>
      </c>
      <c r="F81" s="1052"/>
      <c r="G81" s="1261" t="n">
        <f aca="false">G13</f>
        <v>5</v>
      </c>
      <c r="H81" s="1052"/>
      <c r="I81" s="1261" t="n">
        <f aca="false">I13</f>
        <v>6</v>
      </c>
      <c r="J81" s="1052"/>
      <c r="K81" s="1050" t="n">
        <f aca="false">K13</f>
        <v>6</v>
      </c>
    </row>
    <row r="82" customFormat="false" ht="15" hidden="false" customHeight="false" outlineLevel="0" collapsed="false">
      <c r="A82" s="52" t="s">
        <v>735</v>
      </c>
      <c r="B82" s="48"/>
      <c r="C82" s="1256" t="n">
        <f aca="false">C80*C81*$B$171</f>
        <v>30842</v>
      </c>
      <c r="D82" s="876"/>
      <c r="E82" s="1256" t="n">
        <f aca="false">E80*E81*$B$171</f>
        <v>32003.52</v>
      </c>
      <c r="F82" s="876"/>
      <c r="G82" s="1256" t="n">
        <f aca="false">G80*G81*$B$171</f>
        <v>42404.664</v>
      </c>
      <c r="H82" s="876"/>
      <c r="I82" s="1256" t="n">
        <f aca="false">I80*I81*$B$171</f>
        <v>53938.732608</v>
      </c>
      <c r="J82" s="876"/>
      <c r="K82" s="1256" t="n">
        <f aca="false">K80*K81*$B$171</f>
        <v>57175.05656448</v>
      </c>
    </row>
    <row r="83" customFormat="false" ht="15" hidden="false" customHeight="false" outlineLevel="0" collapsed="false">
      <c r="A83" s="52"/>
      <c r="B83" s="48"/>
      <c r="C83" s="54"/>
      <c r="D83" s="48"/>
      <c r="E83" s="48"/>
      <c r="F83" s="48"/>
      <c r="G83" s="48"/>
      <c r="H83" s="48"/>
      <c r="I83" s="48"/>
      <c r="J83" s="48"/>
      <c r="K83" s="54"/>
    </row>
    <row r="84" customFormat="false" ht="18.75" hidden="false" customHeight="false" outlineLevel="0" collapsed="false">
      <c r="A84" s="839" t="s">
        <v>745</v>
      </c>
      <c r="B84" s="132"/>
      <c r="C84" s="132"/>
      <c r="D84" s="132"/>
      <c r="E84" s="132"/>
      <c r="F84" s="132"/>
      <c r="G84" s="132"/>
      <c r="H84" s="132"/>
      <c r="I84" s="132"/>
      <c r="J84" s="132"/>
      <c r="K84" s="133"/>
    </row>
    <row r="85" customFormat="false" ht="15" hidden="false" customHeight="false" outlineLevel="0" collapsed="false">
      <c r="A85" s="52"/>
      <c r="B85" s="48"/>
      <c r="C85" s="260"/>
      <c r="D85" s="48"/>
      <c r="E85" s="48"/>
      <c r="F85" s="48"/>
      <c r="G85" s="48"/>
      <c r="H85" s="48"/>
      <c r="I85" s="48"/>
      <c r="J85" s="48"/>
      <c r="K85" s="54"/>
    </row>
    <row r="86" customFormat="false" ht="15" hidden="false" customHeight="false" outlineLevel="0" collapsed="false">
      <c r="A86" s="52" t="s">
        <v>732</v>
      </c>
      <c r="B86" s="48"/>
      <c r="C86" s="951" t="n">
        <v>6290</v>
      </c>
      <c r="D86" s="876"/>
      <c r="E86" s="876" t="n">
        <f aca="false">C86*(1+$E$27)</f>
        <v>6667.4</v>
      </c>
      <c r="F86" s="876"/>
      <c r="G86" s="876" t="n">
        <f aca="false">E86*(1+G27)</f>
        <v>7067.444</v>
      </c>
      <c r="H86" s="876"/>
      <c r="I86" s="876" t="n">
        <f aca="false">G86*(1+I27)</f>
        <v>7491.49064</v>
      </c>
      <c r="J86" s="876"/>
      <c r="K86" s="875" t="n">
        <f aca="false">I86*(1+K27)</f>
        <v>7940.9800784</v>
      </c>
    </row>
    <row r="87" customFormat="false" ht="15" hidden="false" customHeight="false" outlineLevel="0" collapsed="false">
      <c r="A87" s="52" t="s">
        <v>733</v>
      </c>
      <c r="B87" s="1258" t="n">
        <f aca="false">B31</f>
        <v>0</v>
      </c>
      <c r="C87" s="924" t="n">
        <f aca="false">C86*B87</f>
        <v>0</v>
      </c>
      <c r="D87" s="876"/>
      <c r="E87" s="876" t="n">
        <f aca="false">E86*B87</f>
        <v>0</v>
      </c>
      <c r="F87" s="876"/>
      <c r="G87" s="876" t="n">
        <f aca="false">G86*B87</f>
        <v>0</v>
      </c>
      <c r="H87" s="876"/>
      <c r="I87" s="876" t="n">
        <f aca="false">I86*B87</f>
        <v>0</v>
      </c>
      <c r="J87" s="876"/>
      <c r="K87" s="875" t="n">
        <f aca="false">K86*B87</f>
        <v>0</v>
      </c>
    </row>
    <row r="88" customFormat="false" ht="15" hidden="false" customHeight="false" outlineLevel="0" collapsed="false">
      <c r="A88" s="52" t="s">
        <v>734</v>
      </c>
      <c r="B88" s="48"/>
      <c r="C88" s="1013" t="n">
        <v>0</v>
      </c>
      <c r="D88" s="876"/>
      <c r="E88" s="967" t="n">
        <f aca="false">C88*(1+$E$27)</f>
        <v>0</v>
      </c>
      <c r="F88" s="876"/>
      <c r="G88" s="967" t="n">
        <f aca="false">E88*(1+G27)</f>
        <v>0</v>
      </c>
      <c r="H88" s="876"/>
      <c r="I88" s="967" t="n">
        <f aca="false">G88*(1+I27)</f>
        <v>0</v>
      </c>
      <c r="J88" s="876"/>
      <c r="K88" s="966" t="n">
        <f aca="false">I88*(1+K27)</f>
        <v>0</v>
      </c>
    </row>
    <row r="89" customFormat="false" ht="15" hidden="false" customHeight="false" outlineLevel="0" collapsed="false">
      <c r="A89" s="52" t="s">
        <v>735</v>
      </c>
      <c r="B89" s="48"/>
      <c r="C89" s="875" t="n">
        <f aca="false">SUM(C86:C88)</f>
        <v>6290</v>
      </c>
      <c r="D89" s="876"/>
      <c r="E89" s="876" t="n">
        <f aca="false">SUM(E86:E88)</f>
        <v>6667.4</v>
      </c>
      <c r="F89" s="876"/>
      <c r="G89" s="876" t="n">
        <f aca="false">SUM(G86:G88)</f>
        <v>7067.444</v>
      </c>
      <c r="H89" s="876"/>
      <c r="I89" s="876" t="n">
        <f aca="false">SUM(I86:I88)</f>
        <v>7491.49064</v>
      </c>
      <c r="J89" s="876"/>
      <c r="K89" s="875" t="n">
        <f aca="false">SUM(K86:K88)</f>
        <v>7940.9800784</v>
      </c>
    </row>
    <row r="90" customFormat="false" ht="15" hidden="false" customHeight="false" outlineLevel="0" collapsed="false">
      <c r="A90" s="52" t="s">
        <v>736</v>
      </c>
      <c r="B90" s="48"/>
      <c r="C90" s="1050" t="n">
        <f aca="false">C14</f>
        <v>3</v>
      </c>
      <c r="D90" s="1052"/>
      <c r="E90" s="1052" t="n">
        <f aca="false">E14</f>
        <v>3</v>
      </c>
      <c r="F90" s="1052"/>
      <c r="G90" s="1052" t="n">
        <f aca="false">G14</f>
        <v>3</v>
      </c>
      <c r="H90" s="1052"/>
      <c r="I90" s="1052" t="n">
        <f aca="false">I14</f>
        <v>3</v>
      </c>
      <c r="J90" s="1052"/>
      <c r="K90" s="1050" t="n">
        <f aca="false">K14</f>
        <v>3</v>
      </c>
    </row>
    <row r="91" customFormat="false" ht="15" hidden="false" customHeight="false" outlineLevel="0" collapsed="false">
      <c r="A91" s="52" t="s">
        <v>735</v>
      </c>
      <c r="B91" s="48"/>
      <c r="C91" s="1256" t="n">
        <f aca="false">C89*C90*$B$171</f>
        <v>18870</v>
      </c>
      <c r="D91" s="876"/>
      <c r="E91" s="1256" t="n">
        <f aca="false">E89*E90*$B$171</f>
        <v>20002.2</v>
      </c>
      <c r="F91" s="876"/>
      <c r="G91" s="1256" t="n">
        <f aca="false">G89*G90*$B$171</f>
        <v>21202.332</v>
      </c>
      <c r="H91" s="876"/>
      <c r="I91" s="1256" t="n">
        <f aca="false">I89*I90*$B$171</f>
        <v>22474.47192</v>
      </c>
      <c r="J91" s="876"/>
      <c r="K91" s="1256" t="n">
        <f aca="false">K89*K90*$B$171</f>
        <v>23822.9402352</v>
      </c>
    </row>
    <row r="92" customFormat="false" ht="15" hidden="false" customHeight="false" outlineLevel="0" collapsed="false">
      <c r="A92" s="82"/>
      <c r="B92" s="107"/>
      <c r="C92" s="966"/>
      <c r="D92" s="967"/>
      <c r="E92" s="967"/>
      <c r="F92" s="967"/>
      <c r="G92" s="967"/>
      <c r="H92" s="967"/>
      <c r="I92" s="967"/>
      <c r="J92" s="967"/>
      <c r="K92" s="966"/>
    </row>
    <row r="93" customFormat="false" ht="28.5" hidden="false" customHeight="false" outlineLevel="0" collapsed="false">
      <c r="A93" s="113" t="s">
        <v>525</v>
      </c>
      <c r="B93" s="114"/>
      <c r="C93" s="114"/>
      <c r="D93" s="114"/>
      <c r="E93" s="114"/>
      <c r="F93" s="114"/>
      <c r="G93" s="114"/>
      <c r="H93" s="114"/>
      <c r="I93" s="114"/>
      <c r="J93" s="114"/>
      <c r="K93" s="115" t="str">
        <f aca="false">K1</f>
        <v>7.4.1 Salaries &amp; wages</v>
      </c>
    </row>
    <row r="94" customFormat="false" ht="15" hidden="false" customHeight="false" outlineLevel="0" collapsed="false">
      <c r="A94" s="52"/>
      <c r="B94" s="48"/>
      <c r="C94" s="48"/>
      <c r="D94" s="48"/>
      <c r="E94" s="848"/>
      <c r="F94" s="48"/>
      <c r="G94" s="48"/>
      <c r="H94" s="48"/>
      <c r="I94" s="48"/>
      <c r="J94" s="48"/>
      <c r="K94" s="849"/>
    </row>
    <row r="95" customFormat="false" ht="18" hidden="false" customHeight="false" outlineLevel="0" collapsed="false">
      <c r="A95" s="850" t="s">
        <v>34</v>
      </c>
      <c r="B95" s="363" t="str">
        <f aca="false">B3</f>
        <v>TEST</v>
      </c>
      <c r="C95" s="364"/>
      <c r="E95" s="367" t="s">
        <v>46</v>
      </c>
      <c r="F95" s="852" t="n">
        <f aca="false">F3</f>
        <v>1</v>
      </c>
      <c r="G95" s="853" t="s">
        <v>49</v>
      </c>
      <c r="H95" s="368" t="str">
        <f aca="false">H3</f>
        <v>July</v>
      </c>
      <c r="I95" s="365"/>
      <c r="J95" s="365" t="s">
        <v>527</v>
      </c>
      <c r="K95" s="855" t="str">
        <f aca="false">K3</f>
        <v>EUR</v>
      </c>
    </row>
    <row r="96" customFormat="false" ht="15" hidden="false" customHeight="false" outlineLevel="0" collapsed="false">
      <c r="A96" s="52"/>
      <c r="B96" s="129"/>
      <c r="C96" s="48"/>
      <c r="D96" s="48"/>
      <c r="E96" s="48"/>
      <c r="F96" s="48"/>
      <c r="G96" s="130"/>
      <c r="H96" s="48"/>
      <c r="I96" s="48"/>
      <c r="J96" s="48"/>
      <c r="K96" s="939"/>
    </row>
    <row r="97" customFormat="false" ht="15" hidden="false" customHeight="false" outlineLevel="0" collapsed="false">
      <c r="A97" s="82"/>
      <c r="B97" s="107"/>
      <c r="C97" s="940" t="n">
        <f aca="false">C5</f>
        <v>2019</v>
      </c>
      <c r="D97" s="941"/>
      <c r="E97" s="940" t="n">
        <f aca="false">E5</f>
        <v>2020</v>
      </c>
      <c r="F97" s="942"/>
      <c r="G97" s="940" t="n">
        <f aca="false">G5</f>
        <v>2021</v>
      </c>
      <c r="H97" s="943"/>
      <c r="I97" s="940" t="n">
        <f aca="false">I5</f>
        <v>2022</v>
      </c>
      <c r="J97" s="943"/>
      <c r="K97" s="940" t="n">
        <f aca="false">K5</f>
        <v>2023</v>
      </c>
    </row>
    <row r="98" customFormat="false" ht="18.75" hidden="false" customHeight="false" outlineLevel="0" collapsed="false">
      <c r="A98" s="839" t="s">
        <v>746</v>
      </c>
      <c r="B98" s="132"/>
      <c r="C98" s="132"/>
      <c r="D98" s="132"/>
      <c r="E98" s="132"/>
      <c r="F98" s="132"/>
      <c r="G98" s="132"/>
      <c r="H98" s="132"/>
      <c r="I98" s="132"/>
      <c r="J98" s="132"/>
      <c r="K98" s="133"/>
    </row>
    <row r="99" customFormat="false" ht="15" hidden="false" customHeight="false" outlineLevel="0" collapsed="false">
      <c r="A99" s="506"/>
      <c r="B99" s="257"/>
      <c r="C99" s="260"/>
      <c r="D99" s="257"/>
      <c r="E99" s="257"/>
      <c r="F99" s="257"/>
      <c r="G99" s="257"/>
      <c r="H99" s="257"/>
      <c r="I99" s="257"/>
      <c r="J99" s="257"/>
      <c r="K99" s="260"/>
    </row>
    <row r="100" customFormat="false" ht="15" hidden="false" customHeight="false" outlineLevel="0" collapsed="false">
      <c r="A100" s="52" t="s">
        <v>732</v>
      </c>
      <c r="B100" s="48"/>
      <c r="C100" s="951" t="n">
        <v>3774</v>
      </c>
      <c r="D100" s="876"/>
      <c r="E100" s="876" t="n">
        <f aca="false">C100*(1+$E$27)</f>
        <v>4000.44</v>
      </c>
      <c r="F100" s="876"/>
      <c r="G100" s="876" t="n">
        <f aca="false">E100*(1+G27)</f>
        <v>4240.4664</v>
      </c>
      <c r="H100" s="876"/>
      <c r="I100" s="876" t="n">
        <f aca="false">G100*(1+I27)</f>
        <v>4494.894384</v>
      </c>
      <c r="J100" s="876"/>
      <c r="K100" s="875" t="n">
        <f aca="false">I100*(1+K27)</f>
        <v>4764.58804704</v>
      </c>
    </row>
    <row r="101" customFormat="false" ht="15" hidden="false" customHeight="false" outlineLevel="0" collapsed="false">
      <c r="A101" s="52" t="s">
        <v>733</v>
      </c>
      <c r="B101" s="1258" t="n">
        <f aca="false">B87</f>
        <v>0</v>
      </c>
      <c r="C101" s="924" t="n">
        <f aca="false">C100*B101</f>
        <v>0</v>
      </c>
      <c r="D101" s="876"/>
      <c r="E101" s="876" t="n">
        <f aca="false">E100*B101</f>
        <v>0</v>
      </c>
      <c r="F101" s="876"/>
      <c r="G101" s="876" t="n">
        <f aca="false">G100*B101</f>
        <v>0</v>
      </c>
      <c r="H101" s="876"/>
      <c r="I101" s="876" t="n">
        <f aca="false">I100*B101</f>
        <v>0</v>
      </c>
      <c r="J101" s="876"/>
      <c r="K101" s="875" t="n">
        <f aca="false">K100*B101</f>
        <v>0</v>
      </c>
    </row>
    <row r="102" customFormat="false" ht="15" hidden="false" customHeight="false" outlineLevel="0" collapsed="false">
      <c r="A102" s="52" t="s">
        <v>734</v>
      </c>
      <c r="B102" s="48"/>
      <c r="C102" s="1013" t="n">
        <v>0</v>
      </c>
      <c r="D102" s="876"/>
      <c r="E102" s="967" t="n">
        <f aca="false">C102*(1+$E$27)</f>
        <v>0</v>
      </c>
      <c r="F102" s="876"/>
      <c r="G102" s="967" t="n">
        <f aca="false">E102*(1+G27)</f>
        <v>0</v>
      </c>
      <c r="H102" s="876"/>
      <c r="I102" s="967" t="n">
        <f aca="false">G102*(1+I27)</f>
        <v>0</v>
      </c>
      <c r="J102" s="876"/>
      <c r="K102" s="966" t="n">
        <f aca="false">I102*(1+K27)</f>
        <v>0</v>
      </c>
    </row>
    <row r="103" customFormat="false" ht="15" hidden="false" customHeight="false" outlineLevel="0" collapsed="false">
      <c r="A103" s="52" t="s">
        <v>735</v>
      </c>
      <c r="B103" s="48"/>
      <c r="C103" s="875" t="n">
        <f aca="false">SUM(C100:C102)</f>
        <v>3774</v>
      </c>
      <c r="D103" s="876"/>
      <c r="E103" s="876" t="n">
        <f aca="false">SUM(E100:E102)</f>
        <v>4000.44</v>
      </c>
      <c r="F103" s="876"/>
      <c r="G103" s="876" t="n">
        <f aca="false">SUM(G100:G102)</f>
        <v>4240.4664</v>
      </c>
      <c r="H103" s="876"/>
      <c r="I103" s="876" t="n">
        <f aca="false">SUM(I100:I102)</f>
        <v>4494.894384</v>
      </c>
      <c r="J103" s="876"/>
      <c r="K103" s="875" t="n">
        <f aca="false">SUM(K100:K102)</f>
        <v>4764.58804704</v>
      </c>
    </row>
    <row r="104" customFormat="false" ht="15" hidden="false" customHeight="false" outlineLevel="0" collapsed="false">
      <c r="A104" s="52" t="s">
        <v>736</v>
      </c>
      <c r="B104" s="48"/>
      <c r="C104" s="1050" t="n">
        <f aca="false">C15</f>
        <v>0</v>
      </c>
      <c r="D104" s="1052"/>
      <c r="E104" s="1052" t="n">
        <f aca="false">E15</f>
        <v>0</v>
      </c>
      <c r="F104" s="1052"/>
      <c r="G104" s="1052" t="n">
        <f aca="false">G15</f>
        <v>0</v>
      </c>
      <c r="H104" s="1052"/>
      <c r="I104" s="1052" t="n">
        <f aca="false">I15</f>
        <v>0</v>
      </c>
      <c r="J104" s="1052"/>
      <c r="K104" s="1050" t="n">
        <f aca="false">K15</f>
        <v>0</v>
      </c>
    </row>
    <row r="105" customFormat="false" ht="15" hidden="false" customHeight="false" outlineLevel="0" collapsed="false">
      <c r="A105" s="52" t="s">
        <v>735</v>
      </c>
      <c r="B105" s="48"/>
      <c r="C105" s="1256" t="n">
        <f aca="false">C103*C104*$B$171</f>
        <v>0</v>
      </c>
      <c r="D105" s="876"/>
      <c r="E105" s="1256" t="n">
        <f aca="false">E103*E104*$B$171</f>
        <v>0</v>
      </c>
      <c r="F105" s="876"/>
      <c r="G105" s="1256" t="n">
        <f aca="false">G103*G104*$B$171</f>
        <v>0</v>
      </c>
      <c r="H105" s="876"/>
      <c r="I105" s="1256" t="n">
        <f aca="false">I103*I104*$B$171</f>
        <v>0</v>
      </c>
      <c r="J105" s="876"/>
      <c r="K105" s="1256" t="n">
        <f aca="false">K103*K104*$B$171</f>
        <v>0</v>
      </c>
    </row>
    <row r="106" customFormat="false" ht="15" hidden="false" customHeight="false" outlineLevel="0" collapsed="false">
      <c r="A106" s="52"/>
      <c r="B106" s="48"/>
      <c r="C106" s="1262"/>
      <c r="D106" s="876"/>
      <c r="E106" s="876"/>
      <c r="F106" s="876"/>
      <c r="G106" s="876"/>
      <c r="H106" s="876"/>
      <c r="I106" s="876"/>
      <c r="J106" s="876"/>
      <c r="K106" s="875"/>
    </row>
    <row r="107" customFormat="false" ht="18.75" hidden="false" customHeight="false" outlineLevel="0" collapsed="false">
      <c r="A107" s="839" t="s">
        <v>747</v>
      </c>
      <c r="B107" s="132"/>
      <c r="C107" s="132"/>
      <c r="D107" s="132"/>
      <c r="E107" s="132"/>
      <c r="F107" s="132"/>
      <c r="G107" s="132"/>
      <c r="H107" s="132"/>
      <c r="I107" s="132"/>
      <c r="J107" s="132"/>
      <c r="K107" s="133"/>
    </row>
    <row r="108" customFormat="false" ht="15" hidden="false" customHeight="false" outlineLevel="0" collapsed="false">
      <c r="A108" s="506"/>
      <c r="B108" s="257"/>
      <c r="C108" s="260"/>
      <c r="D108" s="257"/>
      <c r="E108" s="257"/>
      <c r="F108" s="257"/>
      <c r="G108" s="257"/>
      <c r="H108" s="257"/>
      <c r="I108" s="257"/>
      <c r="J108" s="257"/>
      <c r="K108" s="260"/>
    </row>
    <row r="109" customFormat="false" ht="15" hidden="false" customHeight="false" outlineLevel="0" collapsed="false">
      <c r="A109" s="52" t="s">
        <v>732</v>
      </c>
      <c r="B109" s="48"/>
      <c r="C109" s="951" t="n">
        <v>0</v>
      </c>
      <c r="D109" s="876"/>
      <c r="E109" s="876" t="n">
        <f aca="false">C109*(1+$E$27)</f>
        <v>0</v>
      </c>
      <c r="F109" s="876"/>
      <c r="G109" s="876" t="n">
        <f aca="false">E109*(1+G27)</f>
        <v>0</v>
      </c>
      <c r="H109" s="876"/>
      <c r="I109" s="876" t="n">
        <f aca="false">G109*(1+I27)</f>
        <v>0</v>
      </c>
      <c r="J109" s="876"/>
      <c r="K109" s="875" t="n">
        <f aca="false">I109*(1+K27)</f>
        <v>0</v>
      </c>
    </row>
    <row r="110" customFormat="false" ht="15" hidden="false" customHeight="false" outlineLevel="0" collapsed="false">
      <c r="A110" s="52" t="s">
        <v>733</v>
      </c>
      <c r="B110" s="1258"/>
      <c r="C110" s="924" t="n">
        <f aca="false">C109*B110</f>
        <v>0</v>
      </c>
      <c r="D110" s="876"/>
      <c r="E110" s="876" t="n">
        <f aca="false">E109*B110</f>
        <v>0</v>
      </c>
      <c r="F110" s="876"/>
      <c r="G110" s="876" t="n">
        <f aca="false">G109*B110</f>
        <v>0</v>
      </c>
      <c r="H110" s="876"/>
      <c r="I110" s="876" t="n">
        <f aca="false">I109*B110</f>
        <v>0</v>
      </c>
      <c r="J110" s="876"/>
      <c r="K110" s="875" t="n">
        <f aca="false">K109*B110</f>
        <v>0</v>
      </c>
    </row>
    <row r="111" customFormat="false" ht="15" hidden="false" customHeight="false" outlineLevel="0" collapsed="false">
      <c r="A111" s="52" t="s">
        <v>734</v>
      </c>
      <c r="B111" s="48"/>
      <c r="C111" s="1013" t="n">
        <v>0</v>
      </c>
      <c r="D111" s="876"/>
      <c r="E111" s="967" t="n">
        <f aca="false">C111*(1+$E$27)</f>
        <v>0</v>
      </c>
      <c r="F111" s="876"/>
      <c r="G111" s="967" t="n">
        <f aca="false">E111*(1+G27)</f>
        <v>0</v>
      </c>
      <c r="H111" s="876"/>
      <c r="I111" s="967" t="n">
        <f aca="false">G111*(1+I27)</f>
        <v>0</v>
      </c>
      <c r="J111" s="876"/>
      <c r="K111" s="966" t="n">
        <f aca="false">I111*(1+K27)</f>
        <v>0</v>
      </c>
    </row>
    <row r="112" customFormat="false" ht="15" hidden="false" customHeight="false" outlineLevel="0" collapsed="false">
      <c r="A112" s="52" t="s">
        <v>735</v>
      </c>
      <c r="B112" s="48"/>
      <c r="C112" s="875" t="n">
        <f aca="false">SUM(C109:C111)</f>
        <v>0</v>
      </c>
      <c r="D112" s="876"/>
      <c r="E112" s="876" t="n">
        <f aca="false">SUM(E109:E111)</f>
        <v>0</v>
      </c>
      <c r="F112" s="876"/>
      <c r="G112" s="876" t="n">
        <f aca="false">SUM(G109:G111)</f>
        <v>0</v>
      </c>
      <c r="H112" s="876"/>
      <c r="I112" s="876" t="n">
        <f aca="false">SUM(I109:I111)</f>
        <v>0</v>
      </c>
      <c r="J112" s="876"/>
      <c r="K112" s="875" t="n">
        <f aca="false">SUM(K109:K111)</f>
        <v>0</v>
      </c>
    </row>
    <row r="113" customFormat="false" ht="15" hidden="false" customHeight="false" outlineLevel="0" collapsed="false">
      <c r="A113" s="52" t="s">
        <v>736</v>
      </c>
      <c r="B113" s="48"/>
      <c r="C113" s="1050" t="n">
        <f aca="false">C16</f>
        <v>0</v>
      </c>
      <c r="D113" s="1052"/>
      <c r="E113" s="1052" t="n">
        <f aca="false">E16</f>
        <v>0</v>
      </c>
      <c r="F113" s="1052"/>
      <c r="G113" s="1052" t="n">
        <f aca="false">G16</f>
        <v>0</v>
      </c>
      <c r="H113" s="1052"/>
      <c r="I113" s="1052" t="n">
        <f aca="false">I16</f>
        <v>0</v>
      </c>
      <c r="J113" s="1052"/>
      <c r="K113" s="1050" t="n">
        <f aca="false">K16</f>
        <v>0</v>
      </c>
    </row>
    <row r="114" customFormat="false" ht="15" hidden="false" customHeight="false" outlineLevel="0" collapsed="false">
      <c r="A114" s="52" t="s">
        <v>735</v>
      </c>
      <c r="B114" s="48"/>
      <c r="C114" s="1256" t="n">
        <f aca="false">C112*C113*$B$171</f>
        <v>0</v>
      </c>
      <c r="D114" s="876"/>
      <c r="E114" s="1256" t="n">
        <f aca="false">E112*E113*$B$171</f>
        <v>0</v>
      </c>
      <c r="F114" s="876"/>
      <c r="G114" s="1256" t="n">
        <f aca="false">G112*G113*$B$171</f>
        <v>0</v>
      </c>
      <c r="H114" s="876"/>
      <c r="I114" s="1256" t="n">
        <f aca="false">I112*I113*$B$171</f>
        <v>0</v>
      </c>
      <c r="J114" s="876"/>
      <c r="K114" s="1256" t="n">
        <f aca="false">K112*K113*$B$171</f>
        <v>0</v>
      </c>
    </row>
    <row r="115" customFormat="false" ht="15" hidden="false" customHeight="false" outlineLevel="0" collapsed="false">
      <c r="A115" s="82"/>
      <c r="B115" s="107"/>
      <c r="C115" s="1262"/>
      <c r="D115" s="967"/>
      <c r="E115" s="967"/>
      <c r="F115" s="967"/>
      <c r="G115" s="967"/>
      <c r="H115" s="967"/>
      <c r="I115" s="967"/>
      <c r="J115" s="967"/>
      <c r="K115" s="966"/>
    </row>
    <row r="116" customFormat="false" ht="18.75" hidden="false" customHeight="false" outlineLevel="0" collapsed="false">
      <c r="A116" s="1160" t="s">
        <v>748</v>
      </c>
      <c r="B116" s="500"/>
      <c r="C116" s="1263"/>
      <c r="D116" s="1264"/>
      <c r="E116" s="1264"/>
      <c r="F116" s="1264"/>
      <c r="G116" s="1264"/>
      <c r="H116" s="1264"/>
      <c r="I116" s="1264"/>
      <c r="J116" s="1264"/>
      <c r="K116" s="1263"/>
    </row>
    <row r="117" customFormat="false" ht="15" hidden="false" customHeight="false" outlineLevel="0" collapsed="false">
      <c r="A117" s="256"/>
      <c r="B117" s="257"/>
      <c r="C117" s="1148"/>
      <c r="D117" s="1148"/>
      <c r="E117" s="1148"/>
      <c r="F117" s="1148"/>
      <c r="G117" s="1148"/>
      <c r="H117" s="1148"/>
      <c r="I117" s="1148"/>
      <c r="J117" s="1148"/>
      <c r="K117" s="877"/>
    </row>
    <row r="118" customFormat="false" ht="15" hidden="false" customHeight="false" outlineLevel="0" collapsed="false">
      <c r="A118" s="52" t="s">
        <v>732</v>
      </c>
      <c r="B118" s="48"/>
      <c r="C118" s="951" t="n">
        <v>5452</v>
      </c>
      <c r="D118" s="876"/>
      <c r="E118" s="876" t="n">
        <f aca="false">C118*(1+$E$27)</f>
        <v>5779.12</v>
      </c>
      <c r="F118" s="876"/>
      <c r="G118" s="876" t="n">
        <f aca="false">E118*(1+G27)</f>
        <v>6125.8672</v>
      </c>
      <c r="H118" s="876"/>
      <c r="I118" s="876" t="n">
        <f aca="false">G118*(1+I27)</f>
        <v>6493.419232</v>
      </c>
      <c r="J118" s="876"/>
      <c r="K118" s="875" t="n">
        <f aca="false">I118*(1+K27)</f>
        <v>6883.02438592</v>
      </c>
    </row>
    <row r="119" customFormat="false" ht="15" hidden="false" customHeight="false" outlineLevel="0" collapsed="false">
      <c r="A119" s="52" t="s">
        <v>733</v>
      </c>
      <c r="B119" s="1258" t="n">
        <v>0.2107</v>
      </c>
      <c r="C119" s="924" t="n">
        <f aca="false">C118*B119</f>
        <v>1148.7364</v>
      </c>
      <c r="D119" s="876"/>
      <c r="E119" s="876" t="n">
        <f aca="false">E118*B119</f>
        <v>1217.660584</v>
      </c>
      <c r="F119" s="876"/>
      <c r="G119" s="876" t="n">
        <f aca="false">G118*B119</f>
        <v>1290.72021904</v>
      </c>
      <c r="H119" s="876"/>
      <c r="I119" s="876" t="n">
        <f aca="false">I118*B119</f>
        <v>1368.1634321824</v>
      </c>
      <c r="J119" s="876"/>
      <c r="K119" s="875" t="n">
        <f aca="false">K118*B119</f>
        <v>1450.25323811334</v>
      </c>
    </row>
    <row r="120" customFormat="false" ht="15" hidden="false" customHeight="false" outlineLevel="0" collapsed="false">
      <c r="A120" s="52" t="s">
        <v>734</v>
      </c>
      <c r="B120" s="48"/>
      <c r="C120" s="1013" t="n">
        <v>0</v>
      </c>
      <c r="D120" s="876"/>
      <c r="E120" s="967" t="n">
        <f aca="false">C120*(1+$E$27)</f>
        <v>0</v>
      </c>
      <c r="F120" s="876"/>
      <c r="G120" s="967" t="n">
        <f aca="false">E120*(1+G27)</f>
        <v>0</v>
      </c>
      <c r="H120" s="876"/>
      <c r="I120" s="967" t="n">
        <f aca="false">G120*(1+I27)</f>
        <v>0</v>
      </c>
      <c r="J120" s="876"/>
      <c r="K120" s="966" t="n">
        <f aca="false">I120*(1+K27)</f>
        <v>0</v>
      </c>
    </row>
    <row r="121" customFormat="false" ht="15" hidden="false" customHeight="false" outlineLevel="0" collapsed="false">
      <c r="A121" s="52" t="s">
        <v>735</v>
      </c>
      <c r="B121" s="48"/>
      <c r="C121" s="875" t="n">
        <f aca="false">SUM(C118:C120)</f>
        <v>6600.7364</v>
      </c>
      <c r="D121" s="876"/>
      <c r="E121" s="876" t="n">
        <f aca="false">SUM(E118:E120)</f>
        <v>6996.780584</v>
      </c>
      <c r="F121" s="876"/>
      <c r="G121" s="876" t="n">
        <f aca="false">SUM(G118:G120)</f>
        <v>7416.58741904</v>
      </c>
      <c r="H121" s="876"/>
      <c r="I121" s="876" t="n">
        <f aca="false">SUM(I118:I120)</f>
        <v>7861.5826641824</v>
      </c>
      <c r="J121" s="876"/>
      <c r="K121" s="875" t="n">
        <f aca="false">SUM(K118:K120)</f>
        <v>8333.27762403335</v>
      </c>
    </row>
    <row r="122" customFormat="false" ht="15" hidden="false" customHeight="false" outlineLevel="0" collapsed="false">
      <c r="A122" s="52" t="s">
        <v>736</v>
      </c>
      <c r="B122" s="48"/>
      <c r="C122" s="1050" t="n">
        <f aca="false">C17</f>
        <v>0</v>
      </c>
      <c r="D122" s="1052"/>
      <c r="E122" s="1052" t="n">
        <f aca="false">E17</f>
        <v>0</v>
      </c>
      <c r="F122" s="1052"/>
      <c r="G122" s="1052" t="n">
        <f aca="false">G17</f>
        <v>0</v>
      </c>
      <c r="H122" s="1052"/>
      <c r="I122" s="1052" t="n">
        <f aca="false">I17</f>
        <v>0</v>
      </c>
      <c r="J122" s="1052"/>
      <c r="K122" s="1050" t="n">
        <f aca="false">K17</f>
        <v>0</v>
      </c>
    </row>
    <row r="123" customFormat="false" ht="15" hidden="false" customHeight="false" outlineLevel="0" collapsed="false">
      <c r="A123" s="52" t="s">
        <v>735</v>
      </c>
      <c r="B123" s="48"/>
      <c r="C123" s="1256" t="n">
        <f aca="false">C121*C122*$B$171</f>
        <v>0</v>
      </c>
      <c r="D123" s="876"/>
      <c r="E123" s="1256" t="n">
        <f aca="false">E121*E122*$B$171</f>
        <v>0</v>
      </c>
      <c r="F123" s="876"/>
      <c r="G123" s="1256" t="n">
        <f aca="false">G121*G122*$B$171</f>
        <v>0</v>
      </c>
      <c r="H123" s="876"/>
      <c r="I123" s="1256" t="n">
        <f aca="false">I121*I122*$B$171</f>
        <v>0</v>
      </c>
      <c r="J123" s="876"/>
      <c r="K123" s="1256" t="n">
        <f aca="false">K121*K122*$B$171</f>
        <v>0</v>
      </c>
    </row>
    <row r="124" customFormat="false" ht="15" hidden="false" customHeight="false" outlineLevel="0" collapsed="false">
      <c r="A124" s="82"/>
      <c r="B124" s="107"/>
      <c r="C124" s="966"/>
      <c r="D124" s="967"/>
      <c r="E124" s="967"/>
      <c r="F124" s="967"/>
      <c r="G124" s="967"/>
      <c r="H124" s="967"/>
      <c r="I124" s="967"/>
      <c r="J124" s="967"/>
      <c r="K124" s="966"/>
    </row>
    <row r="125" customFormat="false" ht="18.75" hidden="false" customHeight="false" outlineLevel="0" collapsed="false">
      <c r="A125" s="839" t="s">
        <v>749</v>
      </c>
      <c r="B125" s="132"/>
      <c r="C125" s="132"/>
      <c r="D125" s="132"/>
      <c r="E125" s="132"/>
      <c r="F125" s="132"/>
      <c r="G125" s="132"/>
      <c r="H125" s="132"/>
      <c r="I125" s="132"/>
      <c r="J125" s="132"/>
      <c r="K125" s="133"/>
    </row>
    <row r="126" customFormat="false" ht="15" hidden="false" customHeight="false" outlineLevel="0" collapsed="false">
      <c r="A126" s="506"/>
      <c r="B126" s="257"/>
      <c r="C126" s="260"/>
      <c r="D126" s="257"/>
      <c r="E126" s="257"/>
      <c r="F126" s="257"/>
      <c r="G126" s="257"/>
      <c r="H126" s="257"/>
      <c r="I126" s="257"/>
      <c r="J126" s="257"/>
      <c r="K126" s="260"/>
    </row>
    <row r="127" customFormat="false" ht="15" hidden="false" customHeight="false" outlineLevel="0" collapsed="false">
      <c r="A127" s="52" t="s">
        <v>732</v>
      </c>
      <c r="B127" s="48"/>
      <c r="C127" s="951" t="n">
        <v>10484</v>
      </c>
      <c r="D127" s="876"/>
      <c r="E127" s="876" t="n">
        <f aca="false">C127*(1+$E$27)</f>
        <v>11113.04</v>
      </c>
      <c r="F127" s="876"/>
      <c r="G127" s="876" t="n">
        <f aca="false">E127*(1+G27)</f>
        <v>11779.8224</v>
      </c>
      <c r="H127" s="876"/>
      <c r="I127" s="876" t="n">
        <f aca="false">G127*(1+I27)</f>
        <v>12486.611744</v>
      </c>
      <c r="J127" s="876"/>
      <c r="K127" s="875" t="n">
        <f aca="false">I127*(1+K27)</f>
        <v>13235.80844864</v>
      </c>
    </row>
    <row r="128" customFormat="false" ht="15" hidden="false" customHeight="false" outlineLevel="0" collapsed="false">
      <c r="A128" s="52" t="s">
        <v>733</v>
      </c>
      <c r="B128" s="1258" t="n">
        <f aca="false">B31</f>
        <v>0</v>
      </c>
      <c r="C128" s="924" t="n">
        <f aca="false">C127*B128</f>
        <v>0</v>
      </c>
      <c r="D128" s="876"/>
      <c r="E128" s="876" t="n">
        <f aca="false">E127*B128</f>
        <v>0</v>
      </c>
      <c r="F128" s="876"/>
      <c r="G128" s="876" t="n">
        <f aca="false">G127*B128</f>
        <v>0</v>
      </c>
      <c r="H128" s="876"/>
      <c r="I128" s="876" t="n">
        <f aca="false">I127*B128</f>
        <v>0</v>
      </c>
      <c r="J128" s="876"/>
      <c r="K128" s="875" t="n">
        <f aca="false">K127*B128</f>
        <v>0</v>
      </c>
    </row>
    <row r="129" customFormat="false" ht="15" hidden="false" customHeight="false" outlineLevel="0" collapsed="false">
      <c r="A129" s="52" t="s">
        <v>734</v>
      </c>
      <c r="B129" s="48"/>
      <c r="C129" s="1013" t="n">
        <v>0</v>
      </c>
      <c r="D129" s="876"/>
      <c r="E129" s="967" t="n">
        <f aca="false">C129*(1+$E$27)</f>
        <v>0</v>
      </c>
      <c r="F129" s="876"/>
      <c r="G129" s="967" t="n">
        <f aca="false">E129*(1+G27)</f>
        <v>0</v>
      </c>
      <c r="H129" s="876"/>
      <c r="I129" s="967" t="n">
        <f aca="false">G129*(1+I27)</f>
        <v>0</v>
      </c>
      <c r="J129" s="876"/>
      <c r="K129" s="966" t="n">
        <f aca="false">I129*(1+K27)</f>
        <v>0</v>
      </c>
    </row>
    <row r="130" customFormat="false" ht="15" hidden="false" customHeight="false" outlineLevel="0" collapsed="false">
      <c r="A130" s="52" t="s">
        <v>735</v>
      </c>
      <c r="B130" s="48"/>
      <c r="C130" s="875" t="n">
        <f aca="false">SUM(C127:C129)</f>
        <v>10484</v>
      </c>
      <c r="D130" s="876"/>
      <c r="E130" s="876" t="n">
        <f aca="false">SUM(E127:E129)</f>
        <v>11113.04</v>
      </c>
      <c r="F130" s="876"/>
      <c r="G130" s="876" t="n">
        <f aca="false">SUM(G127:G129)</f>
        <v>11779.8224</v>
      </c>
      <c r="H130" s="876"/>
      <c r="I130" s="876" t="n">
        <f aca="false">SUM(I127:I129)</f>
        <v>12486.611744</v>
      </c>
      <c r="J130" s="876"/>
      <c r="K130" s="875" t="n">
        <f aca="false">SUM(K127:K129)</f>
        <v>13235.80844864</v>
      </c>
    </row>
    <row r="131" customFormat="false" ht="15" hidden="false" customHeight="false" outlineLevel="0" collapsed="false">
      <c r="A131" s="52" t="s">
        <v>736</v>
      </c>
      <c r="B131" s="48"/>
      <c r="C131" s="1050" t="n">
        <f aca="false">C18</f>
        <v>0</v>
      </c>
      <c r="D131" s="1052"/>
      <c r="E131" s="1052" t="n">
        <f aca="false">E18</f>
        <v>0</v>
      </c>
      <c r="F131" s="1052"/>
      <c r="G131" s="1052" t="n">
        <f aca="false">G18</f>
        <v>0</v>
      </c>
      <c r="H131" s="1052"/>
      <c r="I131" s="1052" t="n">
        <f aca="false">I18</f>
        <v>0</v>
      </c>
      <c r="J131" s="1052"/>
      <c r="K131" s="1050" t="n">
        <f aca="false">K18</f>
        <v>0</v>
      </c>
    </row>
    <row r="132" customFormat="false" ht="15" hidden="false" customHeight="false" outlineLevel="0" collapsed="false">
      <c r="A132" s="52" t="s">
        <v>735</v>
      </c>
      <c r="B132" s="48"/>
      <c r="C132" s="1256" t="n">
        <f aca="false">C130*C131*$B$171</f>
        <v>0</v>
      </c>
      <c r="D132" s="876"/>
      <c r="E132" s="1256" t="n">
        <f aca="false">E130*E131*$B$171</f>
        <v>0</v>
      </c>
      <c r="F132" s="876"/>
      <c r="G132" s="1256" t="n">
        <f aca="false">G130*G131*$B$171</f>
        <v>0</v>
      </c>
      <c r="H132" s="876"/>
      <c r="I132" s="1256" t="n">
        <f aca="false">I130*I131*$B$171</f>
        <v>0</v>
      </c>
      <c r="J132" s="876"/>
      <c r="K132" s="1256" t="n">
        <f aca="false">K130*K131*$B$171</f>
        <v>0</v>
      </c>
    </row>
    <row r="133" customFormat="false" ht="15" hidden="false" customHeight="false" outlineLevel="0" collapsed="false">
      <c r="A133" s="82"/>
      <c r="B133" s="107"/>
      <c r="C133" s="513"/>
      <c r="D133" s="107"/>
      <c r="E133" s="107"/>
      <c r="F133" s="107"/>
      <c r="G133" s="107"/>
      <c r="H133" s="107"/>
      <c r="I133" s="314"/>
      <c r="J133" s="107"/>
      <c r="K133" s="84"/>
    </row>
    <row r="134" customFormat="false" ht="18.75" hidden="false" customHeight="false" outlineLevel="0" collapsed="false">
      <c r="A134" s="839" t="s">
        <v>750</v>
      </c>
      <c r="B134" s="132"/>
      <c r="C134" s="132"/>
      <c r="D134" s="132"/>
      <c r="E134" s="132"/>
      <c r="F134" s="132"/>
      <c r="G134" s="132"/>
      <c r="H134" s="132"/>
      <c r="I134" s="132"/>
      <c r="J134" s="132"/>
      <c r="K134" s="133"/>
    </row>
    <row r="135" customFormat="false" ht="15" hidden="false" customHeight="false" outlineLevel="0" collapsed="false">
      <c r="A135" s="506"/>
      <c r="B135" s="257"/>
      <c r="C135" s="260"/>
      <c r="D135" s="257"/>
      <c r="E135" s="257"/>
      <c r="F135" s="257"/>
      <c r="G135" s="257"/>
      <c r="H135" s="257"/>
      <c r="I135" s="257"/>
      <c r="J135" s="257"/>
      <c r="K135" s="260"/>
    </row>
    <row r="136" customFormat="false" ht="15" hidden="false" customHeight="false" outlineLevel="0" collapsed="false">
      <c r="A136" s="52" t="s">
        <v>732</v>
      </c>
      <c r="B136" s="48"/>
      <c r="C136" s="951" t="n">
        <v>4194</v>
      </c>
      <c r="D136" s="876"/>
      <c r="E136" s="876" t="n">
        <f aca="false">C136*(1+$E$27)</f>
        <v>4445.64</v>
      </c>
      <c r="F136" s="876"/>
      <c r="G136" s="876" t="n">
        <f aca="false">E136*(1+G27)</f>
        <v>4712.3784</v>
      </c>
      <c r="H136" s="876"/>
      <c r="I136" s="876" t="n">
        <f aca="false">G136*(1+I27)</f>
        <v>4995.121104</v>
      </c>
      <c r="J136" s="876"/>
      <c r="K136" s="875" t="n">
        <f aca="false">I136*(1+K27)</f>
        <v>5294.82837024</v>
      </c>
    </row>
    <row r="137" customFormat="false" ht="15" hidden="false" customHeight="false" outlineLevel="0" collapsed="false">
      <c r="A137" s="52" t="s">
        <v>733</v>
      </c>
      <c r="B137" s="1258" t="n">
        <v>0.2107</v>
      </c>
      <c r="C137" s="924" t="n">
        <f aca="false">C136*B137</f>
        <v>883.6758</v>
      </c>
      <c r="D137" s="876"/>
      <c r="E137" s="876" t="n">
        <f aca="false">E136*B137</f>
        <v>936.696348</v>
      </c>
      <c r="F137" s="876"/>
      <c r="G137" s="876" t="n">
        <f aca="false">G136*B137</f>
        <v>992.89812888</v>
      </c>
      <c r="H137" s="876"/>
      <c r="I137" s="876" t="n">
        <f aca="false">I136*B137</f>
        <v>1052.4720166128</v>
      </c>
      <c r="J137" s="876"/>
      <c r="K137" s="875" t="n">
        <f aca="false">K136*B137</f>
        <v>1115.62033760957</v>
      </c>
    </row>
    <row r="138" customFormat="false" ht="15" hidden="false" customHeight="false" outlineLevel="0" collapsed="false">
      <c r="A138" s="52" t="s">
        <v>734</v>
      </c>
      <c r="B138" s="48"/>
      <c r="C138" s="1013" t="n">
        <v>0</v>
      </c>
      <c r="D138" s="876"/>
      <c r="E138" s="967" t="n">
        <f aca="false">C138*(1+$E$27)</f>
        <v>0</v>
      </c>
      <c r="F138" s="876"/>
      <c r="G138" s="967" t="n">
        <f aca="false">E138*(1+G27)</f>
        <v>0</v>
      </c>
      <c r="H138" s="876"/>
      <c r="I138" s="967" t="n">
        <f aca="false">G138*(1+I27)</f>
        <v>0</v>
      </c>
      <c r="J138" s="876"/>
      <c r="K138" s="966" t="n">
        <f aca="false">I138*(1+K27)</f>
        <v>0</v>
      </c>
    </row>
    <row r="139" customFormat="false" ht="15" hidden="false" customHeight="false" outlineLevel="0" collapsed="false">
      <c r="A139" s="52" t="s">
        <v>735</v>
      </c>
      <c r="B139" s="48"/>
      <c r="C139" s="875" t="n">
        <f aca="false">SUM(C136:C138)</f>
        <v>5077.6758</v>
      </c>
      <c r="D139" s="876"/>
      <c r="E139" s="876" t="n">
        <f aca="false">SUM(E136:E138)</f>
        <v>5382.336348</v>
      </c>
      <c r="F139" s="876"/>
      <c r="G139" s="876" t="n">
        <f aca="false">SUM(G136:G138)</f>
        <v>5705.27652888</v>
      </c>
      <c r="H139" s="876"/>
      <c r="I139" s="876" t="n">
        <f aca="false">SUM(I136:I138)</f>
        <v>6047.5931206128</v>
      </c>
      <c r="J139" s="876"/>
      <c r="K139" s="875" t="n">
        <f aca="false">SUM(K136:K138)</f>
        <v>6410.44870784957</v>
      </c>
    </row>
    <row r="140" customFormat="false" ht="15" hidden="false" customHeight="false" outlineLevel="0" collapsed="false">
      <c r="A140" s="52" t="s">
        <v>736</v>
      </c>
      <c r="B140" s="48"/>
      <c r="C140" s="1050" t="n">
        <f aca="false">C19</f>
        <v>0</v>
      </c>
      <c r="D140" s="1052"/>
      <c r="E140" s="1052" t="n">
        <f aca="false">E19</f>
        <v>0</v>
      </c>
      <c r="F140" s="1052"/>
      <c r="G140" s="1052" t="n">
        <f aca="false">G19</f>
        <v>0</v>
      </c>
      <c r="H140" s="1052"/>
      <c r="I140" s="1052" t="n">
        <f aca="false">I19</f>
        <v>0</v>
      </c>
      <c r="J140" s="1052"/>
      <c r="K140" s="1050" t="n">
        <f aca="false">K19</f>
        <v>0</v>
      </c>
    </row>
    <row r="141" customFormat="false" ht="15" hidden="false" customHeight="false" outlineLevel="0" collapsed="false">
      <c r="A141" s="52" t="s">
        <v>735</v>
      </c>
      <c r="B141" s="48"/>
      <c r="C141" s="1256" t="n">
        <f aca="false">C139*C140*$B$171</f>
        <v>0</v>
      </c>
      <c r="D141" s="876"/>
      <c r="E141" s="1256" t="n">
        <f aca="false">E139*E140*$B$171</f>
        <v>0</v>
      </c>
      <c r="F141" s="876"/>
      <c r="G141" s="1256" t="n">
        <f aca="false">G139*G140*$B$171</f>
        <v>0</v>
      </c>
      <c r="H141" s="876"/>
      <c r="I141" s="1256" t="n">
        <f aca="false">I139*I140*$B$171</f>
        <v>0</v>
      </c>
      <c r="J141" s="1265"/>
      <c r="K141" s="1256" t="n">
        <f aca="false">K139*K140*$B$171</f>
        <v>0</v>
      </c>
    </row>
    <row r="142" customFormat="false" ht="15" hidden="false" customHeight="false" outlineLevel="0" collapsed="false">
      <c r="A142" s="82"/>
      <c r="B142" s="107"/>
      <c r="C142" s="513"/>
      <c r="D142" s="107"/>
      <c r="E142" s="107"/>
      <c r="F142" s="107"/>
      <c r="G142" s="107"/>
      <c r="H142" s="107"/>
      <c r="I142" s="107"/>
      <c r="J142" s="107"/>
      <c r="K142" s="84"/>
    </row>
    <row r="143" customFormat="false" ht="18.75" hidden="false" customHeight="false" outlineLevel="0" collapsed="false">
      <c r="A143" s="839" t="s">
        <v>751</v>
      </c>
      <c r="B143" s="132"/>
      <c r="C143" s="132"/>
      <c r="D143" s="132"/>
      <c r="E143" s="132"/>
      <c r="F143" s="132"/>
      <c r="G143" s="132"/>
      <c r="H143" s="132"/>
      <c r="I143" s="132"/>
      <c r="J143" s="132"/>
      <c r="K143" s="133"/>
    </row>
    <row r="144" customFormat="false" ht="15" hidden="false" customHeight="false" outlineLevel="0" collapsed="false">
      <c r="A144" s="506"/>
      <c r="B144" s="257"/>
      <c r="C144" s="260"/>
      <c r="D144" s="257"/>
      <c r="E144" s="257"/>
      <c r="F144" s="257"/>
      <c r="G144" s="257"/>
      <c r="H144" s="257"/>
      <c r="I144" s="257"/>
      <c r="J144" s="257"/>
      <c r="K144" s="260"/>
    </row>
    <row r="145" customFormat="false" ht="15" hidden="false" customHeight="false" outlineLevel="0" collapsed="false">
      <c r="A145" s="52" t="s">
        <v>732</v>
      </c>
      <c r="B145" s="48"/>
      <c r="C145" s="951" t="n">
        <v>5032</v>
      </c>
      <c r="D145" s="876"/>
      <c r="E145" s="876" t="n">
        <f aca="false">C145*(1+$E$27)</f>
        <v>5333.92</v>
      </c>
      <c r="F145" s="876"/>
      <c r="G145" s="876" t="n">
        <f aca="false">E145*(1+G27)</f>
        <v>5653.9552</v>
      </c>
      <c r="H145" s="876"/>
      <c r="I145" s="876" t="n">
        <f aca="false">G145*(1+I27)</f>
        <v>5993.192512</v>
      </c>
      <c r="J145" s="876"/>
      <c r="K145" s="875" t="n">
        <f aca="false">I145*(1+K27)</f>
        <v>6352.78406272</v>
      </c>
    </row>
    <row r="146" customFormat="false" ht="15" hidden="false" customHeight="false" outlineLevel="0" collapsed="false">
      <c r="A146" s="52" t="s">
        <v>733</v>
      </c>
      <c r="B146" s="1258" t="n">
        <v>0.2107</v>
      </c>
      <c r="C146" s="924" t="n">
        <f aca="false">C145*B146</f>
        <v>1060.2424</v>
      </c>
      <c r="D146" s="876"/>
      <c r="E146" s="876" t="n">
        <f aca="false">E145*B146</f>
        <v>1123.856944</v>
      </c>
      <c r="F146" s="876"/>
      <c r="G146" s="876" t="n">
        <f aca="false">G145*B146</f>
        <v>1191.28836064</v>
      </c>
      <c r="H146" s="876"/>
      <c r="I146" s="876" t="n">
        <f aca="false">I145*B146</f>
        <v>1262.7656622784</v>
      </c>
      <c r="J146" s="876"/>
      <c r="K146" s="875" t="n">
        <f aca="false">K145*B146</f>
        <v>1338.5316020151</v>
      </c>
    </row>
    <row r="147" customFormat="false" ht="15" hidden="false" customHeight="false" outlineLevel="0" collapsed="false">
      <c r="A147" s="52" t="s">
        <v>734</v>
      </c>
      <c r="B147" s="48"/>
      <c r="C147" s="1013" t="n">
        <v>0</v>
      </c>
      <c r="D147" s="876"/>
      <c r="E147" s="967" t="n">
        <f aca="false">C147*(1+$E$27)</f>
        <v>0</v>
      </c>
      <c r="F147" s="876"/>
      <c r="G147" s="967" t="n">
        <f aca="false">E147*(1+G27)</f>
        <v>0</v>
      </c>
      <c r="H147" s="876"/>
      <c r="I147" s="967" t="n">
        <f aca="false">G147*(1+I27)</f>
        <v>0</v>
      </c>
      <c r="J147" s="876"/>
      <c r="K147" s="966" t="n">
        <f aca="false">I147*(1+K27)</f>
        <v>0</v>
      </c>
    </row>
    <row r="148" customFormat="false" ht="15" hidden="false" customHeight="false" outlineLevel="0" collapsed="false">
      <c r="A148" s="52" t="s">
        <v>735</v>
      </c>
      <c r="B148" s="48"/>
      <c r="C148" s="875" t="n">
        <f aca="false">SUM(C145:C147)</f>
        <v>6092.2424</v>
      </c>
      <c r="D148" s="876"/>
      <c r="E148" s="876" t="n">
        <f aca="false">SUM(E145:E147)</f>
        <v>6457.776944</v>
      </c>
      <c r="F148" s="876"/>
      <c r="G148" s="876" t="n">
        <f aca="false">SUM(G145:G147)</f>
        <v>6845.24356064</v>
      </c>
      <c r="H148" s="876"/>
      <c r="I148" s="876" t="n">
        <f aca="false">SUM(I145:I147)</f>
        <v>7255.9581742784</v>
      </c>
      <c r="J148" s="876"/>
      <c r="K148" s="875" t="n">
        <f aca="false">SUM(K145:K147)</f>
        <v>7691.31566473511</v>
      </c>
    </row>
    <row r="149" customFormat="false" ht="15" hidden="false" customHeight="false" outlineLevel="0" collapsed="false">
      <c r="A149" s="52" t="s">
        <v>736</v>
      </c>
      <c r="B149" s="48"/>
      <c r="C149" s="1050" t="n">
        <f aca="false">C20</f>
        <v>0</v>
      </c>
      <c r="D149" s="1052"/>
      <c r="E149" s="1052" t="n">
        <f aca="false">E20</f>
        <v>0</v>
      </c>
      <c r="F149" s="1052"/>
      <c r="G149" s="1052" t="n">
        <f aca="false">G20</f>
        <v>0</v>
      </c>
      <c r="H149" s="1052"/>
      <c r="I149" s="1052" t="n">
        <f aca="false">I20</f>
        <v>0</v>
      </c>
      <c r="J149" s="1052"/>
      <c r="K149" s="1257" t="n">
        <f aca="false">K20</f>
        <v>0</v>
      </c>
    </row>
    <row r="150" customFormat="false" ht="15" hidden="false" customHeight="false" outlineLevel="0" collapsed="false">
      <c r="A150" s="52" t="s">
        <v>735</v>
      </c>
      <c r="B150" s="48"/>
      <c r="C150" s="1256" t="n">
        <f aca="false">C148*C149*$B$171</f>
        <v>0</v>
      </c>
      <c r="D150" s="876"/>
      <c r="E150" s="1256" t="n">
        <f aca="false">E148*E149*$B$171</f>
        <v>0</v>
      </c>
      <c r="F150" s="876"/>
      <c r="G150" s="1256" t="n">
        <f aca="false">G148*G149*$B$171</f>
        <v>0</v>
      </c>
      <c r="H150" s="876"/>
      <c r="I150" s="1256" t="n">
        <f aca="false">I148*I149*$B$171</f>
        <v>0</v>
      </c>
      <c r="J150" s="876"/>
      <c r="K150" s="1256" t="n">
        <f aca="false">K148*K149*$B$171</f>
        <v>0</v>
      </c>
    </row>
    <row r="151" customFormat="false" ht="15" hidden="false" customHeight="false" outlineLevel="0" collapsed="false">
      <c r="A151" s="82"/>
      <c r="B151" s="107"/>
      <c r="C151" s="1262"/>
      <c r="D151" s="967"/>
      <c r="E151" s="967"/>
      <c r="F151" s="967"/>
      <c r="G151" s="967"/>
      <c r="H151" s="967"/>
      <c r="I151" s="967"/>
      <c r="J151" s="967"/>
      <c r="K151" s="966"/>
    </row>
    <row r="152" customFormat="false" ht="18.75" hidden="false" customHeight="false" outlineLevel="0" collapsed="false">
      <c r="A152" s="839" t="s">
        <v>752</v>
      </c>
      <c r="B152" s="132"/>
      <c r="C152" s="132"/>
      <c r="D152" s="132"/>
      <c r="E152" s="132"/>
      <c r="F152" s="132"/>
      <c r="G152" s="132"/>
      <c r="H152" s="132"/>
      <c r="I152" s="132"/>
      <c r="J152" s="132"/>
      <c r="K152" s="133"/>
    </row>
    <row r="153" customFormat="false" ht="15" hidden="false" customHeight="false" outlineLevel="0" collapsed="false">
      <c r="A153" s="506"/>
      <c r="B153" s="257"/>
      <c r="C153" s="260"/>
      <c r="D153" s="257"/>
      <c r="E153" s="257"/>
      <c r="F153" s="257"/>
      <c r="G153" s="257"/>
      <c r="H153" s="257"/>
      <c r="I153" s="257"/>
      <c r="J153" s="257"/>
      <c r="K153" s="260"/>
    </row>
    <row r="154" customFormat="false" ht="15" hidden="false" customHeight="false" outlineLevel="0" collapsed="false">
      <c r="A154" s="52" t="s">
        <v>732</v>
      </c>
      <c r="B154" s="48"/>
      <c r="C154" s="951" t="n">
        <v>7548</v>
      </c>
      <c r="D154" s="876"/>
      <c r="E154" s="876" t="n">
        <f aca="false">C154*(1+$E$27)</f>
        <v>8000.88</v>
      </c>
      <c r="F154" s="876"/>
      <c r="G154" s="876" t="n">
        <f aca="false">E154*(1+$E$27)</f>
        <v>8480.9328</v>
      </c>
      <c r="H154" s="876"/>
      <c r="I154" s="876" t="n">
        <f aca="false">G154*(1+$E$27)</f>
        <v>8989.788768</v>
      </c>
      <c r="J154" s="876"/>
      <c r="K154" s="875" t="n">
        <f aca="false">I154*(1+$E$27)</f>
        <v>9529.17609408</v>
      </c>
    </row>
    <row r="155" customFormat="false" ht="15" hidden="false" customHeight="false" outlineLevel="0" collapsed="false">
      <c r="A155" s="52" t="s">
        <v>733</v>
      </c>
      <c r="B155" s="1258" t="n">
        <f aca="false">B146</f>
        <v>0.2107</v>
      </c>
      <c r="C155" s="924" t="n">
        <f aca="false">C154*$B$155</f>
        <v>1590.3636</v>
      </c>
      <c r="D155" s="876"/>
      <c r="E155" s="876" t="n">
        <f aca="false">E154*$B$155</f>
        <v>1685.785416</v>
      </c>
      <c r="F155" s="876"/>
      <c r="G155" s="876" t="n">
        <f aca="false">G154*$B$155</f>
        <v>1786.93254096</v>
      </c>
      <c r="H155" s="876"/>
      <c r="I155" s="876" t="n">
        <f aca="false">I154*$B$155</f>
        <v>1894.1484934176</v>
      </c>
      <c r="J155" s="876"/>
      <c r="K155" s="875" t="n">
        <f aca="false">K154*$B$155</f>
        <v>2007.79740302266</v>
      </c>
    </row>
    <row r="156" customFormat="false" ht="15" hidden="false" customHeight="false" outlineLevel="0" collapsed="false">
      <c r="A156" s="52" t="s">
        <v>734</v>
      </c>
      <c r="B156" s="48"/>
      <c r="C156" s="1013" t="n">
        <v>0</v>
      </c>
      <c r="D156" s="876"/>
      <c r="E156" s="967" t="n">
        <f aca="false">C156*(1+$E$27)</f>
        <v>0</v>
      </c>
      <c r="F156" s="876"/>
      <c r="G156" s="967" t="n">
        <f aca="false">E156*(1+G27)</f>
        <v>0</v>
      </c>
      <c r="H156" s="876"/>
      <c r="I156" s="967" t="n">
        <f aca="false">G156*(1+I27)</f>
        <v>0</v>
      </c>
      <c r="J156" s="876"/>
      <c r="K156" s="966" t="n">
        <f aca="false">I156*(1+K27)</f>
        <v>0</v>
      </c>
    </row>
    <row r="157" customFormat="false" ht="15" hidden="false" customHeight="false" outlineLevel="0" collapsed="false">
      <c r="A157" s="52" t="s">
        <v>735</v>
      </c>
      <c r="B157" s="48"/>
      <c r="C157" s="875" t="n">
        <f aca="false">SUM(C154:C156)</f>
        <v>9138.3636</v>
      </c>
      <c r="D157" s="876"/>
      <c r="E157" s="876" t="n">
        <f aca="false">SUM(E154:E156)</f>
        <v>9686.665416</v>
      </c>
      <c r="F157" s="876"/>
      <c r="G157" s="876" t="n">
        <f aca="false">SUM(G154:G156)</f>
        <v>10267.86534096</v>
      </c>
      <c r="H157" s="876"/>
      <c r="I157" s="876" t="n">
        <f aca="false">SUM(I154:I156)</f>
        <v>10883.9372614176</v>
      </c>
      <c r="J157" s="876"/>
      <c r="K157" s="875" t="n">
        <f aca="false">SUM(K154:K156)</f>
        <v>11536.9734971027</v>
      </c>
    </row>
    <row r="158" customFormat="false" ht="15" hidden="false" customHeight="false" outlineLevel="0" collapsed="false">
      <c r="A158" s="52" t="s">
        <v>736</v>
      </c>
      <c r="B158" s="48"/>
      <c r="C158" s="1050" t="n">
        <f aca="false">C21</f>
        <v>0</v>
      </c>
      <c r="D158" s="1052"/>
      <c r="E158" s="1052" t="n">
        <f aca="false">E21</f>
        <v>0</v>
      </c>
      <c r="F158" s="1052"/>
      <c r="G158" s="1052" t="n">
        <f aca="false">G21</f>
        <v>0</v>
      </c>
      <c r="H158" s="1052"/>
      <c r="I158" s="1052" t="n">
        <f aca="false">I21</f>
        <v>0</v>
      </c>
      <c r="J158" s="1052"/>
      <c r="K158" s="1257" t="n">
        <f aca="false">K21</f>
        <v>0</v>
      </c>
    </row>
    <row r="159" customFormat="false" ht="15" hidden="false" customHeight="false" outlineLevel="0" collapsed="false">
      <c r="A159" s="52" t="s">
        <v>735</v>
      </c>
      <c r="B159" s="48"/>
      <c r="C159" s="1256" t="n">
        <f aca="false">C157*C158*$B$171</f>
        <v>0</v>
      </c>
      <c r="D159" s="876"/>
      <c r="E159" s="1256" t="n">
        <f aca="false">E157*E158*$B$171</f>
        <v>0</v>
      </c>
      <c r="F159" s="876"/>
      <c r="G159" s="1256" t="n">
        <f aca="false">G157*G158*$B$171</f>
        <v>0</v>
      </c>
      <c r="H159" s="876"/>
      <c r="I159" s="1256" t="n">
        <f aca="false">I157*I158*$B$171</f>
        <v>0</v>
      </c>
      <c r="J159" s="876"/>
      <c r="K159" s="1256" t="n">
        <f aca="false">K157*K158*$B$171</f>
        <v>0</v>
      </c>
    </row>
    <row r="160" customFormat="false" ht="15" hidden="false" customHeight="false" outlineLevel="0" collapsed="false">
      <c r="A160" s="82"/>
      <c r="B160" s="107"/>
      <c r="C160" s="1262"/>
      <c r="D160" s="967"/>
      <c r="E160" s="967"/>
      <c r="F160" s="967"/>
      <c r="G160" s="967"/>
      <c r="H160" s="967"/>
      <c r="I160" s="967"/>
      <c r="J160" s="967"/>
      <c r="K160" s="966"/>
    </row>
    <row r="161" customFormat="false" ht="18.75" hidden="false" customHeight="false" outlineLevel="0" collapsed="false">
      <c r="A161" s="839" t="s">
        <v>753</v>
      </c>
      <c r="B161" s="132"/>
      <c r="C161" s="132"/>
      <c r="D161" s="132"/>
      <c r="E161" s="132"/>
      <c r="F161" s="132"/>
      <c r="G161" s="132"/>
      <c r="H161" s="132"/>
      <c r="I161" s="132"/>
      <c r="J161" s="132"/>
      <c r="K161" s="133"/>
    </row>
    <row r="162" customFormat="false" ht="15" hidden="false" customHeight="false" outlineLevel="0" collapsed="false">
      <c r="A162" s="506"/>
      <c r="B162" s="257"/>
      <c r="C162" s="260"/>
      <c r="D162" s="257"/>
      <c r="E162" s="257"/>
      <c r="F162" s="257"/>
      <c r="G162" s="257"/>
      <c r="H162" s="257"/>
      <c r="I162" s="257"/>
      <c r="J162" s="257"/>
      <c r="K162" s="260"/>
    </row>
    <row r="163" customFormat="false" ht="15" hidden="false" customHeight="false" outlineLevel="0" collapsed="false">
      <c r="A163" s="52" t="s">
        <v>732</v>
      </c>
      <c r="B163" s="48"/>
      <c r="C163" s="951" t="n">
        <v>7548</v>
      </c>
      <c r="D163" s="876"/>
      <c r="E163" s="876" t="n">
        <f aca="false">C163*(1+$E$27)</f>
        <v>8000.88</v>
      </c>
      <c r="F163" s="876"/>
      <c r="G163" s="876" t="n">
        <f aca="false">E163*(1+$E$27)</f>
        <v>8480.9328</v>
      </c>
      <c r="H163" s="876"/>
      <c r="I163" s="876" t="n">
        <f aca="false">G163*(1+$E$27)</f>
        <v>8989.788768</v>
      </c>
      <c r="J163" s="876"/>
      <c r="K163" s="875" t="n">
        <f aca="false">I163*(1+$E$27)</f>
        <v>9529.17609408</v>
      </c>
    </row>
    <row r="164" customFormat="false" ht="15" hidden="false" customHeight="false" outlineLevel="0" collapsed="false">
      <c r="A164" s="52" t="s">
        <v>733</v>
      </c>
      <c r="B164" s="1258" t="n">
        <f aca="false">B31</f>
        <v>0</v>
      </c>
      <c r="C164" s="924" t="n">
        <f aca="false">C163*$B$164</f>
        <v>0</v>
      </c>
      <c r="D164" s="1266"/>
      <c r="E164" s="925" t="n">
        <f aca="false">E163*$B$164</f>
        <v>0</v>
      </c>
      <c r="F164" s="876"/>
      <c r="G164" s="925" t="n">
        <f aca="false">G163*$B$164</f>
        <v>0</v>
      </c>
      <c r="H164" s="876"/>
      <c r="I164" s="925" t="n">
        <f aca="false">I163*$B$164</f>
        <v>0</v>
      </c>
      <c r="J164" s="876"/>
      <c r="K164" s="924" t="n">
        <f aca="false">K163*$B$164</f>
        <v>0</v>
      </c>
    </row>
    <row r="165" customFormat="false" ht="15" hidden="false" customHeight="false" outlineLevel="0" collapsed="false">
      <c r="A165" s="52" t="s">
        <v>734</v>
      </c>
      <c r="B165" s="48"/>
      <c r="C165" s="1013" t="n">
        <v>0</v>
      </c>
      <c r="D165" s="876"/>
      <c r="E165" s="967" t="n">
        <f aca="false">C165*(1+$E$27)</f>
        <v>0</v>
      </c>
      <c r="F165" s="876"/>
      <c r="G165" s="967" t="n">
        <f aca="false">E165*(1+G27)</f>
        <v>0</v>
      </c>
      <c r="H165" s="876"/>
      <c r="I165" s="967" t="n">
        <f aca="false">G165*(1+I27)</f>
        <v>0</v>
      </c>
      <c r="J165" s="876"/>
      <c r="K165" s="966" t="n">
        <f aca="false">I165*(1+K27)</f>
        <v>0</v>
      </c>
    </row>
    <row r="166" customFormat="false" ht="15" hidden="false" customHeight="false" outlineLevel="0" collapsed="false">
      <c r="A166" s="52" t="s">
        <v>735</v>
      </c>
      <c r="B166" s="48"/>
      <c r="C166" s="875" t="n">
        <f aca="false">SUM(C163:C165)</f>
        <v>7548</v>
      </c>
      <c r="D166" s="876"/>
      <c r="E166" s="876" t="n">
        <f aca="false">SUM(E163:E165)</f>
        <v>8000.88</v>
      </c>
      <c r="F166" s="876"/>
      <c r="G166" s="876" t="n">
        <f aca="false">SUM(G163:G165)</f>
        <v>8480.9328</v>
      </c>
      <c r="H166" s="876"/>
      <c r="I166" s="876" t="n">
        <f aca="false">SUM(I163:I165)</f>
        <v>8989.788768</v>
      </c>
      <c r="J166" s="876"/>
      <c r="K166" s="875" t="n">
        <f aca="false">SUM(K163:K165)</f>
        <v>9529.17609408</v>
      </c>
    </row>
    <row r="167" customFormat="false" ht="15" hidden="false" customHeight="false" outlineLevel="0" collapsed="false">
      <c r="A167" s="52" t="s">
        <v>736</v>
      </c>
      <c r="B167" s="48"/>
      <c r="C167" s="1050" t="n">
        <f aca="false">C22</f>
        <v>0</v>
      </c>
      <c r="D167" s="1052"/>
      <c r="E167" s="1052" t="n">
        <f aca="false">E22</f>
        <v>0</v>
      </c>
      <c r="F167" s="1052"/>
      <c r="G167" s="1052" t="n">
        <f aca="false">G22</f>
        <v>0</v>
      </c>
      <c r="H167" s="1052"/>
      <c r="I167" s="1052" t="n">
        <f aca="false">I22</f>
        <v>0</v>
      </c>
      <c r="J167" s="1052"/>
      <c r="K167" s="1050" t="n">
        <f aca="false">K22</f>
        <v>0</v>
      </c>
    </row>
    <row r="168" customFormat="false" ht="15" hidden="false" customHeight="false" outlineLevel="0" collapsed="false">
      <c r="A168" s="52" t="s">
        <v>735</v>
      </c>
      <c r="B168" s="48"/>
      <c r="C168" s="1256" t="n">
        <f aca="false">C166*C167*$B$171</f>
        <v>0</v>
      </c>
      <c r="D168" s="876"/>
      <c r="E168" s="1256" t="n">
        <f aca="false">E166*E167*$B$171</f>
        <v>0</v>
      </c>
      <c r="F168" s="876"/>
      <c r="G168" s="1256" t="n">
        <f aca="false">G166*G167*$B$171</f>
        <v>0</v>
      </c>
      <c r="H168" s="876"/>
      <c r="I168" s="1256" t="n">
        <f aca="false">I166*I167*$B$171</f>
        <v>0</v>
      </c>
      <c r="J168" s="876"/>
      <c r="K168" s="1256" t="n">
        <f aca="false">K166*K167*$B$171</f>
        <v>0</v>
      </c>
    </row>
    <row r="169" customFormat="false" ht="15" hidden="false" customHeight="false" outlineLevel="0" collapsed="false">
      <c r="A169" s="82"/>
      <c r="B169" s="107"/>
      <c r="C169" s="513"/>
      <c r="D169" s="107"/>
      <c r="E169" s="107"/>
      <c r="F169" s="107"/>
      <c r="G169" s="107"/>
      <c r="H169" s="107"/>
      <c r="I169" s="107"/>
      <c r="J169" s="107"/>
      <c r="K169" s="84"/>
    </row>
    <row r="170" customFormat="false" ht="15" hidden="false" customHeight="false" outlineLevel="0" collapsed="false"/>
    <row r="171" customFormat="false" ht="15" hidden="false" customHeight="false" outlineLevel="0" collapsed="false">
      <c r="A171" s="327" t="s">
        <v>529</v>
      </c>
      <c r="B171" s="1267" t="n">
        <f aca="false">'9.0 Scenario''s'!D15</f>
        <v>1</v>
      </c>
      <c r="C171" s="321"/>
      <c r="D171" s="320"/>
      <c r="E171" s="320"/>
      <c r="F171" s="320"/>
      <c r="G171" s="320"/>
      <c r="H171" s="320"/>
      <c r="I171" s="320"/>
      <c r="J171" s="320"/>
      <c r="K171" s="321"/>
    </row>
    <row r="172" customFormat="false" ht="18.75" hidden="false" customHeight="false" outlineLevel="0" collapsed="false">
      <c r="A172" s="1268" t="s">
        <v>754</v>
      </c>
      <c r="B172" s="71"/>
      <c r="C172" s="1030" t="n">
        <f aca="false">(C35+C44+C53+C62+C71+C82+C91+C105+C114+C123+C132+C141+C150+C159+C168)</f>
        <v>64389</v>
      </c>
      <c r="D172" s="74"/>
      <c r="E172" s="1269" t="n">
        <f aca="false">(E35+E44+E53+E62+E71+E82+E91+E105+E114+E123+E132+E141+E150+E159+E168)</f>
        <v>67563.34</v>
      </c>
      <c r="F172" s="74"/>
      <c r="G172" s="1269" t="n">
        <f aca="false">(G35+G44+G53+G62+G71+G82+G91+G105+G114+G123+G132+G141+G150+G159+G168)</f>
        <v>80098.0732</v>
      </c>
      <c r="H172" s="74"/>
      <c r="I172" s="1269" t="n">
        <f aca="false">(I35+I44+I53+I62+I71+I82+I91+I105+I114+I123+I132+I141+I150+I159+I168)</f>
        <v>93893.74636</v>
      </c>
      <c r="J172" s="74"/>
      <c r="K172" s="1030" t="n">
        <f aca="false">(K35+K44+K53+K62+K71+K82+K91+K105+K114+K123+K132+K141+K150+K159+K168)</f>
        <v>99527.3711416</v>
      </c>
    </row>
    <row r="173" customFormat="false" ht="15" hidden="false" customHeight="false" outlineLevel="0" collapsed="false">
      <c r="A173" s="329"/>
      <c r="B173" s="325"/>
      <c r="C173" s="326"/>
      <c r="D173" s="325"/>
      <c r="E173" s="325"/>
      <c r="F173" s="325"/>
      <c r="G173" s="325"/>
      <c r="H173" s="325"/>
      <c r="I173" s="325"/>
      <c r="J173" s="325"/>
      <c r="K173" s="326"/>
    </row>
  </sheetData>
  <printOptions headings="false" gridLines="false" gridLinesSet="true" horizontalCentered="true" verticalCentered="true"/>
  <pageMargins left="0.7875" right="0.7875" top="0.984027777777778" bottom="0.984027777777778" header="0.511805555555555" footer="0.511805555555555"/>
  <pageSetup paperSize="9" scale="49"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1" manualBreakCount="1">
    <brk id="92" man="true" max="16383" min="0"/>
  </rowBreaks>
  <drawing r:id="rId1"/>
</worksheet>
</file>

<file path=xl/worksheets/sheet48.xml><?xml version="1.0" encoding="utf-8"?>
<worksheet xmlns="http://schemas.openxmlformats.org/spreadsheetml/2006/main" xmlns:r="http://schemas.openxmlformats.org/officeDocument/2006/relationships">
  <sheetPr filterMode="false">
    <tabColor rgb="FFC0C0C0"/>
    <pageSetUpPr fitToPage="true"/>
  </sheetPr>
  <dimension ref="A1:K86"/>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5" topLeftCell="A10" activePane="bottomLeft" state="frozen"/>
      <selection pane="topLeft" activeCell="A1" activeCellId="0" sqref="A1"/>
      <selection pane="bottomLeft" activeCell="C17" activeCellId="0" sqref="C17"/>
    </sheetView>
  </sheetViews>
  <sheetFormatPr defaultRowHeight="15" zeroHeight="true" outlineLevelRow="0" outlineLevelCol="0"/>
  <cols>
    <col collapsed="false" customWidth="true" hidden="false" outlineLevel="0" max="1" min="1" style="172" width="20.42"/>
    <col collapsed="false" customWidth="true" hidden="false" outlineLevel="0" max="2" min="2" style="172" width="14.57"/>
    <col collapsed="false" customWidth="true" hidden="false" outlineLevel="0" max="3" min="3" style="172" width="15.86"/>
    <col collapsed="false" customWidth="false" hidden="false" outlineLevel="0" max="4" min="4" style="172" width="11.57"/>
    <col collapsed="false" customWidth="true" hidden="false" outlineLevel="0" max="5" min="5" style="172" width="14.28"/>
    <col collapsed="false" customWidth="true" hidden="false" outlineLevel="0" max="6" min="6" style="172" width="10.42"/>
    <col collapsed="false" customWidth="true" hidden="false" outlineLevel="0" max="7" min="7" style="172" width="14.57"/>
    <col collapsed="false" customWidth="true" hidden="false" outlineLevel="0" max="8" min="8" style="172" width="10.99"/>
    <col collapsed="false" customWidth="true" hidden="false" outlineLevel="0" max="9" min="9" style="172" width="14.43"/>
    <col collapsed="false" customWidth="true" hidden="false" outlineLevel="0" max="10" min="10" style="172" width="13.57"/>
    <col collapsed="false" customWidth="true" hidden="false" outlineLevel="0" max="11" min="11" style="172" width="11.99"/>
    <col collapsed="false" customWidth="true" hidden="false" outlineLevel="0" max="12" min="12" style="4" width="1.42"/>
    <col collapsed="false" customWidth="true" hidden="true" outlineLevel="0" max="1025" min="13" style="4" width="9.14"/>
  </cols>
  <sheetData>
    <row r="1" customFormat="false" ht="28.5" hidden="false" customHeight="false" outlineLevel="0" collapsed="false">
      <c r="A1" s="5" t="s">
        <v>525</v>
      </c>
      <c r="B1" s="6"/>
      <c r="C1" s="6"/>
      <c r="D1" s="6"/>
      <c r="E1" s="6"/>
      <c r="F1" s="6"/>
      <c r="G1" s="6"/>
      <c r="H1" s="6"/>
      <c r="I1" s="6"/>
      <c r="J1" s="6"/>
      <c r="K1" s="8" t="s">
        <v>755</v>
      </c>
    </row>
    <row r="2" customFormat="false" ht="15" hidden="false" customHeight="false" outlineLevel="0" collapsed="false">
      <c r="A2" s="1"/>
      <c r="B2" s="2"/>
      <c r="C2" s="2"/>
      <c r="D2" s="2"/>
      <c r="E2" s="1070"/>
      <c r="F2" s="2"/>
      <c r="G2" s="2"/>
      <c r="H2" s="2"/>
      <c r="I2" s="2"/>
      <c r="J2" s="2"/>
      <c r="K2" s="1071"/>
    </row>
    <row r="3" customFormat="false" ht="18" hidden="false" customHeight="false" outlineLevel="0" collapsed="false">
      <c r="A3" s="17" t="s">
        <v>34</v>
      </c>
      <c r="B3" s="1072" t="str">
        <f aca="false">'Reference sheet'!C12</f>
        <v>TEST</v>
      </c>
      <c r="C3" s="1073"/>
      <c r="E3" s="1074" t="s">
        <v>46</v>
      </c>
      <c r="F3" s="25" t="n">
        <f aca="false">'Reference sheet'!C15</f>
        <v>1</v>
      </c>
      <c r="G3" s="1075" t="s">
        <v>49</v>
      </c>
      <c r="H3" s="1076" t="str">
        <f aca="false">'Reference sheet'!C17</f>
        <v>July</v>
      </c>
      <c r="I3" s="1077" t="n">
        <f aca="false">'Reference sheet'!D17</f>
        <v>2018</v>
      </c>
      <c r="J3" s="29" t="s">
        <v>527</v>
      </c>
      <c r="K3" s="1078" t="str">
        <f aca="false">'7.1 Dealer area'!K3</f>
        <v>EUR</v>
      </c>
    </row>
    <row r="4" customFormat="false" ht="15" hidden="false" customHeight="false" outlineLevel="0" collapsed="false">
      <c r="A4" s="1"/>
      <c r="B4" s="225"/>
      <c r="C4" s="2"/>
      <c r="D4" s="2"/>
      <c r="E4" s="2"/>
      <c r="F4" s="2"/>
      <c r="G4" s="226"/>
      <c r="H4" s="2"/>
      <c r="I4" s="2"/>
      <c r="J4" s="2"/>
      <c r="K4" s="1079"/>
    </row>
    <row r="5" customFormat="false" ht="15" hidden="false" customHeight="false" outlineLevel="0" collapsed="false">
      <c r="A5" s="49"/>
      <c r="B5" s="50"/>
      <c r="C5" s="1270" t="n">
        <f aca="false">'7.1 Dealer area'!C5</f>
        <v>2019</v>
      </c>
      <c r="D5" s="1003"/>
      <c r="E5" s="1271" t="n">
        <f aca="false">+'7.1 Dealer area'!E5</f>
        <v>2020</v>
      </c>
      <c r="F5" s="1272"/>
      <c r="G5" s="1271" t="n">
        <f aca="false">+'7.1 Dealer area'!G5</f>
        <v>2021</v>
      </c>
      <c r="H5" s="1273"/>
      <c r="I5" s="1271" t="n">
        <f aca="false">+'7.1 Dealer area'!I5</f>
        <v>2022</v>
      </c>
      <c r="J5" s="1273"/>
      <c r="K5" s="1271" t="n">
        <f aca="false">+'7.1 Dealer area'!K5</f>
        <v>2023</v>
      </c>
    </row>
    <row r="6" customFormat="false" ht="18.75" hidden="false" customHeight="false" outlineLevel="0" collapsed="false">
      <c r="A6" s="1084" t="s">
        <v>756</v>
      </c>
      <c r="B6" s="193"/>
      <c r="C6" s="193"/>
      <c r="D6" s="193"/>
      <c r="E6" s="193"/>
      <c r="F6" s="193"/>
      <c r="G6" s="193"/>
      <c r="H6" s="193"/>
      <c r="I6" s="193"/>
      <c r="J6" s="193"/>
      <c r="K6" s="194"/>
    </row>
    <row r="7" customFormat="false" ht="19.5" hidden="false" customHeight="false" outlineLevel="0" collapsed="false">
      <c r="A7" s="1274"/>
      <c r="B7" s="13"/>
      <c r="C7" s="1275" t="s">
        <v>757</v>
      </c>
      <c r="D7" s="13"/>
      <c r="E7" s="1276" t="n">
        <v>0</v>
      </c>
      <c r="F7" s="13"/>
      <c r="G7" s="1276" t="n">
        <v>0</v>
      </c>
      <c r="H7" s="13"/>
      <c r="I7" s="1276" t="n">
        <v>0</v>
      </c>
      <c r="J7" s="13"/>
      <c r="K7" s="1086" t="n">
        <f aca="false">I7</f>
        <v>0</v>
      </c>
    </row>
    <row r="8" customFormat="false" ht="15" hidden="false" customHeight="false" outlineLevel="0" collapsed="false">
      <c r="A8" s="1"/>
      <c r="C8" s="3"/>
      <c r="K8" s="3"/>
    </row>
    <row r="9" customFormat="false" ht="15" hidden="false" customHeight="false" outlineLevel="0" collapsed="false">
      <c r="A9" s="1" t="s">
        <v>758</v>
      </c>
      <c r="B9" s="2"/>
      <c r="C9" s="951" t="n">
        <v>0</v>
      </c>
      <c r="D9" s="996"/>
      <c r="E9" s="997" t="n">
        <f aca="false">+C9*(1+E7)</f>
        <v>0</v>
      </c>
      <c r="F9" s="869"/>
      <c r="G9" s="997" t="n">
        <f aca="false">+E9*(1+G7)</f>
        <v>0</v>
      </c>
      <c r="H9" s="869"/>
      <c r="I9" s="997" t="n">
        <f aca="false">+G9*(1+I7)</f>
        <v>0</v>
      </c>
      <c r="J9" s="869"/>
      <c r="K9" s="951" t="n">
        <f aca="false">+I9*(1+K7)</f>
        <v>0</v>
      </c>
    </row>
    <row r="10" customFormat="false" ht="15" hidden="false" customHeight="false" outlineLevel="0" collapsed="false">
      <c r="A10" s="49"/>
      <c r="B10" s="50"/>
      <c r="C10" s="1277"/>
      <c r="D10" s="1003"/>
      <c r="E10" s="1273"/>
      <c r="F10" s="1272"/>
      <c r="G10" s="1273"/>
      <c r="H10" s="1273"/>
      <c r="I10" s="1273"/>
      <c r="J10" s="1273"/>
      <c r="K10" s="1278"/>
    </row>
    <row r="11" customFormat="false" ht="18.75" hidden="false" customHeight="false" outlineLevel="0" collapsed="false">
      <c r="A11" s="1084" t="s">
        <v>759</v>
      </c>
      <c r="B11" s="193"/>
      <c r="C11" s="193"/>
      <c r="D11" s="193"/>
      <c r="E11" s="193"/>
      <c r="F11" s="193"/>
      <c r="G11" s="193"/>
      <c r="H11" s="193"/>
      <c r="I11" s="193"/>
      <c r="J11" s="193"/>
      <c r="K11" s="194"/>
    </row>
    <row r="12" customFormat="false" ht="15" hidden="false" customHeight="false" outlineLevel="0" collapsed="false">
      <c r="A12" s="1"/>
      <c r="B12" s="2"/>
      <c r="C12" s="1103"/>
      <c r="D12" s="996"/>
      <c r="E12" s="996"/>
      <c r="F12" s="996"/>
      <c r="G12" s="996"/>
      <c r="H12" s="996"/>
      <c r="I12" s="996"/>
      <c r="J12" s="996"/>
      <c r="K12" s="1279"/>
    </row>
    <row r="13" customFormat="false" ht="15" hidden="false" customHeight="false" outlineLevel="0" collapsed="false">
      <c r="A13" s="1" t="s">
        <v>760</v>
      </c>
      <c r="B13" s="2"/>
      <c r="C13" s="951" t="n">
        <v>2258</v>
      </c>
      <c r="D13" s="996"/>
      <c r="E13" s="997" t="n">
        <v>2581</v>
      </c>
      <c r="F13" s="869"/>
      <c r="G13" s="997" t="n">
        <v>2903</v>
      </c>
      <c r="H13" s="869"/>
      <c r="I13" s="997" t="n">
        <v>3226</v>
      </c>
      <c r="J13" s="869"/>
      <c r="K13" s="951" t="n">
        <v>3548</v>
      </c>
    </row>
    <row r="14" customFormat="false" ht="15" hidden="false" customHeight="false" outlineLevel="0" collapsed="false">
      <c r="A14" s="1" t="s">
        <v>761</v>
      </c>
      <c r="B14" s="2"/>
      <c r="C14" s="951" t="n">
        <v>5806</v>
      </c>
      <c r="D14" s="996"/>
      <c r="E14" s="997" t="n">
        <v>6452</v>
      </c>
      <c r="F14" s="869"/>
      <c r="G14" s="997" t="n">
        <v>7097</v>
      </c>
      <c r="H14" s="869"/>
      <c r="I14" s="997" t="n">
        <v>7742</v>
      </c>
      <c r="J14" s="869"/>
      <c r="K14" s="951" t="n">
        <v>8387</v>
      </c>
    </row>
    <row r="15" customFormat="false" ht="15" hidden="false" customHeight="false" outlineLevel="0" collapsed="false">
      <c r="A15" s="1" t="s">
        <v>762</v>
      </c>
      <c r="B15" s="2"/>
      <c r="C15" s="951" t="n">
        <v>5000</v>
      </c>
      <c r="D15" s="996"/>
      <c r="E15" s="997" t="n">
        <v>5000</v>
      </c>
      <c r="F15" s="869"/>
      <c r="G15" s="997" t="n">
        <v>5000</v>
      </c>
      <c r="H15" s="869"/>
      <c r="I15" s="997" t="n">
        <v>5000</v>
      </c>
      <c r="J15" s="869"/>
      <c r="K15" s="951" t="n">
        <v>5000</v>
      </c>
    </row>
    <row r="16" customFormat="false" ht="15" hidden="false" customHeight="false" outlineLevel="0" collapsed="false">
      <c r="A16" s="1" t="s">
        <v>763</v>
      </c>
      <c r="B16" s="2"/>
      <c r="C16" s="951" t="n">
        <v>6000</v>
      </c>
      <c r="D16" s="996"/>
      <c r="E16" s="997" t="n">
        <v>6000</v>
      </c>
      <c r="F16" s="869"/>
      <c r="G16" s="997" t="n">
        <v>6000</v>
      </c>
      <c r="H16" s="869"/>
      <c r="I16" s="997" t="n">
        <v>6000</v>
      </c>
      <c r="J16" s="869"/>
      <c r="K16" s="951" t="n">
        <v>6000</v>
      </c>
    </row>
    <row r="17" customFormat="false" ht="15" hidden="false" customHeight="false" outlineLevel="0" collapsed="false">
      <c r="A17" s="1" t="s">
        <v>764</v>
      </c>
      <c r="B17" s="2"/>
      <c r="C17" s="951" t="n">
        <v>20000</v>
      </c>
      <c r="D17" s="996"/>
      <c r="E17" s="997" t="n">
        <v>20000</v>
      </c>
      <c r="F17" s="869"/>
      <c r="G17" s="997" t="n">
        <v>20000</v>
      </c>
      <c r="H17" s="869"/>
      <c r="I17" s="997" t="n">
        <v>20000</v>
      </c>
      <c r="J17" s="869"/>
      <c r="K17" s="951" t="n">
        <v>20000</v>
      </c>
    </row>
    <row r="18" customFormat="false" ht="15" hidden="false" customHeight="false" outlineLevel="0" collapsed="false">
      <c r="A18" s="1" t="s">
        <v>765</v>
      </c>
      <c r="B18" s="2"/>
      <c r="C18" s="951" t="n">
        <v>120000</v>
      </c>
      <c r="D18" s="996"/>
      <c r="E18" s="997" t="n">
        <v>120000</v>
      </c>
      <c r="F18" s="869"/>
      <c r="G18" s="997" t="n">
        <v>90000</v>
      </c>
      <c r="H18" s="869"/>
      <c r="I18" s="997" t="n">
        <v>90000</v>
      </c>
      <c r="J18" s="869"/>
      <c r="K18" s="951" t="n">
        <v>90000</v>
      </c>
    </row>
    <row r="19" customFormat="false" ht="15" hidden="false" customHeight="false" outlineLevel="0" collapsed="false">
      <c r="A19" s="1" t="s">
        <v>766</v>
      </c>
      <c r="B19" s="2"/>
      <c r="C19" s="951" t="n">
        <v>25000</v>
      </c>
      <c r="D19" s="996"/>
      <c r="E19" s="997" t="n">
        <v>25000</v>
      </c>
      <c r="F19" s="869"/>
      <c r="G19" s="997" t="n">
        <v>25000</v>
      </c>
      <c r="H19" s="869"/>
      <c r="I19" s="997" t="n">
        <v>25000</v>
      </c>
      <c r="J19" s="869"/>
      <c r="K19" s="951" t="n">
        <v>25000</v>
      </c>
    </row>
    <row r="20" customFormat="false" ht="15" hidden="false" customHeight="false" outlineLevel="0" collapsed="false">
      <c r="A20" s="1" t="s">
        <v>767</v>
      </c>
      <c r="B20" s="2"/>
      <c r="C20" s="951" t="n">
        <v>9677</v>
      </c>
      <c r="D20" s="996"/>
      <c r="E20" s="997" t="n">
        <v>4839</v>
      </c>
      <c r="F20" s="869"/>
      <c r="G20" s="997" t="n">
        <v>6452</v>
      </c>
      <c r="H20" s="869"/>
      <c r="I20" s="997" t="n">
        <v>8065</v>
      </c>
      <c r="J20" s="869"/>
      <c r="K20" s="951" t="n">
        <v>9677</v>
      </c>
    </row>
    <row r="21" customFormat="false" ht="15" hidden="false" customHeight="false" outlineLevel="0" collapsed="false">
      <c r="A21" s="1" t="s">
        <v>768</v>
      </c>
      <c r="B21" s="2"/>
      <c r="C21" s="951" t="n">
        <v>1290</v>
      </c>
      <c r="D21" s="996"/>
      <c r="E21" s="997" t="n">
        <v>1935</v>
      </c>
      <c r="F21" s="869"/>
      <c r="G21" s="997" t="n">
        <v>2581</v>
      </c>
      <c r="H21" s="869"/>
      <c r="I21" s="997" t="n">
        <v>3226</v>
      </c>
      <c r="J21" s="869"/>
      <c r="K21" s="951" t="n">
        <v>3871</v>
      </c>
    </row>
    <row r="22" customFormat="false" ht="15" hidden="false" customHeight="false" outlineLevel="0" collapsed="false">
      <c r="A22" s="1" t="s">
        <v>769</v>
      </c>
      <c r="B22" s="2"/>
      <c r="C22" s="951" t="n">
        <v>16219</v>
      </c>
      <c r="D22" s="996"/>
      <c r="E22" s="997" t="n">
        <v>9677</v>
      </c>
      <c r="F22" s="869"/>
      <c r="G22" s="997" t="n">
        <v>9677</v>
      </c>
      <c r="H22" s="869"/>
      <c r="I22" s="997" t="n">
        <v>9677</v>
      </c>
      <c r="J22" s="869"/>
      <c r="K22" s="951" t="n">
        <v>9677</v>
      </c>
    </row>
    <row r="23" customFormat="false" ht="15" hidden="false" customHeight="false" outlineLevel="0" collapsed="false">
      <c r="A23" s="1" t="s">
        <v>252</v>
      </c>
      <c r="B23" s="2"/>
      <c r="C23" s="951" t="n">
        <v>16219</v>
      </c>
      <c r="D23" s="996"/>
      <c r="E23" s="997" t="n">
        <v>9677</v>
      </c>
      <c r="F23" s="869"/>
      <c r="G23" s="997" t="n">
        <v>9677</v>
      </c>
      <c r="H23" s="869"/>
      <c r="I23" s="997" t="n">
        <v>9677</v>
      </c>
      <c r="J23" s="869"/>
      <c r="K23" s="951" t="n">
        <v>9677</v>
      </c>
    </row>
    <row r="24" customFormat="false" ht="15" hidden="false" customHeight="false" outlineLevel="0" collapsed="false">
      <c r="A24" s="1" t="s">
        <v>770</v>
      </c>
      <c r="B24" s="2"/>
      <c r="C24" s="951" t="n">
        <v>12903</v>
      </c>
      <c r="D24" s="996"/>
      <c r="E24" s="997" t="n">
        <v>6452</v>
      </c>
      <c r="F24" s="869"/>
      <c r="G24" s="997" t="n">
        <v>9677</v>
      </c>
      <c r="H24" s="869"/>
      <c r="I24" s="997" t="n">
        <v>11290</v>
      </c>
      <c r="J24" s="869"/>
      <c r="K24" s="951" t="n">
        <v>12903</v>
      </c>
    </row>
    <row r="25" customFormat="false" ht="15" hidden="false" customHeight="false" outlineLevel="0" collapsed="false">
      <c r="A25" s="1" t="s">
        <v>771</v>
      </c>
      <c r="B25" s="2"/>
      <c r="C25" s="951" t="n">
        <v>1290</v>
      </c>
      <c r="D25" s="996"/>
      <c r="E25" s="997" t="n">
        <v>1290</v>
      </c>
      <c r="F25" s="869"/>
      <c r="G25" s="997" t="n">
        <f aca="false">+E25*(1+$G$7)</f>
        <v>1290</v>
      </c>
      <c r="H25" s="869"/>
      <c r="I25" s="997" t="n">
        <v>1613</v>
      </c>
      <c r="J25" s="869"/>
      <c r="K25" s="951" t="n">
        <v>1613</v>
      </c>
    </row>
    <row r="26" customFormat="false" ht="15" hidden="false" customHeight="false" outlineLevel="0" collapsed="false">
      <c r="A26" s="1" t="s">
        <v>772</v>
      </c>
      <c r="B26" s="2"/>
      <c r="C26" s="951" t="n">
        <v>3870</v>
      </c>
      <c r="D26" s="996"/>
      <c r="E26" s="997" t="n">
        <v>4839</v>
      </c>
      <c r="F26" s="869"/>
      <c r="G26" s="997" t="n">
        <v>5806</v>
      </c>
      <c r="H26" s="869"/>
      <c r="I26" s="997" t="n">
        <v>6452</v>
      </c>
      <c r="J26" s="869"/>
      <c r="K26" s="951" t="n">
        <v>8065</v>
      </c>
    </row>
    <row r="27" customFormat="false" ht="15" hidden="false" customHeight="false" outlineLevel="0" collapsed="false">
      <c r="A27" s="1" t="s">
        <v>773</v>
      </c>
      <c r="B27" s="2"/>
      <c r="C27" s="951" t="n">
        <v>130000</v>
      </c>
      <c r="D27" s="996"/>
      <c r="E27" s="997" t="n">
        <v>130000</v>
      </c>
      <c r="F27" s="869"/>
      <c r="G27" s="997" t="n">
        <v>130000</v>
      </c>
      <c r="H27" s="869"/>
      <c r="I27" s="997" t="n">
        <v>130000</v>
      </c>
      <c r="J27" s="869"/>
      <c r="K27" s="951" t="n">
        <v>130000</v>
      </c>
    </row>
    <row r="28" customFormat="false" ht="15" hidden="false" customHeight="false" outlineLevel="0" collapsed="false">
      <c r="A28" s="1" t="s">
        <v>774</v>
      </c>
      <c r="B28" s="2"/>
      <c r="C28" s="951" t="n">
        <v>0</v>
      </c>
      <c r="D28" s="996"/>
      <c r="E28" s="997" t="n">
        <f aca="false">+C28*(1+$E$7)</f>
        <v>0</v>
      </c>
      <c r="F28" s="869"/>
      <c r="G28" s="997" t="n">
        <f aca="false">+E28*(1+$G$7)</f>
        <v>0</v>
      </c>
      <c r="H28" s="869"/>
      <c r="I28" s="997" t="n">
        <f aca="false">+G28*(1+$I$7)</f>
        <v>0</v>
      </c>
      <c r="J28" s="869"/>
      <c r="K28" s="951" t="n">
        <f aca="false">+I28*(1+$K$7)</f>
        <v>0</v>
      </c>
    </row>
    <row r="29" customFormat="false" ht="15" hidden="false" customHeight="false" outlineLevel="0" collapsed="false">
      <c r="A29" s="1" t="s">
        <v>775</v>
      </c>
      <c r="B29" s="2"/>
      <c r="C29" s="951" t="n">
        <v>10000</v>
      </c>
      <c r="D29" s="996"/>
      <c r="E29" s="997" t="n">
        <v>10000</v>
      </c>
      <c r="F29" s="869"/>
      <c r="G29" s="997" t="n">
        <v>10000</v>
      </c>
      <c r="H29" s="869"/>
      <c r="I29" s="997" t="n">
        <v>10000</v>
      </c>
      <c r="J29" s="869"/>
      <c r="K29" s="951" t="n">
        <v>10000</v>
      </c>
    </row>
    <row r="30" customFormat="false" ht="15" hidden="false" customHeight="false" outlineLevel="0" collapsed="false">
      <c r="A30" s="1" t="s">
        <v>776</v>
      </c>
      <c r="B30" s="2"/>
      <c r="C30" s="951" t="n">
        <v>0</v>
      </c>
      <c r="D30" s="996"/>
      <c r="E30" s="997" t="n">
        <f aca="false">+C30*(1+$E$7)</f>
        <v>0</v>
      </c>
      <c r="F30" s="869"/>
      <c r="G30" s="997" t="n">
        <f aca="false">+E30*(1+$G$7)</f>
        <v>0</v>
      </c>
      <c r="H30" s="869"/>
      <c r="I30" s="997" t="n">
        <f aca="false">+G30*(1+$I$7)</f>
        <v>0</v>
      </c>
      <c r="J30" s="869"/>
      <c r="K30" s="951" t="n">
        <f aca="false">+I30*(1+$K$7)</f>
        <v>0</v>
      </c>
    </row>
    <row r="31" customFormat="false" ht="15" hidden="false" customHeight="false" outlineLevel="0" collapsed="false">
      <c r="A31" s="49"/>
      <c r="B31" s="50"/>
      <c r="C31" s="1117"/>
      <c r="D31" s="1092"/>
      <c r="E31" s="1092"/>
      <c r="F31" s="1092"/>
      <c r="G31" s="1092"/>
      <c r="H31" s="1092"/>
      <c r="I31" s="1092"/>
      <c r="J31" s="1092"/>
      <c r="K31" s="1117"/>
    </row>
    <row r="32" customFormat="false" ht="15" hidden="false" customHeight="false" outlineLevel="0" collapsed="false">
      <c r="A32" s="213"/>
      <c r="B32" s="1280"/>
      <c r="C32" s="1281"/>
      <c r="D32" s="1282"/>
      <c r="E32" s="1282"/>
      <c r="F32" s="1282"/>
      <c r="G32" s="1282"/>
      <c r="H32" s="1282"/>
      <c r="I32" s="1282"/>
      <c r="J32" s="1282"/>
      <c r="K32" s="1281"/>
    </row>
    <row r="33" customFormat="false" ht="15" hidden="false" customHeight="false" outlineLevel="0" collapsed="false">
      <c r="A33" s="237" t="s">
        <v>777</v>
      </c>
      <c r="B33" s="1283"/>
      <c r="C33" s="1284" t="n">
        <f aca="false">SUM(C13:C30)*$B$56</f>
        <v>385532</v>
      </c>
      <c r="D33" s="1285"/>
      <c r="E33" s="1286" t="n">
        <f aca="false">SUM(E13:E30)*$B$56</f>
        <v>363742</v>
      </c>
      <c r="F33" s="1286"/>
      <c r="G33" s="1286" t="n">
        <f aca="false">SUM(G13:G30)*$B$56</f>
        <v>341160</v>
      </c>
      <c r="H33" s="1286"/>
      <c r="I33" s="1286" t="n">
        <f aca="false">SUM(I13:I30)*$B$56</f>
        <v>346968</v>
      </c>
      <c r="J33" s="1286"/>
      <c r="K33" s="1284" t="n">
        <f aca="false">SUM(K13:K30)*$B$56</f>
        <v>353418</v>
      </c>
    </row>
    <row r="34" customFormat="false" ht="15" hidden="false" customHeight="false" outlineLevel="0" collapsed="false">
      <c r="A34" s="219"/>
      <c r="B34" s="220"/>
      <c r="C34" s="1287"/>
      <c r="D34" s="1288"/>
      <c r="E34" s="1288"/>
      <c r="F34" s="1288"/>
      <c r="G34" s="1288"/>
      <c r="H34" s="1288"/>
      <c r="I34" s="1288"/>
      <c r="J34" s="1288"/>
      <c r="K34" s="1287"/>
    </row>
    <row r="35" customFormat="false" ht="18.75" hidden="true" customHeight="false" outlineLevel="0" collapsed="false">
      <c r="A35" s="1289" t="s">
        <v>759</v>
      </c>
      <c r="B35" s="301"/>
      <c r="C35" s="301"/>
      <c r="D35" s="301"/>
      <c r="E35" s="301"/>
      <c r="F35" s="301"/>
      <c r="G35" s="301"/>
      <c r="H35" s="301"/>
      <c r="I35" s="301"/>
      <c r="J35" s="301"/>
      <c r="K35" s="1290"/>
    </row>
    <row r="36" customFormat="false" ht="15" hidden="true" customHeight="false" outlineLevel="0" collapsed="false">
      <c r="A36" s="1"/>
      <c r="B36" s="2"/>
      <c r="C36" s="1103"/>
      <c r="D36" s="996"/>
      <c r="E36" s="996"/>
      <c r="F36" s="996"/>
      <c r="G36" s="996"/>
      <c r="H36" s="996"/>
      <c r="I36" s="996"/>
      <c r="J36" s="996"/>
      <c r="K36" s="1103"/>
    </row>
    <row r="37" customFormat="false" ht="15" hidden="true" customHeight="false" outlineLevel="0" collapsed="false">
      <c r="A37" s="1" t="s">
        <v>760</v>
      </c>
      <c r="B37" s="2"/>
      <c r="C37" s="1291" t="n">
        <f aca="false">C13*$B$56</f>
        <v>2258</v>
      </c>
      <c r="D37" s="996"/>
      <c r="E37" s="1292" t="n">
        <f aca="false">E13*$B$56</f>
        <v>2581</v>
      </c>
      <c r="F37" s="869"/>
      <c r="G37" s="1292" t="n">
        <f aca="false">G13*$B$56</f>
        <v>2903</v>
      </c>
      <c r="H37" s="869"/>
      <c r="I37" s="1292" t="n">
        <f aca="false">I13*$B$56</f>
        <v>3226</v>
      </c>
      <c r="J37" s="869"/>
      <c r="K37" s="1291" t="n">
        <f aca="false">K13*$B$56</f>
        <v>3548</v>
      </c>
    </row>
    <row r="38" customFormat="false" ht="15" hidden="true" customHeight="false" outlineLevel="0" collapsed="false">
      <c r="A38" s="1" t="s">
        <v>761</v>
      </c>
      <c r="B38" s="2"/>
      <c r="C38" s="1291" t="n">
        <f aca="false">C14*$B$56</f>
        <v>5806</v>
      </c>
      <c r="D38" s="996"/>
      <c r="E38" s="1292" t="n">
        <f aca="false">E14*$B$56</f>
        <v>6452</v>
      </c>
      <c r="F38" s="869"/>
      <c r="G38" s="1292" t="n">
        <f aca="false">G14*$B$56</f>
        <v>7097</v>
      </c>
      <c r="H38" s="869"/>
      <c r="I38" s="1292" t="n">
        <f aca="false">I14*$B$56</f>
        <v>7742</v>
      </c>
      <c r="J38" s="869"/>
      <c r="K38" s="1291" t="n">
        <f aca="false">K14*$B$56</f>
        <v>8387</v>
      </c>
    </row>
    <row r="39" customFormat="false" ht="15" hidden="true" customHeight="false" outlineLevel="0" collapsed="false">
      <c r="A39" s="1" t="s">
        <v>762</v>
      </c>
      <c r="B39" s="2"/>
      <c r="C39" s="1291" t="n">
        <f aca="false">C15*$B$56</f>
        <v>5000</v>
      </c>
      <c r="D39" s="996"/>
      <c r="E39" s="1292" t="n">
        <f aca="false">E15*$B$56</f>
        <v>5000</v>
      </c>
      <c r="F39" s="869"/>
      <c r="G39" s="1292" t="n">
        <f aca="false">G15*$B$56</f>
        <v>5000</v>
      </c>
      <c r="H39" s="869"/>
      <c r="I39" s="1292" t="n">
        <f aca="false">I15*$B$56</f>
        <v>5000</v>
      </c>
      <c r="J39" s="869"/>
      <c r="K39" s="1291" t="n">
        <f aca="false">K15*$B$56</f>
        <v>5000</v>
      </c>
    </row>
    <row r="40" customFormat="false" ht="15" hidden="true" customHeight="false" outlineLevel="0" collapsed="false">
      <c r="A40" s="1" t="s">
        <v>763</v>
      </c>
      <c r="B40" s="2"/>
      <c r="C40" s="1291" t="n">
        <f aca="false">C16*$B$56</f>
        <v>6000</v>
      </c>
      <c r="D40" s="996"/>
      <c r="E40" s="1292" t="n">
        <f aca="false">E16*$B$56</f>
        <v>6000</v>
      </c>
      <c r="F40" s="869"/>
      <c r="G40" s="1292" t="n">
        <f aca="false">G16*$B$56</f>
        <v>6000</v>
      </c>
      <c r="H40" s="869"/>
      <c r="I40" s="1292" t="n">
        <f aca="false">I16*$B$56</f>
        <v>6000</v>
      </c>
      <c r="J40" s="869"/>
      <c r="K40" s="1291" t="n">
        <f aca="false">K16*$B$56</f>
        <v>6000</v>
      </c>
    </row>
    <row r="41" customFormat="false" ht="15" hidden="true" customHeight="false" outlineLevel="0" collapsed="false">
      <c r="A41" s="1" t="s">
        <v>764</v>
      </c>
      <c r="B41" s="2"/>
      <c r="C41" s="1291" t="n">
        <f aca="false">C17*$B$56</f>
        <v>20000</v>
      </c>
      <c r="D41" s="996"/>
      <c r="E41" s="1292" t="n">
        <f aca="false">E17*$B$56</f>
        <v>20000</v>
      </c>
      <c r="F41" s="869"/>
      <c r="G41" s="1292" t="n">
        <f aca="false">G17*$B$56</f>
        <v>20000</v>
      </c>
      <c r="H41" s="869"/>
      <c r="I41" s="1292" t="n">
        <f aca="false">I17*$B$56</f>
        <v>20000</v>
      </c>
      <c r="J41" s="869"/>
      <c r="K41" s="1291" t="n">
        <f aca="false">K17*$B$56</f>
        <v>20000</v>
      </c>
    </row>
    <row r="42" customFormat="false" ht="15" hidden="true" customHeight="false" outlineLevel="0" collapsed="false">
      <c r="A42" s="1" t="s">
        <v>765</v>
      </c>
      <c r="B42" s="2"/>
      <c r="C42" s="1291" t="n">
        <f aca="false">C18*$B$56</f>
        <v>120000</v>
      </c>
      <c r="D42" s="996"/>
      <c r="E42" s="1292" t="n">
        <f aca="false">E18*$B$56</f>
        <v>120000</v>
      </c>
      <c r="F42" s="869"/>
      <c r="G42" s="1292" t="n">
        <f aca="false">G18*$B$56</f>
        <v>90000</v>
      </c>
      <c r="H42" s="869"/>
      <c r="I42" s="1292" t="n">
        <f aca="false">I18*$B$56</f>
        <v>90000</v>
      </c>
      <c r="J42" s="869"/>
      <c r="K42" s="1291" t="n">
        <f aca="false">K18*$B$56</f>
        <v>90000</v>
      </c>
    </row>
    <row r="43" customFormat="false" ht="15" hidden="true" customHeight="false" outlineLevel="0" collapsed="false">
      <c r="A43" s="1" t="s">
        <v>766</v>
      </c>
      <c r="B43" s="2"/>
      <c r="C43" s="1291" t="n">
        <f aca="false">C19*$B$56</f>
        <v>25000</v>
      </c>
      <c r="D43" s="996"/>
      <c r="E43" s="1292" t="n">
        <f aca="false">E19*$B$56</f>
        <v>25000</v>
      </c>
      <c r="F43" s="869"/>
      <c r="G43" s="1292" t="n">
        <f aca="false">G19*$B$56</f>
        <v>25000</v>
      </c>
      <c r="H43" s="869"/>
      <c r="I43" s="1292" t="n">
        <f aca="false">I19*$B$56</f>
        <v>25000</v>
      </c>
      <c r="J43" s="869"/>
      <c r="K43" s="1291" t="n">
        <f aca="false">K19*$B$56</f>
        <v>25000</v>
      </c>
    </row>
    <row r="44" customFormat="false" ht="15" hidden="true" customHeight="false" outlineLevel="0" collapsed="false">
      <c r="A44" s="1" t="s">
        <v>767</v>
      </c>
      <c r="B44" s="2"/>
      <c r="C44" s="1291" t="n">
        <f aca="false">C20*$B$56</f>
        <v>9677</v>
      </c>
      <c r="D44" s="996"/>
      <c r="E44" s="1292" t="n">
        <f aca="false">E20*$B$56</f>
        <v>4839</v>
      </c>
      <c r="F44" s="869"/>
      <c r="G44" s="1292" t="n">
        <f aca="false">G20*$B$56</f>
        <v>6452</v>
      </c>
      <c r="H44" s="869"/>
      <c r="I44" s="1292" t="n">
        <f aca="false">I20*$B$56</f>
        <v>8065</v>
      </c>
      <c r="J44" s="869"/>
      <c r="K44" s="1291" t="n">
        <f aca="false">K20*$B$56</f>
        <v>9677</v>
      </c>
    </row>
    <row r="45" customFormat="false" ht="15" hidden="true" customHeight="false" outlineLevel="0" collapsed="false">
      <c r="A45" s="1" t="s">
        <v>768</v>
      </c>
      <c r="B45" s="2"/>
      <c r="C45" s="1291" t="n">
        <f aca="false">C21*$B$56</f>
        <v>1290</v>
      </c>
      <c r="D45" s="996"/>
      <c r="E45" s="1292" t="n">
        <f aca="false">E21*$B$56</f>
        <v>1935</v>
      </c>
      <c r="F45" s="869"/>
      <c r="G45" s="1292" t="n">
        <f aca="false">G21*$B$56</f>
        <v>2581</v>
      </c>
      <c r="H45" s="869"/>
      <c r="I45" s="1292" t="n">
        <f aca="false">I21*$B$56</f>
        <v>3226</v>
      </c>
      <c r="J45" s="869"/>
      <c r="K45" s="1291" t="n">
        <f aca="false">K21*$B$56</f>
        <v>3871</v>
      </c>
    </row>
    <row r="46" customFormat="false" ht="15" hidden="true" customHeight="false" outlineLevel="0" collapsed="false">
      <c r="A46" s="1" t="s">
        <v>769</v>
      </c>
      <c r="B46" s="2"/>
      <c r="C46" s="1291" t="n">
        <f aca="false">C22*$B$56</f>
        <v>16219</v>
      </c>
      <c r="D46" s="996"/>
      <c r="E46" s="1292" t="n">
        <f aca="false">E22*$B$56</f>
        <v>9677</v>
      </c>
      <c r="F46" s="869"/>
      <c r="G46" s="1292" t="n">
        <f aca="false">G22*$B$56</f>
        <v>9677</v>
      </c>
      <c r="H46" s="869"/>
      <c r="I46" s="1292" t="n">
        <f aca="false">I22*$B$56</f>
        <v>9677</v>
      </c>
      <c r="J46" s="869"/>
      <c r="K46" s="1291" t="n">
        <f aca="false">K22*$B$56</f>
        <v>9677</v>
      </c>
    </row>
    <row r="47" customFormat="false" ht="15" hidden="true" customHeight="false" outlineLevel="0" collapsed="false">
      <c r="A47" s="1" t="s">
        <v>252</v>
      </c>
      <c r="B47" s="2"/>
      <c r="C47" s="1291" t="n">
        <f aca="false">C23*$B$56</f>
        <v>16219</v>
      </c>
      <c r="D47" s="996"/>
      <c r="E47" s="1292" t="n">
        <f aca="false">E23*$B$56</f>
        <v>9677</v>
      </c>
      <c r="F47" s="869"/>
      <c r="G47" s="1292" t="n">
        <f aca="false">G23*$B$56</f>
        <v>9677</v>
      </c>
      <c r="H47" s="869"/>
      <c r="I47" s="1292" t="n">
        <f aca="false">I23*$B$56</f>
        <v>9677</v>
      </c>
      <c r="J47" s="869"/>
      <c r="K47" s="1291" t="n">
        <f aca="false">K23*$B$56</f>
        <v>9677</v>
      </c>
    </row>
    <row r="48" customFormat="false" ht="15" hidden="true" customHeight="false" outlineLevel="0" collapsed="false">
      <c r="A48" s="1" t="s">
        <v>770</v>
      </c>
      <c r="B48" s="2"/>
      <c r="C48" s="1291" t="n">
        <f aca="false">C24*$B$56</f>
        <v>12903</v>
      </c>
      <c r="D48" s="996"/>
      <c r="E48" s="1292" t="n">
        <f aca="false">E24*$B$56</f>
        <v>6452</v>
      </c>
      <c r="F48" s="869"/>
      <c r="G48" s="1292" t="n">
        <f aca="false">G24*$B$56</f>
        <v>9677</v>
      </c>
      <c r="H48" s="869"/>
      <c r="I48" s="1292" t="n">
        <f aca="false">I24*$B$56</f>
        <v>11290</v>
      </c>
      <c r="J48" s="869"/>
      <c r="K48" s="1291" t="n">
        <f aca="false">K24*$B$56</f>
        <v>12903</v>
      </c>
    </row>
    <row r="49" customFormat="false" ht="15" hidden="true" customHeight="false" outlineLevel="0" collapsed="false">
      <c r="A49" s="1" t="s">
        <v>771</v>
      </c>
      <c r="B49" s="2"/>
      <c r="C49" s="1291" t="n">
        <f aca="false">C25*$B$56</f>
        <v>1290</v>
      </c>
      <c r="D49" s="996"/>
      <c r="E49" s="1292" t="n">
        <f aca="false">E25*$B$56</f>
        <v>1290</v>
      </c>
      <c r="F49" s="869"/>
      <c r="G49" s="1292" t="n">
        <f aca="false">G25*$B$56</f>
        <v>1290</v>
      </c>
      <c r="H49" s="869"/>
      <c r="I49" s="1292" t="n">
        <f aca="false">I25*$B$56</f>
        <v>1613</v>
      </c>
      <c r="J49" s="869"/>
      <c r="K49" s="1291" t="n">
        <f aca="false">K25*$B$56</f>
        <v>1613</v>
      </c>
    </row>
    <row r="50" customFormat="false" ht="15" hidden="true" customHeight="false" outlineLevel="0" collapsed="false">
      <c r="A50" s="1" t="s">
        <v>772</v>
      </c>
      <c r="B50" s="2"/>
      <c r="C50" s="1291" t="n">
        <f aca="false">C26*$B$56</f>
        <v>3870</v>
      </c>
      <c r="D50" s="996"/>
      <c r="E50" s="1292" t="n">
        <f aca="false">E26*$B$56</f>
        <v>4839</v>
      </c>
      <c r="F50" s="869"/>
      <c r="G50" s="1292" t="n">
        <f aca="false">G26*$B$56</f>
        <v>5806</v>
      </c>
      <c r="H50" s="869"/>
      <c r="I50" s="1292" t="n">
        <f aca="false">I26*$B$56</f>
        <v>6452</v>
      </c>
      <c r="J50" s="869"/>
      <c r="K50" s="1291" t="n">
        <f aca="false">K26*$B$56</f>
        <v>8065</v>
      </c>
    </row>
    <row r="51" customFormat="false" ht="15" hidden="true" customHeight="false" outlineLevel="0" collapsed="false">
      <c r="A51" s="1" t="s">
        <v>773</v>
      </c>
      <c r="B51" s="2"/>
      <c r="C51" s="1291" t="n">
        <f aca="false">C27*$B$56</f>
        <v>130000</v>
      </c>
      <c r="D51" s="996"/>
      <c r="E51" s="1292" t="n">
        <f aca="false">E27*$B$56</f>
        <v>130000</v>
      </c>
      <c r="F51" s="869"/>
      <c r="G51" s="1292" t="n">
        <f aca="false">G27*$B$56</f>
        <v>130000</v>
      </c>
      <c r="H51" s="869"/>
      <c r="I51" s="1292" t="n">
        <f aca="false">I27*$B$56</f>
        <v>130000</v>
      </c>
      <c r="J51" s="869"/>
      <c r="K51" s="1291" t="n">
        <f aca="false">K27*$B$56</f>
        <v>130000</v>
      </c>
    </row>
    <row r="52" customFormat="false" ht="15" hidden="true" customHeight="false" outlineLevel="0" collapsed="false">
      <c r="A52" s="1" t="s">
        <v>774</v>
      </c>
      <c r="B52" s="2"/>
      <c r="C52" s="1291" t="n">
        <f aca="false">C28*$B$56</f>
        <v>0</v>
      </c>
      <c r="D52" s="996"/>
      <c r="E52" s="1292" t="n">
        <f aca="false">E28*$B$56</f>
        <v>0</v>
      </c>
      <c r="F52" s="869"/>
      <c r="G52" s="1292" t="n">
        <f aca="false">G28*$B$56</f>
        <v>0</v>
      </c>
      <c r="H52" s="869"/>
      <c r="I52" s="1292" t="n">
        <f aca="false">I28*$B$56</f>
        <v>0</v>
      </c>
      <c r="J52" s="869"/>
      <c r="K52" s="1291" t="n">
        <f aca="false">K28*$B$56</f>
        <v>0</v>
      </c>
    </row>
    <row r="53" customFormat="false" ht="15" hidden="true" customHeight="false" outlineLevel="0" collapsed="false">
      <c r="A53" s="1" t="s">
        <v>775</v>
      </c>
      <c r="B53" s="2"/>
      <c r="C53" s="1291" t="n">
        <f aca="false">C29*$B$56</f>
        <v>10000</v>
      </c>
      <c r="D53" s="996"/>
      <c r="E53" s="1292" t="n">
        <f aca="false">E29*$B$56</f>
        <v>10000</v>
      </c>
      <c r="F53" s="869"/>
      <c r="G53" s="1292" t="n">
        <f aca="false">G29*$B$56</f>
        <v>10000</v>
      </c>
      <c r="H53" s="869"/>
      <c r="I53" s="1292" t="n">
        <f aca="false">I29*$B$56</f>
        <v>10000</v>
      </c>
      <c r="J53" s="869"/>
      <c r="K53" s="1291" t="n">
        <f aca="false">K29*$B$56</f>
        <v>10000</v>
      </c>
    </row>
    <row r="54" customFormat="false" ht="15" hidden="true" customHeight="false" outlineLevel="0" collapsed="false">
      <c r="A54" s="1" t="s">
        <v>776</v>
      </c>
      <c r="B54" s="2"/>
      <c r="C54" s="1291" t="n">
        <f aca="false">C30*$B$56</f>
        <v>0</v>
      </c>
      <c r="D54" s="996"/>
      <c r="E54" s="1292" t="n">
        <f aca="false">E30*$B$56</f>
        <v>0</v>
      </c>
      <c r="F54" s="869"/>
      <c r="G54" s="1292" t="n">
        <f aca="false">G30*$B$56</f>
        <v>0</v>
      </c>
      <c r="H54" s="869"/>
      <c r="I54" s="1292" t="n">
        <f aca="false">I30*$B$56</f>
        <v>0</v>
      </c>
      <c r="J54" s="869"/>
      <c r="K54" s="1291" t="n">
        <f aca="false">K30*$B$56</f>
        <v>0</v>
      </c>
    </row>
    <row r="55" customFormat="false" ht="15" hidden="true" customHeight="false" outlineLevel="0" collapsed="false">
      <c r="A55" s="49"/>
      <c r="B55" s="50"/>
      <c r="C55" s="1117" t="n">
        <f aca="false">SUM(C37:C54)</f>
        <v>385532</v>
      </c>
      <c r="D55" s="1092"/>
      <c r="E55" s="1092"/>
      <c r="F55" s="1092"/>
      <c r="G55" s="1092"/>
      <c r="H55" s="1092"/>
      <c r="I55" s="1092"/>
      <c r="J55" s="1092"/>
      <c r="K55" s="1117"/>
    </row>
    <row r="56" customFormat="false" ht="15" hidden="true" customHeight="false" outlineLevel="0" collapsed="false">
      <c r="A56" s="12" t="s">
        <v>778</v>
      </c>
      <c r="B56" s="1293" t="n">
        <f aca="false">'9.0 Scenario''s'!D16</f>
        <v>1</v>
      </c>
      <c r="C56" s="1279"/>
      <c r="D56" s="1294"/>
      <c r="E56" s="1294"/>
      <c r="F56" s="1294"/>
      <c r="G56" s="1294"/>
      <c r="H56" s="1294"/>
      <c r="I56" s="1294"/>
      <c r="J56" s="1294"/>
      <c r="K56" s="1279"/>
    </row>
    <row r="57" customFormat="false" ht="15" hidden="true" customHeight="false" outlineLevel="0" collapsed="false">
      <c r="A57" s="1112" t="s">
        <v>777</v>
      </c>
      <c r="B57" s="184"/>
      <c r="C57" s="999" t="n">
        <f aca="false">SUM(C37:C54)*$B$56</f>
        <v>385532</v>
      </c>
      <c r="D57" s="1295"/>
      <c r="E57" s="1000" t="n">
        <f aca="false">SUM(E37:E54)*$B$56</f>
        <v>363742</v>
      </c>
      <c r="F57" s="1000"/>
      <c r="G57" s="1000" t="n">
        <f aca="false">SUM(G37:G54)*$B$56</f>
        <v>341160</v>
      </c>
      <c r="H57" s="1000"/>
      <c r="I57" s="1000" t="n">
        <f aca="false">SUM(I37:I54)*$B$56</f>
        <v>346968</v>
      </c>
      <c r="J57" s="1000"/>
      <c r="K57" s="999" t="n">
        <f aca="false">SUM(K37:K54)*$B$56</f>
        <v>353418</v>
      </c>
    </row>
    <row r="58" customFormat="false" ht="15" hidden="true" customHeight="false" outlineLevel="0" collapsed="false">
      <c r="A58" s="49"/>
      <c r="B58" s="50"/>
      <c r="C58" s="1117"/>
      <c r="D58" s="1092"/>
      <c r="E58" s="1092"/>
      <c r="F58" s="1092"/>
      <c r="G58" s="1092"/>
      <c r="H58" s="1092"/>
      <c r="I58" s="1092"/>
      <c r="J58" s="1092"/>
      <c r="K58" s="1117"/>
    </row>
    <row r="59" customFormat="false" ht="15" hidden="false" customHeight="false" outlineLevel="0" collapsed="false">
      <c r="A59" s="2"/>
      <c r="B59" s="2"/>
      <c r="C59" s="996"/>
      <c r="D59" s="996"/>
      <c r="E59" s="996"/>
      <c r="F59" s="996"/>
      <c r="G59" s="996"/>
      <c r="H59" s="996"/>
      <c r="I59" s="996"/>
      <c r="J59" s="996"/>
      <c r="K59" s="996"/>
    </row>
    <row r="60" customFormat="false" ht="18.75" hidden="false" customHeight="false" outlineLevel="0" collapsed="false">
      <c r="A60" s="1084" t="s">
        <v>779</v>
      </c>
      <c r="B60" s="193"/>
      <c r="C60" s="193"/>
      <c r="D60" s="193"/>
      <c r="E60" s="193"/>
      <c r="F60" s="193"/>
      <c r="G60" s="193"/>
      <c r="H60" s="193"/>
      <c r="I60" s="193"/>
      <c r="J60" s="193"/>
      <c r="K60" s="194"/>
    </row>
    <row r="61" customFormat="false" ht="18.75" hidden="false" customHeight="false" outlineLevel="0" collapsed="false">
      <c r="A61" s="1289"/>
      <c r="B61" s="301"/>
      <c r="C61" s="301"/>
      <c r="D61" s="301"/>
      <c r="E61" s="301"/>
      <c r="F61" s="301"/>
      <c r="G61" s="301"/>
      <c r="H61" s="301"/>
      <c r="I61" s="301"/>
      <c r="J61" s="301"/>
      <c r="K61" s="1290"/>
    </row>
    <row r="62" customFormat="false" ht="15" hidden="false" customHeight="false" outlineLevel="0" collapsed="false">
      <c r="A62" s="12"/>
      <c r="C62" s="1" t="s">
        <v>780</v>
      </c>
      <c r="D62" s="3"/>
      <c r="E62" s="295" t="s">
        <v>781</v>
      </c>
      <c r="F62" s="295" t="s">
        <v>782</v>
      </c>
      <c r="G62" s="295" t="s">
        <v>783</v>
      </c>
      <c r="H62" s="295" t="s">
        <v>784</v>
      </c>
      <c r="I62" s="295" t="s">
        <v>785</v>
      </c>
      <c r="J62" s="295" t="s">
        <v>786</v>
      </c>
      <c r="K62" s="1296" t="s">
        <v>293</v>
      </c>
    </row>
    <row r="63" customFormat="false" ht="15" hidden="false" customHeight="false" outlineLevel="0" collapsed="false">
      <c r="A63" s="304" t="s">
        <v>787</v>
      </c>
      <c r="B63" s="2"/>
      <c r="C63" s="1"/>
      <c r="D63" s="2"/>
      <c r="E63" s="907" t="n">
        <v>1</v>
      </c>
      <c r="F63" s="906" t="n">
        <v>0</v>
      </c>
      <c r="G63" s="906" t="n">
        <v>0</v>
      </c>
      <c r="H63" s="906" t="n">
        <v>0</v>
      </c>
      <c r="I63" s="906" t="n">
        <v>0</v>
      </c>
      <c r="J63" s="1162" t="n">
        <v>0</v>
      </c>
      <c r="K63" s="1297" t="n">
        <f aca="false">IF(E63+F63+G63+I63+H63+J63&lt;&gt;100%,"error",E63+F63+G63+I63+H63+J63)</f>
        <v>1</v>
      </c>
    </row>
    <row r="64" customFormat="false" ht="15" hidden="false" customHeight="false" outlineLevel="0" collapsed="false">
      <c r="A64" s="49"/>
      <c r="C64" s="49"/>
      <c r="E64" s="49"/>
      <c r="F64" s="50"/>
      <c r="G64" s="50"/>
      <c r="H64" s="50"/>
      <c r="I64" s="50"/>
      <c r="J64" s="51"/>
      <c r="K64" s="1298"/>
    </row>
    <row r="65" customFormat="false" ht="18.75" hidden="false" customHeight="false" outlineLevel="0" collapsed="false">
      <c r="A65" s="1084" t="s">
        <v>788</v>
      </c>
      <c r="B65" s="193"/>
      <c r="C65" s="193"/>
      <c r="D65" s="193"/>
      <c r="E65" s="193"/>
      <c r="F65" s="193"/>
      <c r="G65" s="193"/>
      <c r="H65" s="193"/>
      <c r="I65" s="193"/>
      <c r="J65" s="193"/>
      <c r="K65" s="194"/>
    </row>
    <row r="66" customFormat="false" ht="15" hidden="false" customHeight="false" outlineLevel="0" collapsed="false">
      <c r="A66" s="1299"/>
      <c r="B66" s="13"/>
      <c r="C66" s="12"/>
      <c r="D66" s="229"/>
      <c r="E66" s="294"/>
      <c r="F66" s="294"/>
      <c r="G66" s="294"/>
      <c r="H66" s="295"/>
      <c r="I66" s="294"/>
      <c r="J66" s="1300" t="s">
        <v>789</v>
      </c>
      <c r="K66" s="3"/>
    </row>
    <row r="67" customFormat="false" ht="15" hidden="false" customHeight="false" outlineLevel="0" collapsed="false">
      <c r="A67" s="1112"/>
      <c r="B67" s="2"/>
      <c r="C67" s="1" t="s">
        <v>780</v>
      </c>
      <c r="D67" s="3"/>
      <c r="E67" s="295" t="s">
        <v>781</v>
      </c>
      <c r="F67" s="295" t="s">
        <v>782</v>
      </c>
      <c r="G67" s="295" t="s">
        <v>783</v>
      </c>
      <c r="H67" s="295" t="s">
        <v>784</v>
      </c>
      <c r="I67" s="295" t="s">
        <v>785</v>
      </c>
      <c r="J67" s="295" t="s">
        <v>786</v>
      </c>
      <c r="K67" s="1301" t="s">
        <v>293</v>
      </c>
    </row>
    <row r="68" customFormat="false" ht="15" hidden="false" customHeight="false" outlineLevel="0" collapsed="false">
      <c r="A68" s="1" t="s">
        <v>760</v>
      </c>
      <c r="B68" s="2"/>
      <c r="C68" s="1" t="s">
        <v>790</v>
      </c>
      <c r="D68" s="3"/>
      <c r="E68" s="906" t="n">
        <v>1</v>
      </c>
      <c r="F68" s="906" t="n">
        <v>0</v>
      </c>
      <c r="G68" s="906" t="n">
        <v>0</v>
      </c>
      <c r="H68" s="906" t="n">
        <v>0</v>
      </c>
      <c r="I68" s="906" t="n">
        <v>0</v>
      </c>
      <c r="J68" s="906" t="n">
        <v>0</v>
      </c>
      <c r="K68" s="1297" t="n">
        <f aca="false">IF(E68+F68+G68+I68+H68+J68&lt;&gt;100%,"error",E68+F68+G68+I68+H68+J68)</f>
        <v>1</v>
      </c>
    </row>
    <row r="69" customFormat="false" ht="15" hidden="false" customHeight="false" outlineLevel="0" collapsed="false">
      <c r="A69" s="1" t="s">
        <v>761</v>
      </c>
      <c r="B69" s="2"/>
      <c r="C69" s="1" t="s">
        <v>791</v>
      </c>
      <c r="D69" s="3"/>
      <c r="E69" s="906" t="n">
        <v>1</v>
      </c>
      <c r="F69" s="906" t="n">
        <v>0</v>
      </c>
      <c r="G69" s="906" t="n">
        <v>0</v>
      </c>
      <c r="H69" s="906" t="n">
        <v>0</v>
      </c>
      <c r="I69" s="906" t="n">
        <v>0</v>
      </c>
      <c r="J69" s="906" t="n">
        <v>0</v>
      </c>
      <c r="K69" s="1297" t="n">
        <f aca="false">IF(E69+F69+G69+I69+H69+J69&lt;&gt;100%,"error",E69+F69+G69+I69+H69+J69)</f>
        <v>1</v>
      </c>
    </row>
    <row r="70" customFormat="false" ht="15" hidden="false" customHeight="false" outlineLevel="0" collapsed="false">
      <c r="A70" s="1" t="s">
        <v>762</v>
      </c>
      <c r="B70" s="2"/>
      <c r="C70" s="1" t="s">
        <v>792</v>
      </c>
      <c r="D70" s="3"/>
      <c r="E70" s="906" t="n">
        <v>1</v>
      </c>
      <c r="F70" s="906" t="n">
        <v>0</v>
      </c>
      <c r="G70" s="906" t="n">
        <v>0</v>
      </c>
      <c r="H70" s="906" t="n">
        <v>0</v>
      </c>
      <c r="I70" s="906" t="n">
        <v>0</v>
      </c>
      <c r="J70" s="906" t="n">
        <v>0</v>
      </c>
      <c r="K70" s="1297" t="n">
        <f aca="false">IF(E70+F70+G70+I70+H70+J70&lt;&gt;100%,"error",E70+F70+G70+I70+H70+J70)</f>
        <v>1</v>
      </c>
    </row>
    <row r="71" customFormat="false" ht="15" hidden="false" customHeight="false" outlineLevel="0" collapsed="false">
      <c r="A71" s="1" t="s">
        <v>763</v>
      </c>
      <c r="B71" s="2"/>
      <c r="C71" s="1" t="s">
        <v>793</v>
      </c>
      <c r="D71" s="3"/>
      <c r="E71" s="906" t="n">
        <v>1</v>
      </c>
      <c r="F71" s="906" t="n">
        <v>0</v>
      </c>
      <c r="G71" s="906" t="n">
        <v>0</v>
      </c>
      <c r="H71" s="906" t="n">
        <v>0</v>
      </c>
      <c r="I71" s="906" t="n">
        <v>0</v>
      </c>
      <c r="J71" s="906" t="n">
        <v>0</v>
      </c>
      <c r="K71" s="1297" t="n">
        <f aca="false">IF(E71+F71+G71+I71+H71+J71&lt;&gt;100%,"error",E71+F71+G71+I71+H71+J71)</f>
        <v>1</v>
      </c>
    </row>
    <row r="72" customFormat="false" ht="15" hidden="false" customHeight="false" outlineLevel="0" collapsed="false">
      <c r="A72" s="1" t="s">
        <v>764</v>
      </c>
      <c r="B72" s="2"/>
      <c r="C72" s="1" t="s">
        <v>142</v>
      </c>
      <c r="D72" s="3"/>
      <c r="E72" s="906" t="n">
        <v>1</v>
      </c>
      <c r="F72" s="906" t="n">
        <v>0</v>
      </c>
      <c r="G72" s="906" t="n">
        <v>0</v>
      </c>
      <c r="H72" s="906" t="n">
        <v>0</v>
      </c>
      <c r="I72" s="906" t="n">
        <v>0</v>
      </c>
      <c r="J72" s="906" t="n">
        <v>0</v>
      </c>
      <c r="K72" s="1297" t="n">
        <f aca="false">IF(E72+F72+G72+I72+H72+J72&lt;&gt;100%,"error",E72+F72+G72+I72+H72+J72)</f>
        <v>1</v>
      </c>
    </row>
    <row r="73" customFormat="false" ht="15" hidden="false" customHeight="false" outlineLevel="0" collapsed="false">
      <c r="A73" s="1" t="s">
        <v>765</v>
      </c>
      <c r="B73" s="2"/>
      <c r="C73" s="1" t="s">
        <v>794</v>
      </c>
      <c r="D73" s="3"/>
      <c r="E73" s="906" t="n">
        <v>1</v>
      </c>
      <c r="F73" s="906" t="n">
        <v>0</v>
      </c>
      <c r="G73" s="906" t="n">
        <v>0</v>
      </c>
      <c r="H73" s="906" t="n">
        <v>0</v>
      </c>
      <c r="I73" s="906" t="n">
        <v>0</v>
      </c>
      <c r="J73" s="906" t="n">
        <v>0</v>
      </c>
      <c r="K73" s="1297" t="n">
        <f aca="false">IF(E73+F73+G73+I73+H73+J73&lt;&gt;100%,"error",E73+F73+G73+I73+H73+J73)</f>
        <v>1</v>
      </c>
    </row>
    <row r="74" customFormat="false" ht="15" hidden="false" customHeight="false" outlineLevel="0" collapsed="false">
      <c r="A74" s="1" t="s">
        <v>766</v>
      </c>
      <c r="B74" s="2"/>
      <c r="C74" s="1" t="s">
        <v>795</v>
      </c>
      <c r="D74" s="3"/>
      <c r="E74" s="906" t="n">
        <v>1</v>
      </c>
      <c r="F74" s="906" t="n">
        <v>0</v>
      </c>
      <c r="G74" s="906" t="n">
        <v>0</v>
      </c>
      <c r="H74" s="906" t="n">
        <v>0</v>
      </c>
      <c r="I74" s="906" t="n">
        <v>0</v>
      </c>
      <c r="J74" s="906" t="n">
        <v>0</v>
      </c>
      <c r="K74" s="1297" t="n">
        <f aca="false">IF(E74+F74+G74+I74+H74+J74&lt;&gt;100%,"error",E74+F74+G74+I74+H74+J74)</f>
        <v>1</v>
      </c>
    </row>
    <row r="75" customFormat="false" ht="15" hidden="false" customHeight="false" outlineLevel="0" collapsed="false">
      <c r="A75" s="1" t="s">
        <v>767</v>
      </c>
      <c r="B75" s="2"/>
      <c r="C75" s="1" t="s">
        <v>793</v>
      </c>
      <c r="D75" s="3"/>
      <c r="E75" s="906" t="n">
        <v>1</v>
      </c>
      <c r="F75" s="906" t="n">
        <v>0</v>
      </c>
      <c r="G75" s="906" t="n">
        <v>0</v>
      </c>
      <c r="H75" s="906" t="n">
        <v>0</v>
      </c>
      <c r="I75" s="906" t="n">
        <v>0</v>
      </c>
      <c r="J75" s="906" t="n">
        <v>0</v>
      </c>
      <c r="K75" s="1297" t="n">
        <f aca="false">IF(E75+F75+G75+I75+H75+J75&lt;&gt;100%,"error",E75+F75+G75+I75+H75+J75)</f>
        <v>1</v>
      </c>
    </row>
    <row r="76" customFormat="false" ht="15" hidden="false" customHeight="false" outlineLevel="0" collapsed="false">
      <c r="A76" s="1" t="s">
        <v>796</v>
      </c>
      <c r="B76" s="2"/>
      <c r="C76" s="1" t="s">
        <v>793</v>
      </c>
      <c r="D76" s="3"/>
      <c r="E76" s="906" t="n">
        <v>1</v>
      </c>
      <c r="F76" s="906" t="n">
        <v>0</v>
      </c>
      <c r="G76" s="906" t="n">
        <v>0</v>
      </c>
      <c r="H76" s="906" t="n">
        <v>0</v>
      </c>
      <c r="I76" s="906" t="n">
        <v>0</v>
      </c>
      <c r="J76" s="906" t="n">
        <v>0</v>
      </c>
      <c r="K76" s="1297" t="n">
        <f aca="false">IF(E76+F76+G76+I76+H76+J76&lt;&gt;100%,"error",E76+F76+G76+I76+H76+J76)</f>
        <v>1</v>
      </c>
    </row>
    <row r="77" customFormat="false" ht="15" hidden="false" customHeight="false" outlineLevel="0" collapsed="false">
      <c r="A77" s="1" t="s">
        <v>769</v>
      </c>
      <c r="B77" s="2"/>
      <c r="C77" s="1" t="s">
        <v>797</v>
      </c>
      <c r="D77" s="3"/>
      <c r="E77" s="906" t="n">
        <v>1</v>
      </c>
      <c r="F77" s="906" t="n">
        <v>0</v>
      </c>
      <c r="G77" s="906" t="n">
        <v>0</v>
      </c>
      <c r="H77" s="906" t="n">
        <v>0</v>
      </c>
      <c r="I77" s="906" t="n">
        <v>0</v>
      </c>
      <c r="J77" s="906" t="n">
        <v>0</v>
      </c>
      <c r="K77" s="1297" t="n">
        <f aca="false">IF(E77+F77+G77+I77+H77+J77&lt;&gt;100%,"error",E77+F77+G77+I77+H77+J77)</f>
        <v>1</v>
      </c>
    </row>
    <row r="78" customFormat="false" ht="15" hidden="false" customHeight="false" outlineLevel="0" collapsed="false">
      <c r="A78" s="1" t="s">
        <v>252</v>
      </c>
      <c r="B78" s="2"/>
      <c r="C78" s="1" t="s">
        <v>793</v>
      </c>
      <c r="D78" s="3"/>
      <c r="E78" s="906" t="n">
        <v>1</v>
      </c>
      <c r="F78" s="906" t="n">
        <v>0</v>
      </c>
      <c r="G78" s="906" t="n">
        <v>0</v>
      </c>
      <c r="H78" s="906" t="n">
        <v>0</v>
      </c>
      <c r="I78" s="906" t="n">
        <v>0</v>
      </c>
      <c r="J78" s="906" t="n">
        <v>0</v>
      </c>
      <c r="K78" s="1297" t="n">
        <f aca="false">IF(E78+F78+G78+I78+H78+J78&lt;&gt;100%,"error",E78+F78+G78+I78+H78+J78)</f>
        <v>1</v>
      </c>
    </row>
    <row r="79" customFormat="false" ht="15" hidden="false" customHeight="false" outlineLevel="0" collapsed="false">
      <c r="A79" s="1" t="s">
        <v>770</v>
      </c>
      <c r="B79" s="2"/>
      <c r="C79" s="1" t="s">
        <v>142</v>
      </c>
      <c r="D79" s="3"/>
      <c r="E79" s="906" t="n">
        <v>1</v>
      </c>
      <c r="F79" s="906" t="n">
        <v>0</v>
      </c>
      <c r="G79" s="906" t="n">
        <v>0</v>
      </c>
      <c r="H79" s="906" t="n">
        <v>0</v>
      </c>
      <c r="I79" s="906" t="n">
        <v>0</v>
      </c>
      <c r="J79" s="906" t="n">
        <v>0</v>
      </c>
      <c r="K79" s="1297" t="n">
        <f aca="false">IF(E79+F79+G79+I79+H79+J79&lt;&gt;100%,"error",E79+F79+G79+I79+H79+J79)</f>
        <v>1</v>
      </c>
    </row>
    <row r="80" customFormat="false" ht="15" hidden="false" customHeight="false" outlineLevel="0" collapsed="false">
      <c r="A80" s="1" t="s">
        <v>798</v>
      </c>
      <c r="B80" s="2"/>
      <c r="C80" s="1"/>
      <c r="D80" s="3"/>
      <c r="E80" s="1302" t="n">
        <v>1</v>
      </c>
      <c r="F80" s="1302"/>
      <c r="G80" s="1302"/>
      <c r="H80" s="1302"/>
      <c r="I80" s="1302"/>
      <c r="J80" s="1163"/>
      <c r="K80" s="1303" t="n">
        <f aca="false">E80+F80+G80+I80+H80+J80</f>
        <v>1</v>
      </c>
    </row>
    <row r="81" customFormat="false" ht="15" hidden="false" customHeight="false" outlineLevel="0" collapsed="false">
      <c r="A81" s="1" t="s">
        <v>772</v>
      </c>
      <c r="B81" s="2"/>
      <c r="C81" s="1"/>
      <c r="D81" s="3"/>
      <c r="E81" s="906" t="n">
        <v>1</v>
      </c>
      <c r="F81" s="906" t="n">
        <v>0</v>
      </c>
      <c r="G81" s="906" t="n">
        <v>0</v>
      </c>
      <c r="H81" s="906" t="n">
        <v>0</v>
      </c>
      <c r="I81" s="906" t="n">
        <v>0</v>
      </c>
      <c r="J81" s="906" t="n">
        <v>0</v>
      </c>
      <c r="K81" s="1297" t="n">
        <f aca="false">IF(E81+F81+G81+I81+H81+J81&lt;&gt;100%,"error",E81+F81+G81+I81+H81+J81)</f>
        <v>1</v>
      </c>
    </row>
    <row r="82" customFormat="false" ht="15" hidden="false" customHeight="false" outlineLevel="0" collapsed="false">
      <c r="A82" s="1" t="s">
        <v>773</v>
      </c>
      <c r="B82" s="2"/>
      <c r="C82" s="1" t="s">
        <v>142</v>
      </c>
      <c r="D82" s="3"/>
      <c r="E82" s="906" t="n">
        <v>1</v>
      </c>
      <c r="F82" s="906" t="n">
        <v>0</v>
      </c>
      <c r="G82" s="906" t="n">
        <v>0</v>
      </c>
      <c r="H82" s="906" t="n">
        <v>0</v>
      </c>
      <c r="I82" s="906" t="n">
        <v>0</v>
      </c>
      <c r="J82" s="906" t="n">
        <v>0</v>
      </c>
      <c r="K82" s="1297" t="n">
        <f aca="false">IF(E82+F82+G82+I82+H82+J82&lt;&gt;100%,"error",E82+F82+G82+I82+H82+J82)</f>
        <v>1</v>
      </c>
    </row>
    <row r="83" customFormat="false" ht="15" hidden="false" customHeight="false" outlineLevel="0" collapsed="false">
      <c r="A83" s="1" t="s">
        <v>774</v>
      </c>
      <c r="B83" s="181"/>
      <c r="C83" s="1" t="s">
        <v>142</v>
      </c>
      <c r="D83" s="3"/>
      <c r="E83" s="906" t="n">
        <v>1</v>
      </c>
      <c r="F83" s="906" t="n">
        <v>0</v>
      </c>
      <c r="G83" s="906" t="n">
        <v>0</v>
      </c>
      <c r="H83" s="906" t="n">
        <v>0</v>
      </c>
      <c r="I83" s="906" t="n">
        <v>0</v>
      </c>
      <c r="J83" s="906" t="n">
        <v>0</v>
      </c>
      <c r="K83" s="1297" t="n">
        <f aca="false">IF(E83+F83+G83+I83+H83+J83&lt;&gt;100%,"error",E83+F83+G83+I83+H83+J83)</f>
        <v>1</v>
      </c>
    </row>
    <row r="84" customFormat="false" ht="15" hidden="false" customHeight="false" outlineLevel="0" collapsed="false">
      <c r="A84" s="1" t="s">
        <v>775</v>
      </c>
      <c r="B84" s="181"/>
      <c r="C84" s="1" t="s">
        <v>142</v>
      </c>
      <c r="D84" s="3"/>
      <c r="E84" s="906" t="n">
        <v>1</v>
      </c>
      <c r="F84" s="906" t="n">
        <v>0</v>
      </c>
      <c r="G84" s="906" t="n">
        <v>0</v>
      </c>
      <c r="H84" s="906" t="n">
        <v>0</v>
      </c>
      <c r="I84" s="906" t="n">
        <v>0</v>
      </c>
      <c r="J84" s="906" t="n">
        <v>0</v>
      </c>
      <c r="K84" s="1297" t="n">
        <f aca="false">IF(E84+F84+G84+I84+H84+J84&lt;&gt;100%,"error",E84+F84+G84+I84+H84+J84)</f>
        <v>1</v>
      </c>
    </row>
    <row r="85" customFormat="false" ht="15" hidden="false" customHeight="false" outlineLevel="0" collapsed="false">
      <c r="A85" s="1" t="s">
        <v>776</v>
      </c>
      <c r="B85" s="181"/>
      <c r="C85" s="1" t="s">
        <v>142</v>
      </c>
      <c r="D85" s="3"/>
      <c r="E85" s="906" t="n">
        <v>1</v>
      </c>
      <c r="F85" s="906" t="n">
        <v>0</v>
      </c>
      <c r="G85" s="906" t="n">
        <v>0</v>
      </c>
      <c r="H85" s="906" t="n">
        <v>0</v>
      </c>
      <c r="I85" s="906" t="n">
        <v>0</v>
      </c>
      <c r="J85" s="906" t="n">
        <v>0</v>
      </c>
      <c r="K85" s="1297" t="n">
        <f aca="false">IF(E85+F85+G85+I85+H85+J85&lt;&gt;100%,"error",E85+F85+G85+I85+H85+J85)</f>
        <v>1</v>
      </c>
    </row>
    <row r="86" customFormat="false" ht="15" hidden="false" customHeight="false" outlineLevel="0" collapsed="false">
      <c r="A86" s="49"/>
      <c r="B86" s="50"/>
      <c r="C86" s="49"/>
      <c r="D86" s="51"/>
      <c r="E86" s="50"/>
      <c r="F86" s="50"/>
      <c r="G86" s="1304"/>
      <c r="H86" s="1304"/>
      <c r="I86" s="1304"/>
      <c r="J86" s="1304"/>
      <c r="K86" s="1305"/>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49.xml><?xml version="1.0" encoding="utf-8"?>
<worksheet xmlns="http://schemas.openxmlformats.org/spreadsheetml/2006/main" xmlns:r="http://schemas.openxmlformats.org/officeDocument/2006/relationships">
  <sheetPr filterMode="false">
    <tabColor rgb="FFC0C0C0"/>
    <pageSetUpPr fitToPage="true"/>
  </sheetPr>
  <dimension ref="A1:AB137"/>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6" topLeftCell="A7" activePane="bottomLeft" state="frozen"/>
      <selection pane="topLeft" activeCell="A1" activeCellId="0" sqref="A1"/>
      <selection pane="bottomLeft" activeCell="B87" activeCellId="0" sqref="B87"/>
    </sheetView>
  </sheetViews>
  <sheetFormatPr defaultRowHeight="15" zeroHeight="true" outlineLevelRow="0" outlineLevelCol="0"/>
  <cols>
    <col collapsed="false" customWidth="true" hidden="false" outlineLevel="0" max="1" min="1" style="4" width="31.57"/>
    <col collapsed="false" customWidth="true" hidden="false" outlineLevel="0" max="2" min="2" style="4" width="13.29"/>
    <col collapsed="false" customWidth="true" hidden="false" outlineLevel="0" max="3" min="3" style="4" width="14.57"/>
    <col collapsed="false" customWidth="true" hidden="false" outlineLevel="0" max="4" min="4" style="4" width="15.86"/>
    <col collapsed="false" customWidth="true" hidden="false" outlineLevel="0" max="5" min="5" style="4" width="4.71"/>
    <col collapsed="false" customWidth="true" hidden="false" outlineLevel="0" max="6" min="6" style="4" width="15.86"/>
    <col collapsed="false" customWidth="true" hidden="false" outlineLevel="0" max="7" min="7" style="4" width="4.71"/>
    <col collapsed="false" customWidth="true" hidden="false" outlineLevel="0" max="8" min="8" style="4" width="15.86"/>
    <col collapsed="false" customWidth="true" hidden="false" outlineLevel="0" max="9" min="9" style="4" width="4.71"/>
    <col collapsed="false" customWidth="true" hidden="false" outlineLevel="0" max="10" min="10" style="4" width="15.86"/>
    <col collapsed="false" customWidth="true" hidden="false" outlineLevel="0" max="11" min="11" style="4" width="4.71"/>
    <col collapsed="false" customWidth="true" hidden="false" outlineLevel="0" max="12" min="12" style="4" width="15.86"/>
    <col collapsed="false" customWidth="true" hidden="false" outlineLevel="0" max="13" min="13" style="22" width="1.29"/>
    <col collapsed="false" customWidth="true" hidden="false" outlineLevel="0" max="1025" min="14" style="4" width="15.86"/>
  </cols>
  <sheetData>
    <row r="1" s="312" customFormat="true" ht="21" hidden="false" customHeight="false" outlineLevel="0" collapsed="false">
      <c r="A1" s="1306" t="s">
        <v>525</v>
      </c>
      <c r="B1" s="246"/>
      <c r="C1" s="246"/>
      <c r="D1" s="246"/>
      <c r="E1" s="246"/>
      <c r="F1" s="246"/>
      <c r="G1" s="246"/>
      <c r="H1" s="246"/>
      <c r="I1" s="246"/>
      <c r="J1" s="246"/>
      <c r="K1" s="115"/>
      <c r="L1" s="386" t="s">
        <v>799</v>
      </c>
      <c r="M1" s="310"/>
      <c r="O1" s="64"/>
    </row>
    <row r="2" customFormat="false" ht="15" hidden="false" customHeight="false" outlineLevel="0" collapsed="false">
      <c r="A2" s="52"/>
      <c r="B2" s="48"/>
      <c r="C2" s="48"/>
      <c r="D2" s="48"/>
      <c r="E2" s="48"/>
      <c r="F2" s="848"/>
      <c r="G2" s="48"/>
      <c r="H2" s="48"/>
      <c r="I2" s="48"/>
      <c r="J2" s="48"/>
      <c r="K2" s="48"/>
      <c r="L2" s="849"/>
    </row>
    <row r="3" customFormat="false" ht="18" hidden="false" customHeight="false" outlineLevel="0" collapsed="false">
      <c r="A3" s="850" t="s">
        <v>34</v>
      </c>
      <c r="B3" s="851" t="str">
        <f aca="false">'Reference sheet'!C12</f>
        <v>TEST</v>
      </c>
      <c r="C3" s="364"/>
      <c r="D3" s="48"/>
      <c r="E3" s="48"/>
      <c r="F3" s="367" t="s">
        <v>46</v>
      </c>
      <c r="G3" s="852" t="n">
        <f aca="false">'Reference sheet'!C15</f>
        <v>1</v>
      </c>
      <c r="H3" s="853" t="s">
        <v>49</v>
      </c>
      <c r="I3" s="1307" t="str">
        <f aca="false">'Reference sheet'!C17</f>
        <v>July</v>
      </c>
      <c r="J3" s="1168" t="n">
        <f aca="false">'Reference sheet'!D17</f>
        <v>2018</v>
      </c>
      <c r="K3" s="365" t="s">
        <v>527</v>
      </c>
      <c r="L3" s="855" t="str">
        <f aca="false">'7.1 Dealer area'!K3</f>
        <v>EUR</v>
      </c>
    </row>
    <row r="4" customFormat="false" ht="15" hidden="false" customHeight="false" outlineLevel="0" collapsed="false">
      <c r="A4" s="52"/>
      <c r="B4" s="682"/>
      <c r="C4" s="1308"/>
      <c r="D4" s="48"/>
      <c r="E4" s="48"/>
      <c r="F4" s="48"/>
      <c r="G4" s="48"/>
      <c r="H4" s="130"/>
      <c r="I4" s="48"/>
      <c r="J4" s="48"/>
      <c r="K4" s="48"/>
      <c r="L4" s="939"/>
      <c r="O4" s="682"/>
      <c r="P4" s="48"/>
      <c r="Q4" s="1186"/>
      <c r="R4" s="858"/>
      <c r="S4" s="1186"/>
      <c r="T4" s="1186"/>
      <c r="U4" s="1186"/>
      <c r="V4" s="1186"/>
      <c r="W4" s="1186"/>
    </row>
    <row r="5" customFormat="false" ht="15" hidden="false" customHeight="false" outlineLevel="0" collapsed="false">
      <c r="A5" s="52"/>
      <c r="B5" s="48"/>
      <c r="D5" s="1309"/>
      <c r="E5" s="48"/>
      <c r="F5" s="48"/>
      <c r="G5" s="48"/>
      <c r="H5" s="130"/>
      <c r="I5" s="48"/>
      <c r="J5" s="48"/>
      <c r="K5" s="48"/>
      <c r="L5" s="939"/>
      <c r="O5" s="682"/>
      <c r="P5" s="48"/>
      <c r="Q5" s="1186"/>
      <c r="R5" s="858"/>
      <c r="S5" s="1186"/>
      <c r="T5" s="1186"/>
      <c r="U5" s="1186"/>
      <c r="V5" s="1186"/>
      <c r="W5" s="1186"/>
    </row>
    <row r="6" customFormat="false" ht="15" hidden="false" customHeight="false" outlineLevel="0" collapsed="false">
      <c r="A6" s="52"/>
      <c r="B6" s="48"/>
      <c r="D6" s="1170" t="n">
        <f aca="false">+'7.1 Dealer area'!C5</f>
        <v>2019</v>
      </c>
      <c r="E6" s="67"/>
      <c r="F6" s="1170" t="n">
        <f aca="false">+'7.1 Dealer area'!E5</f>
        <v>2020</v>
      </c>
      <c r="G6" s="861"/>
      <c r="H6" s="1170" t="n">
        <f aca="false">+'7.1 Dealer area'!G5</f>
        <v>2021</v>
      </c>
      <c r="I6" s="862"/>
      <c r="J6" s="1170" t="n">
        <f aca="false">+'7.1 Dealer area'!I5</f>
        <v>2022</v>
      </c>
      <c r="K6" s="862"/>
      <c r="L6" s="1170" t="n">
        <f aca="false">+'7.1 Dealer area'!K5</f>
        <v>2023</v>
      </c>
      <c r="O6" s="682"/>
      <c r="P6" s="48"/>
      <c r="Q6" s="1186"/>
      <c r="R6" s="858"/>
      <c r="S6" s="1186"/>
      <c r="T6" s="1186"/>
      <c r="U6" s="1186"/>
      <c r="V6" s="1186"/>
      <c r="W6" s="1186"/>
    </row>
    <row r="7" s="503" customFormat="true" ht="18" hidden="true" customHeight="false" outlineLevel="0" collapsed="false">
      <c r="A7" s="315" t="s">
        <v>800</v>
      </c>
      <c r="B7" s="332"/>
      <c r="C7" s="1310"/>
      <c r="D7" s="1311"/>
      <c r="E7" s="487"/>
      <c r="F7" s="1311"/>
      <c r="G7" s="1311"/>
      <c r="H7" s="1311"/>
      <c r="I7" s="1311"/>
      <c r="J7" s="1311"/>
      <c r="K7" s="1311"/>
      <c r="L7" s="343"/>
      <c r="M7" s="1312"/>
      <c r="O7" s="1313"/>
      <c r="P7" s="1314"/>
      <c r="Q7" s="1315"/>
      <c r="R7" s="1315"/>
      <c r="S7" s="1315"/>
      <c r="T7" s="1315"/>
      <c r="U7" s="1315"/>
      <c r="V7" s="1315"/>
      <c r="W7" s="1315"/>
    </row>
    <row r="8" s="1321" customFormat="true" ht="18" hidden="true" customHeight="false" outlineLevel="0" collapsed="false">
      <c r="A8" s="1316"/>
      <c r="B8" s="1317"/>
      <c r="C8" s="1318"/>
      <c r="D8" s="1319"/>
      <c r="E8" s="316"/>
      <c r="F8" s="1319"/>
      <c r="G8" s="1319"/>
      <c r="H8" s="1319"/>
      <c r="I8" s="1319"/>
      <c r="J8" s="1319"/>
      <c r="K8" s="1319"/>
      <c r="L8" s="1320"/>
      <c r="M8" s="1312"/>
      <c r="O8" s="366"/>
      <c r="P8" s="365"/>
      <c r="Q8" s="1322"/>
      <c r="R8" s="1322"/>
      <c r="S8" s="1322"/>
      <c r="T8" s="1322"/>
      <c r="U8" s="1322"/>
      <c r="V8" s="1322"/>
      <c r="W8" s="1322"/>
    </row>
    <row r="9" s="1329" customFormat="true" ht="18" hidden="true" customHeight="false" outlineLevel="0" collapsed="false">
      <c r="A9" s="1323" t="s">
        <v>801</v>
      </c>
      <c r="B9" s="1324"/>
      <c r="C9" s="1325"/>
      <c r="D9" s="1326"/>
      <c r="E9" s="1327"/>
      <c r="F9" s="1326"/>
      <c r="G9" s="1326"/>
      <c r="H9" s="1326"/>
      <c r="I9" s="1326"/>
      <c r="J9" s="1326"/>
      <c r="K9" s="1326"/>
      <c r="L9" s="1328"/>
      <c r="M9" s="1312"/>
      <c r="O9" s="1330"/>
      <c r="P9" s="70"/>
      <c r="Q9" s="1331"/>
      <c r="R9" s="1331"/>
      <c r="S9" s="1331"/>
      <c r="T9" s="1331"/>
      <c r="U9" s="1331"/>
      <c r="V9" s="1331"/>
      <c r="W9" s="1331"/>
    </row>
    <row r="10" customFormat="false" ht="15" hidden="true" customHeight="false" outlineLevel="0" collapsed="false">
      <c r="A10" s="1332"/>
      <c r="B10" s="257"/>
      <c r="C10" s="1333"/>
      <c r="D10" s="1334"/>
      <c r="E10" s="1335"/>
      <c r="F10" s="1336"/>
      <c r="G10" s="1337"/>
      <c r="H10" s="1336"/>
      <c r="I10" s="1338"/>
      <c r="J10" s="1336"/>
      <c r="K10" s="1338"/>
      <c r="L10" s="1334"/>
      <c r="O10" s="682"/>
      <c r="P10" s="48"/>
      <c r="Q10" s="1186"/>
      <c r="R10" s="858"/>
      <c r="S10" s="1186"/>
      <c r="T10" s="1186"/>
      <c r="U10" s="1186"/>
      <c r="V10" s="1186"/>
      <c r="W10" s="1186"/>
    </row>
    <row r="11" customFormat="false" ht="13.15" hidden="true" customHeight="true" outlineLevel="0" collapsed="false">
      <c r="A11" s="52" t="s">
        <v>802</v>
      </c>
      <c r="B11" s="48"/>
      <c r="C11" s="1339" t="n">
        <v>0</v>
      </c>
      <c r="D11" s="1340" t="n">
        <v>0</v>
      </c>
      <c r="E11" s="184"/>
      <c r="F11" s="1341" t="n">
        <v>0</v>
      </c>
      <c r="G11" s="1139"/>
      <c r="H11" s="1341" t="n">
        <v>0</v>
      </c>
      <c r="I11" s="293"/>
      <c r="J11" s="1341" t="n">
        <v>0</v>
      </c>
      <c r="K11" s="293"/>
      <c r="L11" s="1342" t="n">
        <v>0</v>
      </c>
      <c r="O11" s="682"/>
      <c r="P11" s="48"/>
      <c r="Q11" s="1186"/>
      <c r="R11" s="858"/>
      <c r="S11" s="1186"/>
      <c r="T11" s="1186"/>
      <c r="U11" s="1186"/>
      <c r="V11" s="1186"/>
      <c r="W11" s="1186"/>
    </row>
    <row r="12" customFormat="false" ht="15" hidden="true" customHeight="false" outlineLevel="0" collapsed="false">
      <c r="A12" s="52"/>
      <c r="B12" s="48"/>
      <c r="C12" s="1343"/>
      <c r="D12" s="1344"/>
      <c r="E12" s="184"/>
      <c r="F12" s="1186"/>
      <c r="G12" s="1139"/>
      <c r="H12" s="1186"/>
      <c r="I12" s="293"/>
      <c r="J12" s="1186"/>
      <c r="K12" s="293"/>
      <c r="L12" s="120"/>
      <c r="O12" s="682"/>
      <c r="P12" s="48"/>
      <c r="Q12" s="1186"/>
      <c r="R12" s="858"/>
      <c r="S12" s="1186"/>
      <c r="T12" s="1186"/>
      <c r="U12" s="1186"/>
      <c r="V12" s="1186"/>
      <c r="W12" s="1186"/>
    </row>
    <row r="13" customFormat="false" ht="15" hidden="true" customHeight="false" outlineLevel="0" collapsed="false">
      <c r="A13" s="52" t="s">
        <v>803</v>
      </c>
      <c r="B13" s="48"/>
      <c r="C13" s="1343"/>
      <c r="D13" s="1344"/>
      <c r="E13" s="184"/>
      <c r="F13" s="1186"/>
      <c r="G13" s="1139"/>
      <c r="H13" s="1186"/>
      <c r="I13" s="293"/>
      <c r="J13" s="1186"/>
      <c r="K13" s="293"/>
      <c r="L13" s="120"/>
      <c r="O13" s="682"/>
      <c r="P13" s="48"/>
      <c r="Q13" s="1186"/>
      <c r="R13" s="858"/>
      <c r="S13" s="1186"/>
      <c r="T13" s="1186"/>
      <c r="U13" s="1186"/>
      <c r="V13" s="1186"/>
      <c r="W13" s="1186"/>
    </row>
    <row r="14" customFormat="false" ht="15" hidden="true" customHeight="false" outlineLevel="0" collapsed="false">
      <c r="A14" s="524" t="s">
        <v>804</v>
      </c>
      <c r="B14" s="48"/>
      <c r="C14" s="1339" t="n">
        <v>0</v>
      </c>
      <c r="D14" s="1345" t="n">
        <v>0</v>
      </c>
      <c r="E14" s="184"/>
      <c r="F14" s="1341" t="n">
        <v>0</v>
      </c>
      <c r="G14" s="1139"/>
      <c r="H14" s="1341" t="n">
        <v>0</v>
      </c>
      <c r="I14" s="293"/>
      <c r="J14" s="1341" t="n">
        <v>0</v>
      </c>
      <c r="K14" s="293"/>
      <c r="L14" s="1342" t="n">
        <v>0</v>
      </c>
      <c r="O14" s="682"/>
      <c r="P14" s="48"/>
    </row>
    <row r="15" customFormat="false" ht="15" hidden="true" customHeight="false" outlineLevel="0" collapsed="false">
      <c r="A15" s="524" t="s">
        <v>805</v>
      </c>
      <c r="B15" s="48"/>
      <c r="C15" s="1339" t="n">
        <v>0</v>
      </c>
      <c r="D15" s="1346" t="n">
        <v>0</v>
      </c>
      <c r="E15" s="184"/>
      <c r="F15" s="1341" t="n">
        <v>0</v>
      </c>
      <c r="G15" s="1139"/>
      <c r="H15" s="1341" t="n">
        <v>0</v>
      </c>
      <c r="I15" s="293"/>
      <c r="J15" s="1341" t="n">
        <v>0</v>
      </c>
      <c r="K15" s="293"/>
      <c r="L15" s="1342" t="n">
        <v>0</v>
      </c>
      <c r="O15" s="682"/>
      <c r="P15" s="48"/>
    </row>
    <row r="16" customFormat="false" ht="15" hidden="true" customHeight="false" outlineLevel="0" collapsed="false">
      <c r="A16" s="524" t="s">
        <v>806</v>
      </c>
      <c r="B16" s="48"/>
      <c r="C16" s="1339" t="n">
        <v>0</v>
      </c>
      <c r="D16" s="1346" t="n">
        <v>0</v>
      </c>
      <c r="E16" s="184"/>
      <c r="F16" s="1341" t="n">
        <v>0</v>
      </c>
      <c r="G16" s="1139"/>
      <c r="H16" s="1341" t="n">
        <v>0</v>
      </c>
      <c r="I16" s="293"/>
      <c r="J16" s="1341" t="n">
        <v>0</v>
      </c>
      <c r="K16" s="293"/>
      <c r="L16" s="1342" t="n">
        <v>0</v>
      </c>
      <c r="O16" s="682"/>
      <c r="P16" s="48"/>
    </row>
    <row r="17" customFormat="false" ht="15" hidden="true" customHeight="false" outlineLevel="0" collapsed="false">
      <c r="A17" s="524" t="s">
        <v>807</v>
      </c>
      <c r="B17" s="48"/>
      <c r="C17" s="1339" t="n">
        <v>0</v>
      </c>
      <c r="D17" s="1346" t="n">
        <v>0</v>
      </c>
      <c r="E17" s="184"/>
      <c r="F17" s="1341" t="n">
        <v>0</v>
      </c>
      <c r="G17" s="1139"/>
      <c r="H17" s="1341" t="n">
        <v>0</v>
      </c>
      <c r="I17" s="293"/>
      <c r="J17" s="1341" t="n">
        <v>0</v>
      </c>
      <c r="K17" s="293"/>
      <c r="L17" s="1342" t="n">
        <v>0</v>
      </c>
      <c r="O17" s="682"/>
      <c r="P17" s="48"/>
      <c r="R17" s="67" t="s">
        <v>808</v>
      </c>
    </row>
    <row r="18" customFormat="false" ht="15" hidden="true" customHeight="false" outlineLevel="0" collapsed="false">
      <c r="A18" s="524" t="s">
        <v>809</v>
      </c>
      <c r="B18" s="48"/>
      <c r="C18" s="1339" t="n">
        <v>0</v>
      </c>
      <c r="D18" s="1346" t="n">
        <v>0</v>
      </c>
      <c r="E18" s="184"/>
      <c r="F18" s="1341" t="n">
        <v>0</v>
      </c>
      <c r="G18" s="1139"/>
      <c r="H18" s="1341" t="n">
        <v>0</v>
      </c>
      <c r="I18" s="293"/>
      <c r="J18" s="1341" t="n">
        <v>0</v>
      </c>
      <c r="K18" s="293"/>
      <c r="L18" s="1342" t="n">
        <v>0</v>
      </c>
      <c r="O18" s="682"/>
      <c r="P18" s="48"/>
      <c r="R18" s="67"/>
      <c r="T18" s="547" t="s">
        <v>810</v>
      </c>
      <c r="U18" s="314"/>
      <c r="V18" s="314"/>
      <c r="W18" s="314"/>
      <c r="X18" s="513"/>
    </row>
    <row r="19" customFormat="false" ht="15" hidden="true" customHeight="false" outlineLevel="0" collapsed="false">
      <c r="A19" s="524" t="s">
        <v>811</v>
      </c>
      <c r="B19" s="48"/>
      <c r="C19" s="1339" t="n">
        <v>0</v>
      </c>
      <c r="D19" s="1346" t="n">
        <v>0</v>
      </c>
      <c r="E19" s="184"/>
      <c r="F19" s="1341" t="n">
        <v>0</v>
      </c>
      <c r="G19" s="1139"/>
      <c r="H19" s="1341" t="n">
        <v>0</v>
      </c>
      <c r="I19" s="293"/>
      <c r="J19" s="1341" t="n">
        <v>0</v>
      </c>
      <c r="K19" s="293"/>
      <c r="L19" s="1342" t="n">
        <v>0</v>
      </c>
      <c r="O19" s="682"/>
      <c r="P19" s="48"/>
      <c r="R19" s="67"/>
      <c r="T19" s="547"/>
      <c r="U19" s="314"/>
      <c r="V19" s="314"/>
      <c r="W19" s="314"/>
      <c r="X19" s="513"/>
    </row>
    <row r="20" customFormat="false" ht="15" hidden="true" customHeight="false" outlineLevel="0" collapsed="false">
      <c r="A20" s="52" t="s">
        <v>812</v>
      </c>
      <c r="B20" s="48"/>
      <c r="C20" s="1339" t="n">
        <v>0</v>
      </c>
      <c r="D20" s="1346" t="n">
        <v>0</v>
      </c>
      <c r="E20" s="184"/>
      <c r="F20" s="1341" t="n">
        <v>0</v>
      </c>
      <c r="G20" s="1139"/>
      <c r="H20" s="1341" t="n">
        <v>0</v>
      </c>
      <c r="I20" s="293"/>
      <c r="J20" s="1341" t="n">
        <v>0</v>
      </c>
      <c r="K20" s="293"/>
      <c r="L20" s="1342" t="n">
        <v>0</v>
      </c>
      <c r="O20" s="682"/>
      <c r="P20" s="48"/>
      <c r="R20" s="1347" t="n">
        <f aca="false">D6</f>
        <v>2019</v>
      </c>
      <c r="S20" s="1256" t="n">
        <f aca="false">C54+D54</f>
        <v>32258</v>
      </c>
      <c r="T20" s="1348" t="n">
        <f aca="false">+S20/Y20</f>
        <v>10752.6666666667</v>
      </c>
      <c r="U20" s="1349" t="n">
        <f aca="false">IF($Y20&gt;=2,$S20/$Y20,0)</f>
        <v>10752.6666666667</v>
      </c>
      <c r="V20" s="1348" t="n">
        <f aca="false">IF($Y20&gt;=3,$S20/$Y20,0)</f>
        <v>10752.6666666667</v>
      </c>
      <c r="W20" s="1348" t="n">
        <f aca="false">IF($Y20&gt;=4,$S20/$Y20,0)</f>
        <v>0</v>
      </c>
      <c r="X20" s="1348" t="n">
        <f aca="false">IF($Y20&gt;=5,$S20/$Y20,0)</f>
        <v>0</v>
      </c>
      <c r="Y20" s="1350" t="n">
        <f aca="false">ROUND(100/(B$82*100),0)</f>
        <v>3</v>
      </c>
    </row>
    <row r="21" customFormat="false" ht="15" hidden="true" customHeight="false" outlineLevel="0" collapsed="false">
      <c r="A21" s="52" t="s">
        <v>813</v>
      </c>
      <c r="B21" s="48"/>
      <c r="C21" s="1351" t="n">
        <v>0</v>
      </c>
      <c r="D21" s="1352" t="n">
        <v>0</v>
      </c>
      <c r="E21" s="184"/>
      <c r="F21" s="1353" t="n">
        <v>0</v>
      </c>
      <c r="G21" s="1139"/>
      <c r="H21" s="1353" t="n">
        <v>0</v>
      </c>
      <c r="I21" s="293"/>
      <c r="J21" s="1353" t="n">
        <v>0</v>
      </c>
      <c r="K21" s="293"/>
      <c r="L21" s="1354" t="n">
        <v>0</v>
      </c>
      <c r="O21" s="682"/>
      <c r="P21" s="48"/>
      <c r="R21" s="1355" t="n">
        <f aca="false">+F6</f>
        <v>2020</v>
      </c>
      <c r="S21" s="1356" t="n">
        <f aca="false">F54</f>
        <v>0</v>
      </c>
      <c r="T21" s="1357"/>
      <c r="U21" s="1357" t="n">
        <f aca="false">+S21/Y21</f>
        <v>0</v>
      </c>
      <c r="V21" s="1349" t="n">
        <f aca="false">IF($Y21&gt;=2,$S21/$Y21,0)</f>
        <v>0</v>
      </c>
      <c r="W21" s="1348" t="n">
        <f aca="false">IF($Y21&gt;=3,$S21/$Y21,0)</f>
        <v>0</v>
      </c>
      <c r="X21" s="1348" t="n">
        <f aca="false">IF($Y21&gt;=4,$S21/$Y21,0)</f>
        <v>0</v>
      </c>
      <c r="Y21" s="1350" t="n">
        <f aca="false">ROUND(100/(B$82*100),0)</f>
        <v>3</v>
      </c>
    </row>
    <row r="22" customFormat="false" ht="15" hidden="true" customHeight="false" outlineLevel="0" collapsed="false">
      <c r="A22" s="524" t="s">
        <v>814</v>
      </c>
      <c r="B22" s="48"/>
      <c r="C22" s="1358" t="n">
        <f aca="false">SUM(C14:C21)</f>
        <v>0</v>
      </c>
      <c r="D22" s="1359" t="n">
        <f aca="false">SUM(D14:D21)</f>
        <v>0</v>
      </c>
      <c r="E22" s="184"/>
      <c r="F22" s="957" t="n">
        <f aca="false">SUM(F14:F21)</f>
        <v>0</v>
      </c>
      <c r="G22" s="1139"/>
      <c r="H22" s="957" t="n">
        <f aca="false">SUM(H14:H21)</f>
        <v>0</v>
      </c>
      <c r="I22" s="293"/>
      <c r="J22" s="957" t="n">
        <f aca="false">SUM(J14:J21)</f>
        <v>0</v>
      </c>
      <c r="K22" s="293"/>
      <c r="L22" s="1360" t="n">
        <f aca="false">SUM(L14:L21)</f>
        <v>0</v>
      </c>
      <c r="O22" s="682"/>
      <c r="P22" s="48"/>
      <c r="R22" s="1355" t="n">
        <f aca="false">+H6</f>
        <v>2021</v>
      </c>
      <c r="S22" s="1356" t="n">
        <f aca="false">H54</f>
        <v>0</v>
      </c>
      <c r="T22" s="1357"/>
      <c r="U22" s="1357"/>
      <c r="V22" s="1357" t="n">
        <f aca="false">S22/Y22</f>
        <v>0</v>
      </c>
      <c r="W22" s="1349" t="n">
        <f aca="false">IF($Y22&gt;=2,$S22/$Y22,0)</f>
        <v>0</v>
      </c>
      <c r="X22" s="1348" t="n">
        <f aca="false">IF($Y22&gt;=3,$S22/$Y22,0)</f>
        <v>0</v>
      </c>
      <c r="Y22" s="1350" t="n">
        <f aca="false">ROUND(100/(B$82*100),0)</f>
        <v>3</v>
      </c>
    </row>
    <row r="23" customFormat="false" ht="15" hidden="true" customHeight="false" outlineLevel="0" collapsed="false">
      <c r="A23" s="52"/>
      <c r="B23" s="48"/>
      <c r="C23" s="1343"/>
      <c r="D23" s="1344"/>
      <c r="E23" s="184"/>
      <c r="F23" s="1186"/>
      <c r="G23" s="1139"/>
      <c r="H23" s="1186"/>
      <c r="I23" s="293"/>
      <c r="J23" s="1186"/>
      <c r="K23" s="293"/>
      <c r="L23" s="120"/>
      <c r="O23" s="682"/>
      <c r="P23" s="48"/>
      <c r="R23" s="1355" t="n">
        <f aca="false">+J6</f>
        <v>2022</v>
      </c>
      <c r="S23" s="1356" t="n">
        <f aca="false">J54</f>
        <v>0</v>
      </c>
      <c r="T23" s="1357"/>
      <c r="U23" s="1357"/>
      <c r="V23" s="1357"/>
      <c r="W23" s="1357" t="n">
        <f aca="false">S23/Y23</f>
        <v>0</v>
      </c>
      <c r="X23" s="1349" t="n">
        <f aca="false">IF($Y23&gt;=2,$S23/$Y23,0)</f>
        <v>0</v>
      </c>
      <c r="Y23" s="1350" t="n">
        <f aca="false">ROUND(100/(B$82*100),0)</f>
        <v>3</v>
      </c>
    </row>
    <row r="24" customFormat="false" ht="15" hidden="true" customHeight="false" outlineLevel="0" collapsed="false">
      <c r="A24" s="52" t="s">
        <v>815</v>
      </c>
      <c r="B24" s="48"/>
      <c r="C24" s="1339" t="n">
        <v>0</v>
      </c>
      <c r="D24" s="1340" t="n">
        <v>0</v>
      </c>
      <c r="E24" s="184"/>
      <c r="F24" s="1341" t="n">
        <v>0</v>
      </c>
      <c r="G24" s="1139"/>
      <c r="H24" s="1341" t="n">
        <v>0</v>
      </c>
      <c r="I24" s="293"/>
      <c r="J24" s="1341" t="n">
        <v>0</v>
      </c>
      <c r="K24" s="293"/>
      <c r="L24" s="1342" t="n">
        <v>0</v>
      </c>
      <c r="O24" s="682"/>
      <c r="P24" s="48"/>
      <c r="R24" s="1361" t="n">
        <f aca="false">+L6</f>
        <v>2023</v>
      </c>
      <c r="S24" s="1356" t="n">
        <f aca="false">L54</f>
        <v>0</v>
      </c>
      <c r="T24" s="1362"/>
      <c r="U24" s="1362"/>
      <c r="V24" s="1362"/>
      <c r="W24" s="1362"/>
      <c r="X24" s="1362" t="n">
        <f aca="false">S24/Y24</f>
        <v>0</v>
      </c>
      <c r="Y24" s="1350" t="n">
        <f aca="false">ROUND(100/(B$82*100),0)</f>
        <v>3</v>
      </c>
    </row>
    <row r="25" customFormat="false" ht="15" hidden="true" customHeight="false" outlineLevel="0" collapsed="false">
      <c r="A25" s="52"/>
      <c r="B25" s="48"/>
      <c r="C25" s="1343"/>
      <c r="D25" s="1344"/>
      <c r="E25" s="184"/>
      <c r="F25" s="1186"/>
      <c r="G25" s="1139"/>
      <c r="H25" s="1186"/>
      <c r="I25" s="293"/>
      <c r="J25" s="1186"/>
      <c r="K25" s="293"/>
      <c r="L25" s="120"/>
      <c r="O25" s="682"/>
      <c r="P25" s="48"/>
      <c r="R25" s="1363"/>
      <c r="S25" s="1356"/>
      <c r="T25" s="1362"/>
      <c r="U25" s="1362"/>
      <c r="V25" s="1362"/>
      <c r="W25" s="1362"/>
      <c r="X25" s="1362"/>
      <c r="Y25" s="1350"/>
    </row>
    <row r="26" customFormat="false" ht="15" hidden="true" customHeight="false" outlineLevel="0" collapsed="false">
      <c r="A26" s="52" t="s">
        <v>816</v>
      </c>
      <c r="B26" s="48"/>
      <c r="C26" s="1358" t="n">
        <f aca="false">C11+C22+C24</f>
        <v>0</v>
      </c>
      <c r="D26" s="1364" t="n">
        <f aca="false">D11+D22+D24</f>
        <v>0</v>
      </c>
      <c r="E26" s="184"/>
      <c r="F26" s="957" t="n">
        <f aca="false">F11+F22+F24</f>
        <v>0</v>
      </c>
      <c r="G26" s="1082"/>
      <c r="H26" s="957" t="n">
        <f aca="false">H11+H22+H24</f>
        <v>0</v>
      </c>
      <c r="I26" s="1083"/>
      <c r="J26" s="957" t="n">
        <f aca="false">J11+J22+J24</f>
        <v>0</v>
      </c>
      <c r="K26" s="1083"/>
      <c r="L26" s="1365" t="n">
        <f aca="false">L11+L22+L24</f>
        <v>0</v>
      </c>
      <c r="O26" s="682"/>
      <c r="P26" s="48"/>
      <c r="R26" s="1366"/>
      <c r="S26" s="940" t="s">
        <v>817</v>
      </c>
      <c r="T26" s="1367" t="n">
        <f aca="false">+T20</f>
        <v>10752.6666666667</v>
      </c>
      <c r="U26" s="1367" t="n">
        <f aca="false">+U20+U21</f>
        <v>10752.6666666667</v>
      </c>
      <c r="V26" s="1367" t="n">
        <f aca="false">+W20+W21+W22</f>
        <v>0</v>
      </c>
      <c r="W26" s="1367" t="n">
        <f aca="false">+W20+W21+W22+W23</f>
        <v>0</v>
      </c>
      <c r="X26" s="1367" t="n">
        <f aca="false">+X20+X21+X22+X23+X24</f>
        <v>0</v>
      </c>
      <c r="Y26" s="1350"/>
    </row>
    <row r="27" customFormat="false" ht="15" hidden="true" customHeight="false" outlineLevel="0" collapsed="false">
      <c r="A27" s="82"/>
      <c r="B27" s="107"/>
      <c r="C27" s="1368"/>
      <c r="D27" s="1369"/>
      <c r="E27" s="941"/>
      <c r="F27" s="943"/>
      <c r="G27" s="942"/>
      <c r="H27" s="943"/>
      <c r="I27" s="943"/>
      <c r="J27" s="943"/>
      <c r="K27" s="1273"/>
      <c r="L27" s="1369"/>
      <c r="O27" s="682"/>
      <c r="P27" s="48"/>
      <c r="R27" s="1370"/>
      <c r="S27" s="48"/>
      <c r="T27" s="1371"/>
      <c r="U27" s="1371"/>
      <c r="V27" s="1371"/>
      <c r="W27" s="1371"/>
      <c r="X27" s="1371"/>
    </row>
    <row r="28" s="1329" customFormat="true" ht="18" hidden="true" customHeight="false" outlineLevel="0" collapsed="false">
      <c r="A28" s="1323" t="s">
        <v>818</v>
      </c>
      <c r="B28" s="1324"/>
      <c r="C28" s="1372"/>
      <c r="D28" s="1326"/>
      <c r="E28" s="1327"/>
      <c r="F28" s="1326"/>
      <c r="G28" s="1326"/>
      <c r="H28" s="1326"/>
      <c r="I28" s="1326"/>
      <c r="J28" s="1326"/>
      <c r="K28" s="1326"/>
      <c r="L28" s="1328"/>
      <c r="M28" s="1312"/>
      <c r="O28" s="1330"/>
      <c r="P28" s="70"/>
      <c r="Q28" s="577"/>
      <c r="R28" s="74" t="s">
        <v>819</v>
      </c>
      <c r="S28" s="1373"/>
      <c r="T28" s="577"/>
      <c r="U28" s="1373"/>
      <c r="V28" s="577"/>
      <c r="W28" s="577"/>
      <c r="X28" s="577"/>
      <c r="Y28" s="1374"/>
      <c r="Z28" s="577"/>
      <c r="AA28" s="577"/>
      <c r="AB28" s="577"/>
    </row>
    <row r="29" customFormat="false" ht="15" hidden="true" customHeight="false" outlineLevel="0" collapsed="false">
      <c r="A29" s="52"/>
      <c r="B29" s="48"/>
      <c r="C29" s="1375"/>
      <c r="D29" s="1334"/>
      <c r="E29" s="67"/>
      <c r="F29" s="862"/>
      <c r="G29" s="861"/>
      <c r="H29" s="862"/>
      <c r="I29" s="862"/>
      <c r="J29" s="862"/>
      <c r="K29" s="862"/>
      <c r="L29" s="1174"/>
      <c r="O29" s="682"/>
      <c r="P29" s="48"/>
      <c r="R29" s="67"/>
      <c r="S29" s="1376"/>
      <c r="T29" s="547" t="s">
        <v>810</v>
      </c>
      <c r="U29" s="314"/>
      <c r="V29" s="314"/>
      <c r="W29" s="314"/>
      <c r="X29" s="513"/>
      <c r="Y29" s="669"/>
    </row>
    <row r="30" customFormat="false" ht="15" hidden="true" customHeight="false" outlineLevel="0" collapsed="false">
      <c r="A30" s="52" t="s">
        <v>802</v>
      </c>
      <c r="B30" s="48"/>
      <c r="C30" s="1375"/>
      <c r="D30" s="1377" t="n">
        <v>0</v>
      </c>
      <c r="E30" s="2"/>
      <c r="F30" s="1341" t="n">
        <v>0</v>
      </c>
      <c r="G30" s="1139"/>
      <c r="H30" s="1341" t="n">
        <v>0</v>
      </c>
      <c r="I30" s="293"/>
      <c r="J30" s="1341" t="n">
        <v>0</v>
      </c>
      <c r="K30" s="293"/>
      <c r="L30" s="1342" t="n">
        <v>0</v>
      </c>
      <c r="O30" s="682"/>
      <c r="P30" s="48"/>
      <c r="S30" s="1378" t="s">
        <v>820</v>
      </c>
      <c r="T30" s="1347" t="n">
        <f aca="false">'7.4.2 Selling &amp; Oper. expenses'!C5</f>
        <v>2019</v>
      </c>
      <c r="U30" s="1379" t="n">
        <f aca="false">F6</f>
        <v>2020</v>
      </c>
      <c r="V30" s="1379" t="n">
        <f aca="false">H6</f>
        <v>2021</v>
      </c>
      <c r="W30" s="1379" t="n">
        <f aca="false">J6</f>
        <v>2022</v>
      </c>
      <c r="X30" s="1379" t="n">
        <f aca="false">L6</f>
        <v>2023</v>
      </c>
    </row>
    <row r="31" customFormat="false" ht="15" hidden="true" customHeight="false" outlineLevel="0" collapsed="false">
      <c r="A31" s="52"/>
      <c r="B31" s="48"/>
      <c r="C31" s="1375"/>
      <c r="D31" s="120"/>
      <c r="E31" s="2"/>
      <c r="F31" s="1186"/>
      <c r="G31" s="1139"/>
      <c r="H31" s="1186"/>
      <c r="I31" s="293"/>
      <c r="J31" s="1186"/>
      <c r="K31" s="293"/>
      <c r="L31" s="120"/>
      <c r="O31" s="682"/>
      <c r="P31" s="48"/>
      <c r="R31" s="1347" t="n">
        <f aca="false">R20</f>
        <v>2019</v>
      </c>
      <c r="S31" s="1356" t="n">
        <f aca="false">C57+D57</f>
        <v>650000</v>
      </c>
      <c r="T31" s="1348" t="n">
        <v>0</v>
      </c>
      <c r="U31" s="1349" t="n">
        <v>0</v>
      </c>
      <c r="V31" s="1348" t="n">
        <v>0</v>
      </c>
      <c r="W31" s="1348" t="n">
        <v>0</v>
      </c>
      <c r="X31" s="1348" t="n">
        <v>0</v>
      </c>
      <c r="Y31" s="523" t="s">
        <v>821</v>
      </c>
    </row>
    <row r="32" customFormat="false" ht="15" hidden="true" customHeight="false" outlineLevel="0" collapsed="false">
      <c r="A32" s="52" t="s">
        <v>803</v>
      </c>
      <c r="B32" s="48"/>
      <c r="C32" s="1375"/>
      <c r="D32" s="120"/>
      <c r="E32" s="2"/>
      <c r="F32" s="1186"/>
      <c r="G32" s="1139"/>
      <c r="H32" s="1186"/>
      <c r="I32" s="293"/>
      <c r="J32" s="1186"/>
      <c r="K32" s="293"/>
      <c r="L32" s="120"/>
      <c r="O32" s="682"/>
      <c r="P32" s="48"/>
      <c r="R32" s="1380"/>
      <c r="S32" s="1356" t="n">
        <f aca="false">C58+D58</f>
        <v>350000</v>
      </c>
      <c r="T32" s="1348" t="n">
        <f aca="false">+S32/Y32</f>
        <v>17500</v>
      </c>
      <c r="U32" s="1349" t="n">
        <f aca="false">IF($Y32&gt;=2,$S32/$Y32,0)</f>
        <v>17500</v>
      </c>
      <c r="V32" s="1348" t="n">
        <f aca="false">IF($Y32&gt;=3,$S32/$Y32,0)</f>
        <v>17500</v>
      </c>
      <c r="W32" s="1348" t="n">
        <f aca="false">IF($Y32&gt;=4,$S32/$Y32,0)</f>
        <v>17500</v>
      </c>
      <c r="X32" s="1348" t="n">
        <f aca="false">IF($Y32&gt;=5,$S32/$Y32,0)</f>
        <v>17500</v>
      </c>
      <c r="Y32" s="1350" t="n">
        <f aca="false">ROUND(100/($B$86*100),0)</f>
        <v>20</v>
      </c>
    </row>
    <row r="33" customFormat="false" ht="15" hidden="true" customHeight="false" outlineLevel="0" collapsed="false">
      <c r="A33" s="524" t="s">
        <v>804</v>
      </c>
      <c r="B33" s="48"/>
      <c r="C33" s="1375"/>
      <c r="D33" s="1381" t="n">
        <v>0</v>
      </c>
      <c r="E33" s="2"/>
      <c r="F33" s="1341" t="n">
        <v>0</v>
      </c>
      <c r="G33" s="1139"/>
      <c r="H33" s="1341" t="n">
        <v>0</v>
      </c>
      <c r="I33" s="293"/>
      <c r="J33" s="1341" t="n">
        <v>0</v>
      </c>
      <c r="K33" s="293"/>
      <c r="L33" s="1342" t="n">
        <v>0</v>
      </c>
      <c r="O33" s="682"/>
      <c r="P33" s="48"/>
      <c r="R33" s="1350"/>
      <c r="S33" s="1356" t="n">
        <f aca="false">C59+D59</f>
        <v>200000</v>
      </c>
      <c r="T33" s="1348" t="n">
        <f aca="false">+S33/Y33</f>
        <v>66666.6666666667</v>
      </c>
      <c r="U33" s="1349" t="n">
        <f aca="false">IF($Y33&gt;=2,$S33/$Y33,0)</f>
        <v>66666.6666666667</v>
      </c>
      <c r="V33" s="1348" t="n">
        <f aca="false">IF($Y33&gt;=3,$S33/$Y33,0)</f>
        <v>66666.6666666667</v>
      </c>
      <c r="W33" s="1348" t="n">
        <f aca="false">IF($Y33&gt;=4,$S33/$Y33,0)</f>
        <v>0</v>
      </c>
      <c r="X33" s="1348" t="n">
        <f aca="false">IF($Y33&gt;=5,$S33/$Y33,0)</f>
        <v>0</v>
      </c>
      <c r="Y33" s="1350" t="n">
        <f aca="false">ROUND(100/($B$87*100),0)</f>
        <v>3</v>
      </c>
    </row>
    <row r="34" customFormat="false" ht="15" hidden="true" customHeight="false" outlineLevel="0" collapsed="false">
      <c r="A34" s="524" t="s">
        <v>805</v>
      </c>
      <c r="B34" s="48"/>
      <c r="C34" s="1375"/>
      <c r="D34" s="1382" t="n">
        <v>0</v>
      </c>
      <c r="E34" s="2"/>
      <c r="F34" s="1341" t="n">
        <v>0</v>
      </c>
      <c r="G34" s="1139"/>
      <c r="H34" s="1341" t="n">
        <v>0</v>
      </c>
      <c r="I34" s="293"/>
      <c r="J34" s="1341" t="n">
        <v>0</v>
      </c>
      <c r="K34" s="293"/>
      <c r="L34" s="1342" t="n">
        <v>0</v>
      </c>
      <c r="O34" s="682"/>
      <c r="P34" s="48"/>
      <c r="R34" s="1350"/>
      <c r="S34" s="1356" t="n">
        <f aca="false">C60+D60</f>
        <v>45000</v>
      </c>
      <c r="T34" s="1348" t="n">
        <f aca="false">+S34/Y34</f>
        <v>9000</v>
      </c>
      <c r="U34" s="1349" t="n">
        <f aca="false">IF($Y34&gt;=2,$S34/$Y34,0)</f>
        <v>9000</v>
      </c>
      <c r="V34" s="1348" t="n">
        <f aca="false">IF($Y34&gt;=3,$S34/$Y34,0)</f>
        <v>9000</v>
      </c>
      <c r="W34" s="1348" t="n">
        <f aca="false">IF($Y34&gt;=4,$S34/$Y34,0)</f>
        <v>9000</v>
      </c>
      <c r="X34" s="1348" t="n">
        <f aca="false">IF($Y34&gt;=5,$S34/$Y34,0)</f>
        <v>9000</v>
      </c>
      <c r="Y34" s="1350" t="n">
        <f aca="false">ROUND(100/($B$88*100),0)</f>
        <v>5</v>
      </c>
    </row>
    <row r="35" customFormat="false" ht="15" hidden="true" customHeight="false" outlineLevel="0" collapsed="false">
      <c r="A35" s="524" t="s">
        <v>822</v>
      </c>
      <c r="B35" s="48"/>
      <c r="C35" s="1375"/>
      <c r="D35" s="1382" t="n">
        <v>0</v>
      </c>
      <c r="E35" s="2"/>
      <c r="F35" s="1341" t="n">
        <v>0</v>
      </c>
      <c r="G35" s="1139"/>
      <c r="H35" s="1341" t="n">
        <v>0</v>
      </c>
      <c r="I35" s="293"/>
      <c r="J35" s="1341" t="n">
        <v>0</v>
      </c>
      <c r="K35" s="172"/>
      <c r="L35" s="1342" t="n">
        <v>0</v>
      </c>
      <c r="O35" s="682"/>
      <c r="P35" s="48"/>
      <c r="R35" s="1350"/>
      <c r="S35" s="1356" t="n">
        <f aca="false">C61+D61</f>
        <v>40000</v>
      </c>
      <c r="T35" s="1348" t="n">
        <f aca="false">+S35/Y35</f>
        <v>8000</v>
      </c>
      <c r="U35" s="1349" t="n">
        <f aca="false">IF($Y35&gt;=2,$S35/$Y35,0)</f>
        <v>8000</v>
      </c>
      <c r="V35" s="1348" t="n">
        <f aca="false">IF($Y35&gt;=3,$S35/$Y35,0)</f>
        <v>8000</v>
      </c>
      <c r="W35" s="1348" t="n">
        <f aca="false">IF($Y35&gt;=4,$S35/$Y35,0)</f>
        <v>8000</v>
      </c>
      <c r="X35" s="1348" t="n">
        <f aca="false">IF($Y35&gt;=5,$S35/$Y35,0)</f>
        <v>8000</v>
      </c>
      <c r="Y35" s="1350" t="n">
        <f aca="false">ROUND(100/($B$89*100),0)</f>
        <v>5</v>
      </c>
    </row>
    <row r="36" customFormat="false" ht="15" hidden="true" customHeight="false" outlineLevel="0" collapsed="false">
      <c r="A36" s="524" t="s">
        <v>807</v>
      </c>
      <c r="B36" s="48"/>
      <c r="C36" s="1375"/>
      <c r="D36" s="1382" t="n">
        <v>0</v>
      </c>
      <c r="E36" s="2"/>
      <c r="F36" s="1341" t="n">
        <v>0</v>
      </c>
      <c r="G36" s="1139"/>
      <c r="H36" s="1341" t="n">
        <v>0</v>
      </c>
      <c r="I36" s="293"/>
      <c r="J36" s="1341" t="n">
        <v>0</v>
      </c>
      <c r="K36" s="293"/>
      <c r="L36" s="1342" t="n">
        <v>0</v>
      </c>
      <c r="O36" s="682"/>
      <c r="P36" s="48"/>
      <c r="R36" s="1350"/>
      <c r="S36" s="1356" t="n">
        <f aca="false">C62+D62</f>
        <v>130000</v>
      </c>
      <c r="T36" s="1348" t="e">
        <f aca="false">+S36/Y36</f>
        <v>#DIV/0!</v>
      </c>
      <c r="U36" s="1349" t="e">
        <f aca="false">IF($Y36&gt;=2,$S36/$Y36,0)</f>
        <v>#DIV/0!</v>
      </c>
      <c r="V36" s="1348" t="e">
        <f aca="false">IF($Y36&gt;=3,$S36/$Y36,0)</f>
        <v>#DIV/0!</v>
      </c>
      <c r="W36" s="1348" t="e">
        <f aca="false">IF($Y36&gt;=4,$S36/$Y36,0)</f>
        <v>#DIV/0!</v>
      </c>
      <c r="X36" s="1348" t="e">
        <f aca="false">IF($Y36&gt;=5,$S36/$Y36,0)</f>
        <v>#DIV/0!</v>
      </c>
      <c r="Y36" s="1350" t="e">
        <f aca="false">ROUND(100/($B$90*100),0)</f>
        <v>#DIV/0!</v>
      </c>
    </row>
    <row r="37" customFormat="false" ht="15" hidden="true" customHeight="false" outlineLevel="0" collapsed="false">
      <c r="A37" s="524" t="s">
        <v>809</v>
      </c>
      <c r="B37" s="48"/>
      <c r="C37" s="1375"/>
      <c r="D37" s="1382" t="n">
        <v>0</v>
      </c>
      <c r="E37" s="2"/>
      <c r="F37" s="1341" t="n">
        <v>0</v>
      </c>
      <c r="G37" s="1139"/>
      <c r="H37" s="1341" t="n">
        <v>0</v>
      </c>
      <c r="I37" s="293"/>
      <c r="J37" s="1341" t="n">
        <v>0</v>
      </c>
      <c r="K37" s="293"/>
      <c r="L37" s="1342" t="n">
        <v>0</v>
      </c>
      <c r="O37" s="682"/>
      <c r="P37" s="48"/>
      <c r="R37" s="1350"/>
      <c r="S37" s="1356" t="n">
        <f aca="false">C63+D63</f>
        <v>0</v>
      </c>
      <c r="T37" s="1348" t="e">
        <f aca="false">+S37/Y37</f>
        <v>#DIV/0!</v>
      </c>
      <c r="U37" s="1349" t="e">
        <f aca="false">IF($Y37&gt;=2,$S37/$Y37,0)</f>
        <v>#DIV/0!</v>
      </c>
      <c r="V37" s="1348" t="e">
        <f aca="false">IF($Y37&gt;=3,$S37/$Y37,0)</f>
        <v>#DIV/0!</v>
      </c>
      <c r="W37" s="1348" t="e">
        <f aca="false">IF($Y37&gt;=4,$S37/$Y37,0)</f>
        <v>#DIV/0!</v>
      </c>
      <c r="X37" s="1348" t="e">
        <f aca="false">IF($Y37&gt;=5,$S37/$Y37,0)</f>
        <v>#DIV/0!</v>
      </c>
      <c r="Y37" s="1350" t="e">
        <f aca="false">ROUND(100/($B$91*100),0)</f>
        <v>#DIV/0!</v>
      </c>
    </row>
    <row r="38" customFormat="false" ht="15" hidden="true" customHeight="false" outlineLevel="0" collapsed="false">
      <c r="A38" s="524" t="s">
        <v>811</v>
      </c>
      <c r="B38" s="48"/>
      <c r="C38" s="1375"/>
      <c r="D38" s="1382" t="n">
        <v>0</v>
      </c>
      <c r="E38" s="172"/>
      <c r="F38" s="1341" t="n">
        <v>0</v>
      </c>
      <c r="G38" s="1139"/>
      <c r="H38" s="1341" t="n">
        <v>0</v>
      </c>
      <c r="I38" s="293"/>
      <c r="J38" s="1341" t="n">
        <v>0</v>
      </c>
      <c r="K38" s="293"/>
      <c r="L38" s="1342" t="n">
        <v>0</v>
      </c>
      <c r="O38" s="682"/>
      <c r="P38" s="48"/>
      <c r="R38" s="1350"/>
      <c r="S38" s="1356" t="n">
        <f aca="false">C64+D64</f>
        <v>0</v>
      </c>
      <c r="T38" s="1348" t="e">
        <f aca="false">+S38/Y38</f>
        <v>#DIV/0!</v>
      </c>
      <c r="U38" s="1349" t="e">
        <f aca="false">IF($Y38&gt;=2,$S38/$Y38,0)</f>
        <v>#DIV/0!</v>
      </c>
      <c r="V38" s="1348" t="e">
        <f aca="false">IF($Y38&gt;=3,$S38/$Y38,0)</f>
        <v>#DIV/0!</v>
      </c>
      <c r="W38" s="1348" t="e">
        <f aca="false">IF($Y38&gt;=4,$S38/$Y38,0)</f>
        <v>#DIV/0!</v>
      </c>
      <c r="X38" s="1348" t="e">
        <f aca="false">IF($Y38&gt;=5,$S38/$Y38,0)</f>
        <v>#DIV/0!</v>
      </c>
      <c r="Y38" s="1350" t="e">
        <f aca="false">ROUND(100/($B$91*100),0)</f>
        <v>#DIV/0!</v>
      </c>
    </row>
    <row r="39" customFormat="false" ht="15" hidden="true" customHeight="false" outlineLevel="0" collapsed="false">
      <c r="A39" s="52" t="s">
        <v>812</v>
      </c>
      <c r="B39" s="48"/>
      <c r="C39" s="1375"/>
      <c r="D39" s="1382" t="n">
        <v>0</v>
      </c>
      <c r="E39" s="2"/>
      <c r="F39" s="1341" t="n">
        <v>0</v>
      </c>
      <c r="G39" s="1139"/>
      <c r="H39" s="1341" t="n">
        <v>0</v>
      </c>
      <c r="I39" s="293"/>
      <c r="J39" s="1341" t="n">
        <v>0</v>
      </c>
      <c r="K39" s="293"/>
      <c r="L39" s="1342" t="n">
        <v>0</v>
      </c>
      <c r="O39" s="682"/>
      <c r="P39" s="48"/>
      <c r="R39" s="1355" t="n">
        <f aca="false">+F6</f>
        <v>2020</v>
      </c>
      <c r="S39" s="1356" t="n">
        <f aca="false">+F57</f>
        <v>0</v>
      </c>
      <c r="T39" s="1350"/>
      <c r="U39" s="1357" t="n">
        <v>0</v>
      </c>
      <c r="V39" s="1349" t="n">
        <f aca="false">IF($Y39&gt;=2,$S39/$Y39,0)</f>
        <v>0</v>
      </c>
      <c r="W39" s="1348" t="n">
        <f aca="false">IF($Y39&gt;=3,$S39/$Y39,0)</f>
        <v>0</v>
      </c>
      <c r="X39" s="1348" t="n">
        <f aca="false">IF($Y39&gt;=4,$S39/$Y39,0)</f>
        <v>0</v>
      </c>
      <c r="Y39" s="1383"/>
    </row>
    <row r="40" customFormat="false" ht="15" hidden="true" customHeight="false" outlineLevel="0" collapsed="false">
      <c r="A40" s="52" t="s">
        <v>813</v>
      </c>
      <c r="B40" s="48"/>
      <c r="C40" s="1375"/>
      <c r="D40" s="1384" t="n">
        <v>0</v>
      </c>
      <c r="E40" s="2"/>
      <c r="F40" s="1353" t="n">
        <v>0</v>
      </c>
      <c r="G40" s="1139"/>
      <c r="H40" s="1353" t="n">
        <v>0</v>
      </c>
      <c r="I40" s="293"/>
      <c r="J40" s="1353" t="n">
        <v>0</v>
      </c>
      <c r="K40" s="293"/>
      <c r="L40" s="1354" t="n">
        <v>0</v>
      </c>
      <c r="O40" s="682"/>
      <c r="P40" s="48"/>
      <c r="R40" s="1350"/>
      <c r="S40" s="1356" t="n">
        <f aca="false">+F58</f>
        <v>10000</v>
      </c>
      <c r="T40" s="1350"/>
      <c r="U40" s="1357" t="n">
        <f aca="false">+S40/Y40</f>
        <v>500</v>
      </c>
      <c r="V40" s="1349" t="n">
        <f aca="false">IF($Y40&gt;=2,$S40/$Y40,0)</f>
        <v>500</v>
      </c>
      <c r="W40" s="1348" t="n">
        <f aca="false">IF($Y40&gt;=3,$S40/$Y40,0)</f>
        <v>500</v>
      </c>
      <c r="X40" s="1348" t="n">
        <f aca="false">IF($Y40&gt;=4,$S40/$Y40,0)</f>
        <v>500</v>
      </c>
      <c r="Y40" s="1350" t="n">
        <f aca="false">ROUND(100/($B$86*100),0)</f>
        <v>20</v>
      </c>
    </row>
    <row r="41" customFormat="false" ht="15" hidden="true" customHeight="false" outlineLevel="0" collapsed="false">
      <c r="A41" s="524" t="s">
        <v>814</v>
      </c>
      <c r="B41" s="48"/>
      <c r="C41" s="1375"/>
      <c r="D41" s="1385" t="n">
        <f aca="false">SUM(D33:D40)</f>
        <v>0</v>
      </c>
      <c r="E41" s="2"/>
      <c r="F41" s="957" t="n">
        <f aca="false">SUM(F33:F40)</f>
        <v>0</v>
      </c>
      <c r="G41" s="1139"/>
      <c r="H41" s="957" t="n">
        <f aca="false">SUM(H33:H40)</f>
        <v>0</v>
      </c>
      <c r="I41" s="293"/>
      <c r="J41" s="957" t="n">
        <f aca="false">SUM(J33:J40)</f>
        <v>0</v>
      </c>
      <c r="K41" s="293"/>
      <c r="L41" s="1365" t="n">
        <f aca="false">SUM(L33:L40)</f>
        <v>0</v>
      </c>
      <c r="O41" s="682"/>
      <c r="P41" s="48"/>
      <c r="R41" s="1350"/>
      <c r="S41" s="1356" t="n">
        <f aca="false">+F59</f>
        <v>20000</v>
      </c>
      <c r="T41" s="1350"/>
      <c r="U41" s="1357" t="n">
        <f aca="false">+S41/Y41</f>
        <v>6666.66666666667</v>
      </c>
      <c r="V41" s="1349" t="n">
        <f aca="false">IF($Y41&gt;=2,$S41/$Y41,0)</f>
        <v>6666.66666666667</v>
      </c>
      <c r="W41" s="1348" t="n">
        <f aca="false">IF($Y41&gt;=3,$S41/$Y41,0)</f>
        <v>6666.66666666667</v>
      </c>
      <c r="X41" s="1348" t="n">
        <f aca="false">IF($Y41&gt;=4,$S41/$Y41,0)</f>
        <v>0</v>
      </c>
      <c r="Y41" s="1350" t="n">
        <f aca="false">ROUND(100/($B$87*100),0)</f>
        <v>3</v>
      </c>
    </row>
    <row r="42" customFormat="false" ht="15" hidden="true" customHeight="false" outlineLevel="0" collapsed="false">
      <c r="A42" s="52"/>
      <c r="B42" s="48"/>
      <c r="C42" s="1375"/>
      <c r="D42" s="120"/>
      <c r="E42" s="2"/>
      <c r="F42" s="1186"/>
      <c r="G42" s="1139"/>
      <c r="H42" s="1186"/>
      <c r="I42" s="293"/>
      <c r="J42" s="957"/>
      <c r="K42" s="293"/>
      <c r="L42" s="120"/>
      <c r="O42" s="682"/>
      <c r="P42" s="48"/>
      <c r="R42" s="1350"/>
      <c r="S42" s="1356" t="n">
        <f aca="false">+F60</f>
        <v>2000</v>
      </c>
      <c r="T42" s="1350"/>
      <c r="U42" s="1357" t="n">
        <f aca="false">+S42/Y42</f>
        <v>400</v>
      </c>
      <c r="V42" s="1349" t="n">
        <f aca="false">IF($Y42&gt;=2,$S42/$Y42,0)</f>
        <v>400</v>
      </c>
      <c r="W42" s="1348" t="n">
        <f aca="false">IF($Y42&gt;=3,$S42/$Y42,0)</f>
        <v>400</v>
      </c>
      <c r="X42" s="1348" t="n">
        <f aca="false">IF($Y42&gt;=4,$S42/$Y42,0)</f>
        <v>400</v>
      </c>
      <c r="Y42" s="1350" t="n">
        <f aca="false">ROUND(100/($B$88*100),0)</f>
        <v>5</v>
      </c>
    </row>
    <row r="43" customFormat="false" ht="15" hidden="true" customHeight="false" outlineLevel="0" collapsed="false">
      <c r="A43" s="52" t="s">
        <v>815</v>
      </c>
      <c r="B43" s="48"/>
      <c r="C43" s="1375"/>
      <c r="D43" s="1377" t="n">
        <v>0</v>
      </c>
      <c r="E43" s="2"/>
      <c r="F43" s="1341" t="n">
        <v>0</v>
      </c>
      <c r="G43" s="1139"/>
      <c r="H43" s="1341" t="n">
        <v>0</v>
      </c>
      <c r="I43" s="293"/>
      <c r="J43" s="1341" t="n">
        <v>0</v>
      </c>
      <c r="K43" s="293"/>
      <c r="L43" s="1342" t="n">
        <v>0</v>
      </c>
      <c r="O43" s="682"/>
      <c r="P43" s="48"/>
      <c r="R43" s="1350"/>
      <c r="S43" s="1356" t="n">
        <f aca="false">+F61</f>
        <v>1613</v>
      </c>
      <c r="T43" s="1350"/>
      <c r="U43" s="1357" t="n">
        <f aca="false">+S43/Y43</f>
        <v>322.6</v>
      </c>
      <c r="V43" s="1349" t="n">
        <f aca="false">IF($Y43&gt;=2,$S43/$Y43,0)</f>
        <v>322.6</v>
      </c>
      <c r="W43" s="1348" t="n">
        <f aca="false">IF($Y43&gt;=3,$S43/$Y43,0)</f>
        <v>322.6</v>
      </c>
      <c r="X43" s="1348" t="n">
        <f aca="false">IF($Y43&gt;=4,$S43/$Y43,0)</f>
        <v>322.6</v>
      </c>
      <c r="Y43" s="1350" t="n">
        <f aca="false">ROUND(100/($B$89*100),0)</f>
        <v>5</v>
      </c>
    </row>
    <row r="44" customFormat="false" ht="15" hidden="true" customHeight="false" outlineLevel="0" collapsed="false">
      <c r="A44" s="52"/>
      <c r="B44" s="48"/>
      <c r="C44" s="1375"/>
      <c r="D44" s="1174"/>
      <c r="E44" s="184"/>
      <c r="F44" s="862"/>
      <c r="G44" s="1082"/>
      <c r="H44" s="862"/>
      <c r="I44" s="1083"/>
      <c r="J44" s="862"/>
      <c r="K44" s="1083"/>
      <c r="L44" s="1174"/>
      <c r="O44" s="682"/>
      <c r="P44" s="48"/>
      <c r="R44" s="1350"/>
      <c r="S44" s="1356" t="n">
        <f aca="false">+F62</f>
        <v>22581</v>
      </c>
      <c r="T44" s="1350"/>
      <c r="U44" s="1357" t="e">
        <f aca="false">+S44/Y44</f>
        <v>#DIV/0!</v>
      </c>
      <c r="V44" s="1349" t="e">
        <f aca="false">IF($Y44&gt;=2,$S44/$Y44,0)</f>
        <v>#DIV/0!</v>
      </c>
      <c r="W44" s="1348" t="e">
        <f aca="false">IF($Y44&gt;=3,$S44/$Y44,0)</f>
        <v>#DIV/0!</v>
      </c>
      <c r="X44" s="1348" t="e">
        <f aca="false">IF($Y44&gt;=4,$S44/$Y44,0)</f>
        <v>#DIV/0!</v>
      </c>
      <c r="Y44" s="1350" t="e">
        <f aca="false">ROUND(100/($B$90*100),0)</f>
        <v>#DIV/0!</v>
      </c>
    </row>
    <row r="45" customFormat="false" ht="15" hidden="true" customHeight="false" outlineLevel="0" collapsed="false">
      <c r="A45" s="52" t="s">
        <v>823</v>
      </c>
      <c r="B45" s="48"/>
      <c r="C45" s="1375"/>
      <c r="D45" s="1386" t="n">
        <f aca="false">D30+D41+D43</f>
        <v>0</v>
      </c>
      <c r="E45" s="1000"/>
      <c r="F45" s="957" t="n">
        <f aca="false">F30+F41+F43</f>
        <v>0</v>
      </c>
      <c r="G45" s="184"/>
      <c r="H45" s="957" t="n">
        <f aca="false">H30+H41+H43</f>
        <v>0</v>
      </c>
      <c r="I45" s="184"/>
      <c r="J45" s="957" t="n">
        <f aca="false">J30+J41+J43</f>
        <v>0</v>
      </c>
      <c r="K45" s="184"/>
      <c r="L45" s="1365" t="n">
        <f aca="false">L30+L41+L43</f>
        <v>0</v>
      </c>
      <c r="M45" s="1387"/>
      <c r="O45" s="682"/>
      <c r="P45" s="48"/>
      <c r="R45" s="1350"/>
      <c r="S45" s="1356" t="n">
        <f aca="false">+F63</f>
        <v>0</v>
      </c>
      <c r="T45" s="1350"/>
      <c r="U45" s="1357" t="e">
        <f aca="false">+S45/Y45</f>
        <v>#DIV/0!</v>
      </c>
      <c r="V45" s="1349" t="e">
        <f aca="false">IF($Y45&gt;=2,$S45/$Y45,0)</f>
        <v>#DIV/0!</v>
      </c>
      <c r="W45" s="1348" t="e">
        <f aca="false">IF($Y45&gt;=3,$S45/$Y45,0)</f>
        <v>#DIV/0!</v>
      </c>
      <c r="X45" s="1348" t="e">
        <f aca="false">IF($Y45&gt;=4,$S45/$Y45,0)</f>
        <v>#DIV/0!</v>
      </c>
      <c r="Y45" s="1350" t="e">
        <f aca="false">ROUND(100/($B$91*100),0)</f>
        <v>#DIV/0!</v>
      </c>
    </row>
    <row r="46" customFormat="false" ht="15" hidden="true" customHeight="false" outlineLevel="0" collapsed="false">
      <c r="A46" s="52"/>
      <c r="B46" s="48"/>
      <c r="C46" s="1375"/>
      <c r="D46" s="1174"/>
      <c r="E46" s="184"/>
      <c r="F46" s="862"/>
      <c r="G46" s="1082"/>
      <c r="H46" s="862"/>
      <c r="I46" s="1083"/>
      <c r="J46" s="862"/>
      <c r="K46" s="1083"/>
      <c r="L46" s="1174"/>
      <c r="O46" s="682"/>
      <c r="P46" s="48"/>
      <c r="R46" s="1350"/>
      <c r="S46" s="1356" t="n">
        <f aca="false">+F64</f>
        <v>0</v>
      </c>
      <c r="T46" s="1350"/>
      <c r="U46" s="1357" t="e">
        <f aca="false">+S46/Y46</f>
        <v>#DIV/0!</v>
      </c>
      <c r="V46" s="1349" t="e">
        <f aca="false">IF($Y46&gt;=2,$S46/$Y46,0)</f>
        <v>#DIV/0!</v>
      </c>
      <c r="W46" s="1348" t="e">
        <f aca="false">IF($Y46&gt;=3,$S46/$Y46,0)</f>
        <v>#DIV/0!</v>
      </c>
      <c r="X46" s="1348" t="e">
        <f aca="false">IF($Y46&gt;=4,$S46/$Y46,0)</f>
        <v>#DIV/0!</v>
      </c>
      <c r="Y46" s="1350" t="e">
        <f aca="false">ROUND(100/($B$92*100),0)</f>
        <v>#DIV/0!</v>
      </c>
    </row>
    <row r="47" customFormat="false" ht="15" hidden="true" customHeight="false" outlineLevel="0" collapsed="false">
      <c r="A47" s="314"/>
      <c r="B47" s="314"/>
      <c r="C47" s="1388"/>
      <c r="D47" s="1389"/>
      <c r="E47" s="688"/>
      <c r="F47" s="1389"/>
      <c r="G47" s="1390"/>
      <c r="H47" s="1389"/>
      <c r="I47" s="1389"/>
      <c r="J47" s="1389"/>
      <c r="K47" s="1389"/>
      <c r="L47" s="1389"/>
      <c r="M47" s="16"/>
      <c r="O47" s="682"/>
      <c r="P47" s="48"/>
      <c r="R47" s="1355" t="n">
        <f aca="false">+H6</f>
        <v>2021</v>
      </c>
      <c r="S47" s="1256" t="n">
        <f aca="false">+H57</f>
        <v>0</v>
      </c>
      <c r="T47" s="1350"/>
      <c r="U47" s="1350"/>
      <c r="V47" s="1357" t="n">
        <v>0</v>
      </c>
      <c r="W47" s="1349" t="n">
        <f aca="false">IF($Y47&gt;=2,$S47/$Y47,0)</f>
        <v>0</v>
      </c>
      <c r="X47" s="1348" t="n">
        <f aca="false">IF($Y47&gt;=3,$S47/$Y47,0)</f>
        <v>0</v>
      </c>
      <c r="Y47" s="1391"/>
    </row>
    <row r="48" s="23" customFormat="true" ht="18" hidden="false" customHeight="false" outlineLevel="0" collapsed="false">
      <c r="A48" s="1392" t="s">
        <v>824</v>
      </c>
      <c r="B48" s="1393"/>
      <c r="C48" s="1393"/>
      <c r="D48" s="332"/>
      <c r="E48" s="1394"/>
      <c r="F48" s="1394"/>
      <c r="G48" s="1394"/>
      <c r="H48" s="1395"/>
      <c r="I48" s="1394"/>
      <c r="J48" s="1394"/>
      <c r="K48" s="1394"/>
      <c r="L48" s="1396"/>
      <c r="M48" s="1312"/>
      <c r="O48" s="1397"/>
      <c r="P48" s="1398"/>
      <c r="Q48" s="4"/>
      <c r="R48" s="1350"/>
      <c r="S48" s="1256" t="n">
        <f aca="false">+H58</f>
        <v>10000</v>
      </c>
      <c r="T48" s="1350"/>
      <c r="U48" s="1350"/>
      <c r="V48" s="1357" t="n">
        <f aca="false">+S48/Y48</f>
        <v>500</v>
      </c>
      <c r="W48" s="1349" t="n">
        <f aca="false">IF($Y48&gt;=2,$S48/$Y48,0)</f>
        <v>500</v>
      </c>
      <c r="X48" s="1348" t="n">
        <f aca="false">IF($Y48&gt;=3,$S48/$Y48,0)</f>
        <v>500</v>
      </c>
      <c r="Y48" s="1350" t="n">
        <f aca="false">ROUND(100/($B$86*100),0)</f>
        <v>20</v>
      </c>
      <c r="Z48" s="4"/>
      <c r="AA48" s="4"/>
      <c r="AB48" s="4"/>
    </row>
    <row r="49" customFormat="false" ht="15" hidden="false" customHeight="false" outlineLevel="0" collapsed="false">
      <c r="A49" s="506"/>
      <c r="B49" s="257"/>
      <c r="C49" s="1308" t="s">
        <v>825</v>
      </c>
      <c r="D49" s="877"/>
      <c r="E49" s="1148"/>
      <c r="F49" s="1148"/>
      <c r="G49" s="1148"/>
      <c r="H49" s="1148"/>
      <c r="I49" s="1148"/>
      <c r="J49" s="1148"/>
      <c r="K49" s="1294"/>
      <c r="L49" s="877"/>
      <c r="R49" s="1350"/>
      <c r="S49" s="1256" t="n">
        <f aca="false">+H59</f>
        <v>20000</v>
      </c>
      <c r="T49" s="1350"/>
      <c r="U49" s="1350"/>
      <c r="V49" s="1357" t="n">
        <f aca="false">+S49/Y49</f>
        <v>6666.66666666667</v>
      </c>
      <c r="W49" s="1349" t="n">
        <f aca="false">IF($Y49&gt;=2,$S49/$Y49,0)</f>
        <v>6666.66666666667</v>
      </c>
      <c r="X49" s="1348" t="n">
        <f aca="false">IF($Y49&gt;=3,$S49/$Y49,0)</f>
        <v>6666.66666666667</v>
      </c>
      <c r="Y49" s="1350" t="n">
        <f aca="false">ROUND(100/($B$87*100),0)</f>
        <v>3</v>
      </c>
    </row>
    <row r="50" customFormat="false" ht="15" hidden="false" customHeight="false" outlineLevel="0" collapsed="false">
      <c r="A50" s="52" t="s">
        <v>802</v>
      </c>
      <c r="B50" s="48"/>
      <c r="C50" s="1308" t="s">
        <v>826</v>
      </c>
      <c r="D50" s="875"/>
      <c r="E50" s="996"/>
      <c r="F50" s="876"/>
      <c r="G50" s="996"/>
      <c r="H50" s="876"/>
      <c r="I50" s="996"/>
      <c r="J50" s="876"/>
      <c r="K50" s="996"/>
      <c r="L50" s="875"/>
      <c r="R50" s="1350"/>
      <c r="S50" s="1256" t="n">
        <f aca="false">+H60</f>
        <v>2000</v>
      </c>
      <c r="T50" s="1350"/>
      <c r="U50" s="1350"/>
      <c r="V50" s="1357" t="n">
        <f aca="false">+S50/Y50</f>
        <v>400</v>
      </c>
      <c r="W50" s="1349" t="n">
        <f aca="false">IF($Y50&gt;=2,$S50/$Y50,0)</f>
        <v>400</v>
      </c>
      <c r="X50" s="1348" t="n">
        <f aca="false">IF($Y50&gt;=3,$S50/$Y50,0)</f>
        <v>400</v>
      </c>
      <c r="Y50" s="1350" t="n">
        <f aca="false">ROUND(100/($B$88*100),0)</f>
        <v>5</v>
      </c>
    </row>
    <row r="51" customFormat="false" ht="15" hidden="false" customHeight="false" outlineLevel="0" collapsed="false">
      <c r="A51" s="52" t="s">
        <v>827</v>
      </c>
      <c r="B51" s="48"/>
      <c r="C51" s="1399" t="n">
        <v>0</v>
      </c>
      <c r="D51" s="1400" t="n">
        <v>16129</v>
      </c>
      <c r="E51" s="996"/>
      <c r="F51" s="997" t="n">
        <v>0</v>
      </c>
      <c r="G51" s="996"/>
      <c r="H51" s="997" t="n">
        <v>0</v>
      </c>
      <c r="I51" s="996"/>
      <c r="J51" s="997" t="n">
        <v>0</v>
      </c>
      <c r="K51" s="996"/>
      <c r="L51" s="951" t="n">
        <v>0</v>
      </c>
      <c r="R51" s="1350"/>
      <c r="S51" s="1256" t="n">
        <f aca="false">+H61</f>
        <v>1935</v>
      </c>
      <c r="T51" s="1350"/>
      <c r="U51" s="1350"/>
      <c r="V51" s="1357" t="n">
        <f aca="false">+S51/Y51</f>
        <v>387</v>
      </c>
      <c r="W51" s="1349" t="n">
        <f aca="false">IF($Y51&gt;=2,$S51/$Y51,0)</f>
        <v>387</v>
      </c>
      <c r="X51" s="1348" t="n">
        <f aca="false">IF($Y51&gt;=3,$S51/$Y51,0)</f>
        <v>387</v>
      </c>
      <c r="Y51" s="1350" t="n">
        <f aca="false">ROUND(100/($B$89*100),0)</f>
        <v>5</v>
      </c>
    </row>
    <row r="52" customFormat="false" ht="15" hidden="false" customHeight="false" outlineLevel="0" collapsed="false">
      <c r="A52" s="52" t="s">
        <v>828</v>
      </c>
      <c r="B52" s="86"/>
      <c r="C52" s="1399" t="n">
        <v>0</v>
      </c>
      <c r="D52" s="1401" t="n">
        <v>16129</v>
      </c>
      <c r="E52" s="996"/>
      <c r="F52" s="997" t="n">
        <v>0</v>
      </c>
      <c r="G52" s="996"/>
      <c r="H52" s="997" t="n">
        <v>0</v>
      </c>
      <c r="I52" s="996"/>
      <c r="J52" s="997" t="n">
        <v>0</v>
      </c>
      <c r="K52" s="996"/>
      <c r="L52" s="951" t="n">
        <v>0</v>
      </c>
      <c r="R52" s="1350"/>
      <c r="S52" s="1256" t="n">
        <f aca="false">+H62</f>
        <v>25806</v>
      </c>
      <c r="T52" s="1350"/>
      <c r="U52" s="1350"/>
      <c r="V52" s="1357" t="e">
        <f aca="false">+S52/Y52</f>
        <v>#DIV/0!</v>
      </c>
      <c r="W52" s="1349" t="e">
        <f aca="false">IF($Y52&gt;=2,$S52/$Y52,0)</f>
        <v>#DIV/0!</v>
      </c>
      <c r="X52" s="1348" t="e">
        <f aca="false">IF($Y52&gt;=3,$S52/$Y52,0)</f>
        <v>#DIV/0!</v>
      </c>
      <c r="Y52" s="1350" t="e">
        <f aca="false">ROUND(100/($B$90*100),0)</f>
        <v>#DIV/0!</v>
      </c>
    </row>
    <row r="53" customFormat="false" ht="15" hidden="false" customHeight="false" outlineLevel="0" collapsed="false">
      <c r="A53" s="52" t="s">
        <v>829</v>
      </c>
      <c r="B53" s="86"/>
      <c r="C53" s="1402" t="n">
        <v>0</v>
      </c>
      <c r="D53" s="1403" t="n">
        <v>0</v>
      </c>
      <c r="E53" s="996"/>
      <c r="F53" s="1014" t="n">
        <v>0</v>
      </c>
      <c r="G53" s="996"/>
      <c r="H53" s="1014" t="n">
        <v>0</v>
      </c>
      <c r="I53" s="996"/>
      <c r="J53" s="1014" t="n">
        <v>0</v>
      </c>
      <c r="K53" s="996"/>
      <c r="L53" s="1013" t="n">
        <v>0</v>
      </c>
      <c r="R53" s="1350"/>
      <c r="S53" s="1256" t="n">
        <f aca="false">+H63</f>
        <v>0</v>
      </c>
      <c r="T53" s="1350"/>
      <c r="U53" s="1350"/>
      <c r="V53" s="1357" t="e">
        <f aca="false">+S53/Y53</f>
        <v>#DIV/0!</v>
      </c>
      <c r="W53" s="1349" t="e">
        <f aca="false">IF($Y53&gt;=2,$S53/$Y53,0)</f>
        <v>#DIV/0!</v>
      </c>
      <c r="X53" s="1348" t="e">
        <f aca="false">IF($Y53&gt;=3,$S53/$Y53,0)</f>
        <v>#DIV/0!</v>
      </c>
      <c r="Y53" s="1350" t="e">
        <f aca="false">ROUND(100/($B$91*100),0)</f>
        <v>#DIV/0!</v>
      </c>
    </row>
    <row r="54" customFormat="false" ht="15" hidden="false" customHeight="false" outlineLevel="0" collapsed="false">
      <c r="A54" s="52" t="s">
        <v>830</v>
      </c>
      <c r="B54" s="48"/>
      <c r="C54" s="876" t="n">
        <f aca="false">SUM(C51:C53)</f>
        <v>0</v>
      </c>
      <c r="D54" s="1404" t="n">
        <f aca="false">SUM(D51:D53)</f>
        <v>32258</v>
      </c>
      <c r="E54" s="869"/>
      <c r="F54" s="925" t="n">
        <f aca="false">SUM(F51:F53)</f>
        <v>0</v>
      </c>
      <c r="G54" s="869"/>
      <c r="H54" s="925" t="n">
        <f aca="false">SUM(H51:H53)</f>
        <v>0</v>
      </c>
      <c r="I54" s="869"/>
      <c r="J54" s="925" t="n">
        <f aca="false">SUM(J51:J53)</f>
        <v>0</v>
      </c>
      <c r="K54" s="869"/>
      <c r="L54" s="924" t="n">
        <f aca="false">SUM(L51:L53)</f>
        <v>0</v>
      </c>
      <c r="R54" s="1350"/>
      <c r="S54" s="1256" t="n">
        <f aca="false">+H64</f>
        <v>0</v>
      </c>
      <c r="T54" s="1350"/>
      <c r="U54" s="1350"/>
      <c r="V54" s="1357" t="e">
        <f aca="false">+S54/Y54</f>
        <v>#DIV/0!</v>
      </c>
      <c r="W54" s="1349" t="e">
        <f aca="false">IF($Y54&gt;=2,$S54/$Y54,0)</f>
        <v>#DIV/0!</v>
      </c>
      <c r="X54" s="1348" t="e">
        <f aca="false">IF($Y54&gt;=3,$S54/$Y54,0)</f>
        <v>#DIV/0!</v>
      </c>
      <c r="Y54" s="1350" t="e">
        <f aca="false">ROUND(100/($B$92*100),0)</f>
        <v>#DIV/0!</v>
      </c>
    </row>
    <row r="55" customFormat="false" ht="15" hidden="false" customHeight="false" outlineLevel="0" collapsed="false">
      <c r="A55" s="562"/>
      <c r="B55" s="48"/>
      <c r="C55" s="876"/>
      <c r="D55" s="875"/>
      <c r="E55" s="996"/>
      <c r="F55" s="876"/>
      <c r="G55" s="996"/>
      <c r="H55" s="876"/>
      <c r="I55" s="996"/>
      <c r="J55" s="876"/>
      <c r="K55" s="996"/>
      <c r="L55" s="875"/>
      <c r="R55" s="1355" t="n">
        <f aca="false">+J6</f>
        <v>2022</v>
      </c>
      <c r="S55" s="1256" t="n">
        <f aca="false">+J57</f>
        <v>0</v>
      </c>
      <c r="T55" s="1350"/>
      <c r="U55" s="1350"/>
      <c r="V55" s="1350"/>
      <c r="W55" s="1357" t="n">
        <v>0</v>
      </c>
      <c r="X55" s="1349" t="n">
        <f aca="false">IF($Y55&gt;=2,$S55/$Y55,0)</f>
        <v>0</v>
      </c>
      <c r="Y55" s="1391"/>
    </row>
    <row r="56" s="48" customFormat="true" ht="15" hidden="false" customHeight="false" outlineLevel="0" collapsed="false">
      <c r="A56" s="52" t="s">
        <v>831</v>
      </c>
      <c r="C56" s="876"/>
      <c r="D56" s="875"/>
      <c r="E56" s="996"/>
      <c r="F56" s="876"/>
      <c r="G56" s="996"/>
      <c r="H56" s="876"/>
      <c r="I56" s="996"/>
      <c r="J56" s="876"/>
      <c r="K56" s="996"/>
      <c r="L56" s="875"/>
      <c r="M56" s="16"/>
      <c r="Q56" s="4"/>
      <c r="R56" s="1405"/>
      <c r="S56" s="1256"/>
      <c r="T56" s="1350"/>
      <c r="U56" s="1350"/>
      <c r="V56" s="1350"/>
      <c r="W56" s="1350"/>
      <c r="X56" s="1350"/>
      <c r="Y56" s="1350"/>
      <c r="Z56" s="4"/>
      <c r="AA56" s="4"/>
      <c r="AB56" s="4"/>
    </row>
    <row r="57" customFormat="false" ht="15" hidden="false" customHeight="false" outlineLevel="0" collapsed="false">
      <c r="A57" s="524" t="s">
        <v>804</v>
      </c>
      <c r="B57" s="48"/>
      <c r="C57" s="1399" t="n">
        <v>0</v>
      </c>
      <c r="D57" s="1400" t="n">
        <v>650000</v>
      </c>
      <c r="E57" s="996"/>
      <c r="F57" s="997" t="n">
        <v>0</v>
      </c>
      <c r="G57" s="996"/>
      <c r="H57" s="997" t="n">
        <v>0</v>
      </c>
      <c r="I57" s="996"/>
      <c r="J57" s="997" t="n">
        <v>0</v>
      </c>
      <c r="K57" s="996"/>
      <c r="L57" s="951" t="n">
        <v>0</v>
      </c>
      <c r="R57" s="1350"/>
      <c r="S57" s="1256" t="n">
        <f aca="false">+J58</f>
        <v>10000</v>
      </c>
      <c r="T57" s="1350"/>
      <c r="U57" s="1350"/>
      <c r="V57" s="1350"/>
      <c r="W57" s="1357" t="n">
        <f aca="false">+S57/Y57</f>
        <v>500</v>
      </c>
      <c r="X57" s="1349" t="n">
        <f aca="false">IF($Y57&gt;=2,$S57/$Y57,0)</f>
        <v>500</v>
      </c>
      <c r="Y57" s="1350" t="n">
        <f aca="false">ROUND(100/($B$86*100),0)</f>
        <v>20</v>
      </c>
    </row>
    <row r="58" customFormat="false" ht="15" hidden="false" customHeight="false" outlineLevel="0" collapsed="false">
      <c r="A58" s="524" t="s">
        <v>805</v>
      </c>
      <c r="B58" s="48"/>
      <c r="C58" s="1399" t="n">
        <v>0</v>
      </c>
      <c r="D58" s="1401" t="n">
        <v>350000</v>
      </c>
      <c r="E58" s="996"/>
      <c r="F58" s="997" t="n">
        <v>10000</v>
      </c>
      <c r="G58" s="996"/>
      <c r="H58" s="997" t="n">
        <v>10000</v>
      </c>
      <c r="I58" s="996"/>
      <c r="J58" s="997" t="n">
        <v>10000</v>
      </c>
      <c r="K58" s="996"/>
      <c r="L58" s="951" t="n">
        <v>10000</v>
      </c>
      <c r="R58" s="1350"/>
      <c r="S58" s="1256" t="n">
        <f aca="false">+J59</f>
        <v>20000</v>
      </c>
      <c r="T58" s="1350"/>
      <c r="U58" s="1350"/>
      <c r="V58" s="1350"/>
      <c r="W58" s="1357" t="n">
        <f aca="false">+S58/Y58</f>
        <v>6666.66666666667</v>
      </c>
      <c r="X58" s="1349" t="n">
        <f aca="false">IF($Y58&gt;=2,$S58/$Y58,0)</f>
        <v>6666.66666666667</v>
      </c>
      <c r="Y58" s="1350" t="n">
        <f aca="false">ROUND(100/($B$87*100),0)</f>
        <v>3</v>
      </c>
    </row>
    <row r="59" customFormat="false" ht="15" hidden="false" customHeight="false" outlineLevel="0" collapsed="false">
      <c r="A59" s="524" t="s">
        <v>806</v>
      </c>
      <c r="B59" s="48"/>
      <c r="C59" s="1399" t="n">
        <v>0</v>
      </c>
      <c r="D59" s="1401" t="n">
        <v>200000</v>
      </c>
      <c r="E59" s="996"/>
      <c r="F59" s="997" t="n">
        <v>20000</v>
      </c>
      <c r="G59" s="996"/>
      <c r="H59" s="997" t="n">
        <v>20000</v>
      </c>
      <c r="I59" s="996"/>
      <c r="J59" s="997" t="n">
        <v>20000</v>
      </c>
      <c r="K59" s="996"/>
      <c r="L59" s="951" t="n">
        <v>20000</v>
      </c>
      <c r="R59" s="1350"/>
      <c r="S59" s="1256" t="n">
        <f aca="false">+J60</f>
        <v>2000</v>
      </c>
      <c r="T59" s="1350"/>
      <c r="U59" s="1350"/>
      <c r="V59" s="1350"/>
      <c r="W59" s="1357" t="n">
        <f aca="false">+S59/Y59</f>
        <v>400</v>
      </c>
      <c r="X59" s="1349" t="n">
        <f aca="false">IF($Y59&gt;=2,$S59/$Y59,0)</f>
        <v>400</v>
      </c>
      <c r="Y59" s="1350" t="n">
        <f aca="false">ROUND(100/($B$88*100),0)</f>
        <v>5</v>
      </c>
    </row>
    <row r="60" customFormat="false" ht="15" hidden="false" customHeight="false" outlineLevel="0" collapsed="false">
      <c r="A60" s="524" t="s">
        <v>807</v>
      </c>
      <c r="B60" s="48"/>
      <c r="C60" s="1399" t="n">
        <v>0</v>
      </c>
      <c r="D60" s="1401" t="n">
        <v>45000</v>
      </c>
      <c r="E60" s="996"/>
      <c r="F60" s="997" t="n">
        <v>2000</v>
      </c>
      <c r="G60" s="996"/>
      <c r="H60" s="997" t="n">
        <v>2000</v>
      </c>
      <c r="I60" s="996"/>
      <c r="J60" s="997" t="n">
        <v>2000</v>
      </c>
      <c r="K60" s="996"/>
      <c r="L60" s="951" t="n">
        <v>2000</v>
      </c>
      <c r="R60" s="1350"/>
      <c r="S60" s="1256" t="n">
        <f aca="false">+J61</f>
        <v>2581</v>
      </c>
      <c r="T60" s="1350"/>
      <c r="U60" s="1350"/>
      <c r="V60" s="1350"/>
      <c r="W60" s="1357" t="n">
        <f aca="false">+S60/Y60</f>
        <v>516.2</v>
      </c>
      <c r="X60" s="1349" t="n">
        <f aca="false">IF($Y60&gt;=2,$S60/$Y60,0)</f>
        <v>516.2</v>
      </c>
      <c r="Y60" s="1350" t="n">
        <f aca="false">ROUND(100/($B$89*100),0)</f>
        <v>5</v>
      </c>
    </row>
    <row r="61" customFormat="false" ht="15" hidden="false" customHeight="false" outlineLevel="0" collapsed="false">
      <c r="A61" s="524" t="s">
        <v>809</v>
      </c>
      <c r="B61" s="48"/>
      <c r="C61" s="1399" t="n">
        <v>0</v>
      </c>
      <c r="D61" s="1401" t="n">
        <v>40000</v>
      </c>
      <c r="E61" s="996"/>
      <c r="F61" s="997" t="n">
        <v>1613</v>
      </c>
      <c r="G61" s="996"/>
      <c r="H61" s="997" t="n">
        <v>1935</v>
      </c>
      <c r="I61" s="996"/>
      <c r="J61" s="997" t="n">
        <v>2581</v>
      </c>
      <c r="K61" s="996"/>
      <c r="L61" s="951" t="n">
        <v>3226</v>
      </c>
      <c r="R61" s="1350"/>
      <c r="S61" s="1256" t="n">
        <f aca="false">+J62</f>
        <v>32258</v>
      </c>
      <c r="T61" s="1350"/>
      <c r="U61" s="1350"/>
      <c r="V61" s="1350"/>
      <c r="W61" s="1357" t="e">
        <f aca="false">+S61/Y61</f>
        <v>#DIV/0!</v>
      </c>
      <c r="X61" s="1349" t="e">
        <f aca="false">IF($Y61&gt;=2,$S61/$Y61,0)</f>
        <v>#DIV/0!</v>
      </c>
      <c r="Y61" s="1350" t="e">
        <f aca="false">ROUND(100/($B$90*100),0)</f>
        <v>#DIV/0!</v>
      </c>
    </row>
    <row r="62" customFormat="false" ht="15" hidden="false" customHeight="false" outlineLevel="0" collapsed="false">
      <c r="A62" s="524" t="s">
        <v>811</v>
      </c>
      <c r="B62" s="48"/>
      <c r="C62" s="1399" t="n">
        <v>0</v>
      </c>
      <c r="D62" s="1401" t="n">
        <v>130000</v>
      </c>
      <c r="E62" s="996"/>
      <c r="F62" s="997" t="n">
        <v>22581</v>
      </c>
      <c r="G62" s="996"/>
      <c r="H62" s="997" t="n">
        <v>25806</v>
      </c>
      <c r="I62" s="996"/>
      <c r="J62" s="997" t="n">
        <v>32258</v>
      </c>
      <c r="K62" s="996"/>
      <c r="L62" s="951" t="n">
        <v>38710</v>
      </c>
      <c r="R62" s="1350"/>
      <c r="S62" s="1256"/>
      <c r="T62" s="1350"/>
      <c r="U62" s="1350"/>
      <c r="V62" s="1350"/>
      <c r="W62" s="1357"/>
      <c r="X62" s="1349"/>
      <c r="Y62" s="1350"/>
    </row>
    <row r="63" customFormat="false" ht="15" hidden="false" customHeight="false" outlineLevel="0" collapsed="false">
      <c r="A63" s="52" t="s">
        <v>812</v>
      </c>
      <c r="B63" s="48"/>
      <c r="C63" s="1399" t="n">
        <v>0</v>
      </c>
      <c r="D63" s="1401" t="n">
        <v>0</v>
      </c>
      <c r="E63" s="996"/>
      <c r="F63" s="997" t="n">
        <v>0</v>
      </c>
      <c r="G63" s="996"/>
      <c r="H63" s="997" t="n">
        <v>0</v>
      </c>
      <c r="I63" s="996"/>
      <c r="J63" s="997" t="n">
        <v>0</v>
      </c>
      <c r="K63" s="996"/>
      <c r="L63" s="951" t="n">
        <v>0</v>
      </c>
      <c r="R63" s="1350"/>
      <c r="S63" s="1256" t="n">
        <f aca="false">+J64</f>
        <v>0</v>
      </c>
      <c r="T63" s="1350"/>
      <c r="U63" s="1350"/>
      <c r="V63" s="1350"/>
      <c r="W63" s="1357" t="e">
        <f aca="false">+S63/Y63</f>
        <v>#DIV/0!</v>
      </c>
      <c r="X63" s="1349" t="e">
        <f aca="false">IF($Y63&gt;=2,$S63/$Y63,0)</f>
        <v>#DIV/0!</v>
      </c>
      <c r="Y63" s="1350" t="e">
        <f aca="false">ROUND(100/($B$92*100),0)</f>
        <v>#DIV/0!</v>
      </c>
    </row>
    <row r="64" customFormat="false" ht="15" hidden="false" customHeight="false" outlineLevel="0" collapsed="false">
      <c r="A64" s="52" t="s">
        <v>813</v>
      </c>
      <c r="B64" s="48"/>
      <c r="C64" s="1402" t="n">
        <v>0</v>
      </c>
      <c r="D64" s="1403" t="n">
        <v>0</v>
      </c>
      <c r="E64" s="996"/>
      <c r="F64" s="1014" t="n">
        <v>0</v>
      </c>
      <c r="G64" s="996"/>
      <c r="H64" s="1014" t="n">
        <v>0</v>
      </c>
      <c r="I64" s="996"/>
      <c r="J64" s="1014" t="n">
        <v>0</v>
      </c>
      <c r="K64" s="996"/>
      <c r="L64" s="1013" t="n">
        <v>0</v>
      </c>
      <c r="R64" s="1361" t="n">
        <f aca="false">+L6</f>
        <v>2023</v>
      </c>
      <c r="S64" s="1256" t="n">
        <f aca="false">+L57</f>
        <v>0</v>
      </c>
      <c r="T64" s="1350"/>
      <c r="U64" s="1350"/>
      <c r="V64" s="1350"/>
      <c r="W64" s="1350"/>
      <c r="X64" s="1362" t="n">
        <v>0</v>
      </c>
      <c r="Y64" s="1391"/>
    </row>
    <row r="65" customFormat="false" ht="15" hidden="false" customHeight="false" outlineLevel="0" collapsed="false">
      <c r="A65" s="524" t="s">
        <v>814</v>
      </c>
      <c r="B65" s="48"/>
      <c r="C65" s="876" t="n">
        <f aca="false">SUM(C57:C64)</f>
        <v>0</v>
      </c>
      <c r="D65" s="1406" t="n">
        <f aca="false">SUM(D57:D64)</f>
        <v>1415000</v>
      </c>
      <c r="E65" s="996"/>
      <c r="F65" s="876" t="n">
        <f aca="false">SUM(F57:F64)</f>
        <v>56194</v>
      </c>
      <c r="G65" s="996"/>
      <c r="H65" s="876" t="n">
        <f aca="false">SUM(H57:H64)</f>
        <v>59741</v>
      </c>
      <c r="I65" s="996"/>
      <c r="J65" s="876" t="n">
        <f aca="false">SUM(J57:J64)</f>
        <v>66839</v>
      </c>
      <c r="K65" s="996"/>
      <c r="L65" s="875" t="n">
        <f aca="false">SUM(L57:L64)</f>
        <v>73936</v>
      </c>
      <c r="R65" s="1366"/>
      <c r="S65" s="1256"/>
      <c r="T65" s="1350"/>
      <c r="U65" s="1350"/>
      <c r="V65" s="1350"/>
      <c r="W65" s="1350"/>
      <c r="X65" s="1362"/>
      <c r="Y65" s="1350"/>
    </row>
    <row r="66" customFormat="false" ht="15" hidden="false" customHeight="false" outlineLevel="0" collapsed="false">
      <c r="A66" s="52"/>
      <c r="B66" s="48"/>
      <c r="C66" s="876"/>
      <c r="D66" s="875"/>
      <c r="E66" s="996"/>
      <c r="F66" s="876"/>
      <c r="G66" s="996"/>
      <c r="H66" s="876"/>
      <c r="I66" s="996"/>
      <c r="J66" s="876"/>
      <c r="K66" s="996"/>
      <c r="L66" s="875"/>
      <c r="R66" s="1350"/>
      <c r="S66" s="1256" t="n">
        <f aca="false">+L58</f>
        <v>10000</v>
      </c>
      <c r="T66" s="1350"/>
      <c r="U66" s="1350"/>
      <c r="V66" s="1350"/>
      <c r="W66" s="1350"/>
      <c r="X66" s="1362" t="n">
        <f aca="false">+S66/Y66</f>
        <v>500</v>
      </c>
      <c r="Y66" s="1350" t="n">
        <f aca="false">ROUND(100/($B$86*100),0)</f>
        <v>20</v>
      </c>
    </row>
    <row r="67" s="48" customFormat="true" ht="15" hidden="false" customHeight="false" outlineLevel="0" collapsed="false">
      <c r="A67" s="52" t="s">
        <v>815</v>
      </c>
      <c r="C67" s="876"/>
      <c r="D67" s="875"/>
      <c r="E67" s="996"/>
      <c r="F67" s="876"/>
      <c r="G67" s="996"/>
      <c r="H67" s="876"/>
      <c r="I67" s="996"/>
      <c r="J67" s="876"/>
      <c r="K67" s="996"/>
      <c r="L67" s="875"/>
      <c r="M67" s="16"/>
      <c r="Q67" s="4"/>
      <c r="R67" s="1350"/>
      <c r="S67" s="1256" t="n">
        <f aca="false">+L59</f>
        <v>20000</v>
      </c>
      <c r="T67" s="1350"/>
      <c r="U67" s="1350"/>
      <c r="V67" s="1350"/>
      <c r="W67" s="1350"/>
      <c r="X67" s="1362" t="n">
        <f aca="false">+S67/Y67</f>
        <v>6666.66666666667</v>
      </c>
      <c r="Y67" s="1350" t="n">
        <f aca="false">ROUND(100/($B$87*100),0)</f>
        <v>3</v>
      </c>
      <c r="Z67" s="4"/>
      <c r="AA67" s="4"/>
      <c r="AB67" s="4"/>
    </row>
    <row r="68" customFormat="false" ht="15" hidden="false" customHeight="false" outlineLevel="0" collapsed="false">
      <c r="A68" s="52" t="s">
        <v>832</v>
      </c>
      <c r="B68" s="48"/>
      <c r="C68" s="1399" t="n">
        <v>0</v>
      </c>
      <c r="D68" s="1407" t="n">
        <v>32258</v>
      </c>
      <c r="E68" s="996"/>
      <c r="F68" s="997" t="n">
        <v>0</v>
      </c>
      <c r="G68" s="996"/>
      <c r="H68" s="997" t="n">
        <v>16129</v>
      </c>
      <c r="I68" s="996"/>
      <c r="J68" s="997" t="n">
        <v>0</v>
      </c>
      <c r="K68" s="996"/>
      <c r="L68" s="951" t="n">
        <v>0</v>
      </c>
      <c r="R68" s="1350"/>
      <c r="S68" s="1256" t="n">
        <f aca="false">+L60</f>
        <v>2000</v>
      </c>
      <c r="T68" s="1350"/>
      <c r="U68" s="1350"/>
      <c r="V68" s="1350"/>
      <c r="W68" s="1350"/>
      <c r="X68" s="1362" t="n">
        <f aca="false">+S68/Y68</f>
        <v>400</v>
      </c>
      <c r="Y68" s="1350" t="n">
        <f aca="false">ROUND(100/($B$88*100),0)</f>
        <v>5</v>
      </c>
    </row>
    <row r="69" customFormat="false" ht="15" hidden="false" customHeight="false" outlineLevel="0" collapsed="false">
      <c r="A69" s="52"/>
      <c r="B69" s="48"/>
      <c r="C69" s="876"/>
      <c r="D69" s="875"/>
      <c r="E69" s="996"/>
      <c r="F69" s="876"/>
      <c r="G69" s="996"/>
      <c r="H69" s="876"/>
      <c r="I69" s="996"/>
      <c r="J69" s="876"/>
      <c r="K69" s="996"/>
      <c r="L69" s="875"/>
      <c r="R69" s="1350"/>
      <c r="S69" s="1256" t="n">
        <f aca="false">+L61</f>
        <v>3226</v>
      </c>
      <c r="T69" s="1350"/>
      <c r="U69" s="1350"/>
      <c r="V69" s="1350"/>
      <c r="W69" s="1350"/>
      <c r="X69" s="1362" t="n">
        <f aca="false">+S69/Y69</f>
        <v>645.2</v>
      </c>
      <c r="Y69" s="1350" t="n">
        <f aca="false">ROUND(100/($B$89*100),0)</f>
        <v>5</v>
      </c>
    </row>
    <row r="70" s="48" customFormat="true" ht="15" hidden="false" customHeight="false" outlineLevel="0" collapsed="false">
      <c r="A70" s="52" t="s">
        <v>833</v>
      </c>
      <c r="C70" s="876"/>
      <c r="D70" s="875"/>
      <c r="E70" s="996"/>
      <c r="F70" s="876"/>
      <c r="G70" s="996"/>
      <c r="H70" s="876"/>
      <c r="I70" s="996"/>
      <c r="J70" s="876"/>
      <c r="K70" s="996"/>
      <c r="L70" s="875"/>
      <c r="M70" s="16"/>
      <c r="Q70" s="4"/>
      <c r="R70" s="1350"/>
      <c r="S70" s="1256" t="n">
        <f aca="false">+L62</f>
        <v>38710</v>
      </c>
      <c r="T70" s="1350"/>
      <c r="U70" s="1350"/>
      <c r="V70" s="1350"/>
      <c r="W70" s="1350"/>
      <c r="X70" s="1362" t="e">
        <f aca="false">+S70/Y70</f>
        <v>#DIV/0!</v>
      </c>
      <c r="Y70" s="1350" t="e">
        <f aca="false">ROUND(100/($B$90*100),0)</f>
        <v>#DIV/0!</v>
      </c>
      <c r="Z70" s="4"/>
      <c r="AA70" s="4"/>
      <c r="AB70" s="4"/>
    </row>
    <row r="71" customFormat="false" ht="15" hidden="false" customHeight="false" outlineLevel="0" collapsed="false">
      <c r="A71" s="52" t="s">
        <v>834</v>
      </c>
      <c r="B71" s="48"/>
      <c r="C71" s="925" t="n">
        <f aca="false">'7.2.2 Turnover Parts'!C71</f>
        <v>0</v>
      </c>
      <c r="D71" s="875" t="e">
        <f aca="false">'7.2.2 Turnover Parts'!C73</f>
        <v>#VALUE!</v>
      </c>
      <c r="E71" s="1408"/>
      <c r="F71" s="1376" t="e">
        <f aca="false">'7.2.2 Turnover Parts'!E73</f>
        <v>#VALUE!</v>
      </c>
      <c r="G71" s="1408"/>
      <c r="H71" s="1376" t="e">
        <f aca="false">'7.2.2 Turnover Parts'!G73</f>
        <v>#VALUE!</v>
      </c>
      <c r="I71" s="1408"/>
      <c r="J71" s="1376" t="e">
        <f aca="false">'7.2.2 Turnover Parts'!I73</f>
        <v>#VALUE!</v>
      </c>
      <c r="K71" s="1408"/>
      <c r="L71" s="875" t="e">
        <f aca="false">'7.2.2 Turnover Parts'!K73</f>
        <v>#VALUE!</v>
      </c>
      <c r="R71" s="1350"/>
      <c r="S71" s="1256" t="n">
        <f aca="false">+L63</f>
        <v>0</v>
      </c>
      <c r="T71" s="1350"/>
      <c r="U71" s="1350"/>
      <c r="V71" s="1350"/>
      <c r="W71" s="1350"/>
      <c r="X71" s="1362" t="e">
        <f aca="false">+S71/Y71</f>
        <v>#DIV/0!</v>
      </c>
      <c r="Y71" s="1350" t="e">
        <f aca="false">ROUND(100/($B$91*100),0)</f>
        <v>#DIV/0!</v>
      </c>
    </row>
    <row r="72" customFormat="false" ht="15" hidden="false" customHeight="false" outlineLevel="0" collapsed="false">
      <c r="A72" s="52" t="s">
        <v>835</v>
      </c>
      <c r="B72" s="48"/>
      <c r="C72" s="925" t="n">
        <f aca="false">'7.2.1 Turnover Vehicles'!C53</f>
        <v>0</v>
      </c>
      <c r="D72" s="875" t="n">
        <f aca="false">'7.2.1 Turnover Vehicles'!C55</f>
        <v>0</v>
      </c>
      <c r="E72" s="869"/>
      <c r="F72" s="1376" t="n">
        <f aca="false">'7.2.1 Turnover Vehicles'!E55</f>
        <v>0</v>
      </c>
      <c r="G72" s="869"/>
      <c r="H72" s="1376" t="n">
        <f aca="false">'7.2.1 Turnover Vehicles'!G55</f>
        <v>0</v>
      </c>
      <c r="I72" s="869"/>
      <c r="J72" s="1376" t="n">
        <f aca="false">'7.2.1 Turnover Vehicles'!I55</f>
        <v>0</v>
      </c>
      <c r="K72" s="869"/>
      <c r="L72" s="875" t="n">
        <f aca="false">'7.2.1 Turnover Vehicles'!K55</f>
        <v>0</v>
      </c>
      <c r="M72" s="1409"/>
      <c r="R72" s="1350"/>
      <c r="S72" s="1256" t="n">
        <f aca="false">+L64</f>
        <v>0</v>
      </c>
      <c r="T72" s="1350"/>
      <c r="U72" s="1350"/>
      <c r="V72" s="1350"/>
      <c r="W72" s="1350"/>
      <c r="X72" s="1362" t="e">
        <f aca="false">+S72/Y72</f>
        <v>#DIV/0!</v>
      </c>
      <c r="Y72" s="1350" t="e">
        <f aca="false">ROUND(100/($B$92*100),0)</f>
        <v>#DIV/0!</v>
      </c>
    </row>
    <row r="73" customFormat="false" ht="15" hidden="false" customHeight="false" outlineLevel="0" collapsed="false">
      <c r="A73" s="82"/>
      <c r="B73" s="107"/>
      <c r="C73" s="967"/>
      <c r="D73" s="966"/>
      <c r="E73" s="1092"/>
      <c r="F73" s="967"/>
      <c r="G73" s="1092"/>
      <c r="H73" s="967"/>
      <c r="I73" s="1092"/>
      <c r="J73" s="967"/>
      <c r="K73" s="1092"/>
      <c r="L73" s="966"/>
      <c r="R73" s="1350"/>
      <c r="S73" s="1256"/>
      <c r="T73" s="1350"/>
      <c r="U73" s="1350"/>
      <c r="V73" s="1350"/>
      <c r="W73" s="1350"/>
      <c r="X73" s="1362"/>
      <c r="Y73" s="1350"/>
    </row>
    <row r="74" customFormat="false" ht="15" hidden="false" customHeight="false" outlineLevel="0" collapsed="false">
      <c r="A74" s="506"/>
      <c r="B74" s="257"/>
      <c r="C74" s="1148"/>
      <c r="D74" s="877"/>
      <c r="E74" s="1294"/>
      <c r="F74" s="1148"/>
      <c r="G74" s="1294"/>
      <c r="H74" s="1148"/>
      <c r="I74" s="1294"/>
      <c r="J74" s="1148"/>
      <c r="K74" s="1294"/>
      <c r="L74" s="877"/>
      <c r="R74" s="1350"/>
      <c r="S74" s="1410" t="s">
        <v>836</v>
      </c>
      <c r="T74" s="1411" t="e">
        <f aca="false">SUM(T31:T38)</f>
        <v>#DIV/0!</v>
      </c>
      <c r="U74" s="1411" t="e">
        <f aca="false">SUM(U31:U46)</f>
        <v>#DIV/0!</v>
      </c>
      <c r="V74" s="1367" t="e">
        <f aca="false">SUM(W31:W54)</f>
        <v>#DIV/0!</v>
      </c>
      <c r="W74" s="1411" t="e">
        <f aca="false">SUM(W31:W63)</f>
        <v>#DIV/0!</v>
      </c>
      <c r="X74" s="1411" t="e">
        <f aca="false">SUM(X31:X72)</f>
        <v>#DIV/0!</v>
      </c>
      <c r="Y74" s="1350"/>
    </row>
    <row r="75" s="273" customFormat="true" ht="15" hidden="false" customHeight="false" outlineLevel="0" collapsed="false">
      <c r="A75" s="562" t="s">
        <v>837</v>
      </c>
      <c r="B75" s="67"/>
      <c r="C75" s="911" t="n">
        <f aca="false">C54+C65+C68+C71+C72</f>
        <v>0</v>
      </c>
      <c r="D75" s="1412" t="e">
        <f aca="false">D54+D65+D68+D71+D72</f>
        <v>#VALUE!</v>
      </c>
      <c r="E75" s="1016"/>
      <c r="F75" s="911" t="e">
        <f aca="false">F54+F65+F68+F71+F72</f>
        <v>#VALUE!</v>
      </c>
      <c r="G75" s="1016"/>
      <c r="H75" s="911" t="e">
        <f aca="false">H54+H65+H68+H71+H72</f>
        <v>#VALUE!</v>
      </c>
      <c r="I75" s="1016"/>
      <c r="J75" s="911" t="e">
        <f aca="false">J54+J65+J68+J71+J72</f>
        <v>#VALUE!</v>
      </c>
      <c r="K75" s="1016"/>
      <c r="L75" s="1015" t="e">
        <f aca="false">L54+L65+L68+L71+L72</f>
        <v>#VALUE!</v>
      </c>
      <c r="M75" s="271"/>
      <c r="Q75" s="1376"/>
      <c r="R75" s="4"/>
      <c r="S75" s="4"/>
      <c r="T75" s="4"/>
      <c r="U75" s="4"/>
      <c r="V75" s="1371"/>
      <c r="W75" s="4"/>
      <c r="X75" s="4"/>
      <c r="Y75" s="4"/>
      <c r="Z75" s="4"/>
      <c r="AA75" s="4"/>
      <c r="AB75" s="4"/>
    </row>
    <row r="76" s="48" customFormat="true" ht="15" hidden="false" customHeight="false" outlineLevel="0" collapsed="false">
      <c r="A76" s="82"/>
      <c r="B76" s="107"/>
      <c r="C76" s="107"/>
      <c r="D76" s="966"/>
      <c r="E76" s="1092"/>
      <c r="F76" s="967"/>
      <c r="G76" s="1092"/>
      <c r="H76" s="967"/>
      <c r="I76" s="1092"/>
      <c r="J76" s="967"/>
      <c r="K76" s="1092"/>
      <c r="L76" s="966"/>
      <c r="M76" s="16"/>
      <c r="Q76" s="4"/>
      <c r="R76" s="4"/>
      <c r="S76" s="4"/>
      <c r="T76" s="4"/>
      <c r="U76" s="4"/>
      <c r="V76" s="4"/>
      <c r="W76" s="4"/>
      <c r="X76" s="4"/>
      <c r="Y76" s="4"/>
      <c r="Z76" s="4"/>
      <c r="AA76" s="4"/>
      <c r="AB76" s="4"/>
    </row>
    <row r="77" s="48" customFormat="true" ht="15" hidden="false" customHeight="false" outlineLevel="0" collapsed="false">
      <c r="D77" s="876"/>
      <c r="E77" s="876"/>
      <c r="F77" s="876"/>
      <c r="G77" s="876"/>
      <c r="H77" s="876"/>
      <c r="I77" s="876"/>
      <c r="J77" s="876"/>
      <c r="K77" s="876"/>
      <c r="L77" s="876"/>
      <c r="M77" s="16"/>
      <c r="Q77" s="4"/>
      <c r="R77" s="4"/>
      <c r="S77" s="4"/>
      <c r="T77" s="4"/>
      <c r="U77" s="4"/>
      <c r="V77" s="4"/>
      <c r="W77" s="4"/>
      <c r="X77" s="4"/>
      <c r="Y77" s="4"/>
      <c r="Z77" s="4"/>
      <c r="AA77" s="4"/>
      <c r="AB77" s="4"/>
    </row>
    <row r="78" s="65" customFormat="true" ht="18" hidden="false" customHeight="false" outlineLevel="0" collapsed="false">
      <c r="A78" s="315" t="s">
        <v>838</v>
      </c>
      <c r="B78" s="332"/>
      <c r="C78" s="332"/>
      <c r="D78" s="1413"/>
      <c r="E78" s="1413"/>
      <c r="F78" s="1413"/>
      <c r="G78" s="1413"/>
      <c r="H78" s="1413"/>
      <c r="I78" s="1413"/>
      <c r="J78" s="1413"/>
      <c r="K78" s="1413"/>
      <c r="L78" s="1414"/>
      <c r="M78" s="489"/>
      <c r="Q78" s="4"/>
      <c r="R78" s="4"/>
      <c r="S78" s="4"/>
      <c r="T78" s="4"/>
      <c r="U78" s="4"/>
      <c r="V78" s="4"/>
      <c r="W78" s="4"/>
      <c r="X78" s="4"/>
      <c r="Y78" s="4"/>
      <c r="Z78" s="4"/>
      <c r="AA78" s="4"/>
      <c r="AB78" s="4"/>
    </row>
    <row r="79" s="48" customFormat="true" ht="15" hidden="false" customHeight="false" outlineLevel="0" collapsed="false">
      <c r="A79" s="506"/>
      <c r="B79" s="1415" t="s">
        <v>839</v>
      </c>
      <c r="C79" s="1415"/>
      <c r="D79" s="877" t="s">
        <v>840</v>
      </c>
      <c r="E79" s="1148"/>
      <c r="F79" s="1148"/>
      <c r="G79" s="1148"/>
      <c r="H79" s="1148"/>
      <c r="I79" s="1148"/>
      <c r="J79" s="1148"/>
      <c r="K79" s="1148"/>
      <c r="L79" s="877"/>
      <c r="M79" s="16"/>
      <c r="Q79" s="4"/>
      <c r="R79" s="4"/>
      <c r="S79" s="4"/>
      <c r="T79" s="4"/>
      <c r="U79" s="4"/>
      <c r="V79" s="4"/>
      <c r="W79" s="4"/>
      <c r="X79" s="4"/>
      <c r="Y79" s="4"/>
      <c r="Z79" s="4"/>
      <c r="AA79" s="4"/>
      <c r="AB79" s="4"/>
    </row>
    <row r="80" s="48" customFormat="true" ht="15" hidden="false" customHeight="false" outlineLevel="0" collapsed="false">
      <c r="A80" s="52"/>
      <c r="B80" s="1172" t="s">
        <v>841</v>
      </c>
      <c r="C80" s="1172"/>
      <c r="D80" s="1416" t="s">
        <v>842</v>
      </c>
      <c r="E80" s="876"/>
      <c r="F80" s="957"/>
      <c r="G80" s="900"/>
      <c r="H80" s="957"/>
      <c r="I80" s="957"/>
      <c r="J80" s="957"/>
      <c r="K80" s="957"/>
      <c r="L80" s="1365"/>
      <c r="M80" s="16"/>
      <c r="Q80" s="4"/>
      <c r="R80" s="4"/>
      <c r="S80" s="4"/>
      <c r="T80" s="4"/>
      <c r="U80" s="4"/>
      <c r="V80" s="4"/>
      <c r="W80" s="4"/>
      <c r="X80" s="4"/>
      <c r="Y80" s="4"/>
      <c r="Z80" s="4"/>
      <c r="AA80" s="4"/>
      <c r="AB80" s="4"/>
    </row>
    <row r="81" s="48" customFormat="true" ht="15" hidden="false" customHeight="false" outlineLevel="0" collapsed="false">
      <c r="A81" s="52"/>
      <c r="B81" s="1172" t="s">
        <v>688</v>
      </c>
      <c r="C81" s="1172"/>
      <c r="D81" s="1416" t="s">
        <v>843</v>
      </c>
      <c r="E81" s="876"/>
      <c r="F81" s="876"/>
      <c r="G81" s="876"/>
      <c r="H81" s="876"/>
      <c r="I81" s="876"/>
      <c r="J81" s="876"/>
      <c r="K81" s="876"/>
      <c r="L81" s="875"/>
      <c r="M81" s="16"/>
      <c r="Q81" s="4"/>
      <c r="R81" s="4"/>
      <c r="S81" s="4"/>
      <c r="T81" s="4"/>
      <c r="U81" s="4"/>
      <c r="V81" s="4"/>
      <c r="W81" s="4"/>
      <c r="X81" s="4"/>
      <c r="Y81" s="4"/>
      <c r="Z81" s="4"/>
      <c r="AA81" s="4"/>
      <c r="AB81" s="4"/>
    </row>
    <row r="82" s="48" customFormat="true" ht="15" hidden="false" customHeight="false" outlineLevel="0" collapsed="false">
      <c r="A82" s="52" t="s">
        <v>802</v>
      </c>
      <c r="B82" s="1417" t="n">
        <v>0.33</v>
      </c>
      <c r="C82" s="1418"/>
      <c r="D82" s="924" t="n">
        <f aca="false">IF(B82=0,0,T26)</f>
        <v>10752.6666666667</v>
      </c>
      <c r="E82" s="876"/>
      <c r="F82" s="876" t="n">
        <f aca="false">IF(B82=0,0,U26)</f>
        <v>10752.6666666667</v>
      </c>
      <c r="G82" s="876"/>
      <c r="H82" s="876" t="n">
        <f aca="false">IF(B82=0,0,V26)</f>
        <v>0</v>
      </c>
      <c r="I82" s="876"/>
      <c r="J82" s="876" t="n">
        <f aca="false">IF(B82=0,0,W26)</f>
        <v>0</v>
      </c>
      <c r="K82" s="876"/>
      <c r="L82" s="924" t="n">
        <f aca="false">IF(B82=0,0,X26)</f>
        <v>0</v>
      </c>
      <c r="M82" s="16"/>
      <c r="Q82" s="4"/>
      <c r="R82" s="4"/>
      <c r="S82" s="4"/>
      <c r="T82" s="4"/>
      <c r="U82" s="4"/>
      <c r="V82" s="4"/>
      <c r="W82" s="4"/>
      <c r="X82" s="4"/>
      <c r="Y82" s="4"/>
      <c r="Z82" s="4"/>
      <c r="AA82" s="4"/>
      <c r="AB82" s="4"/>
    </row>
    <row r="83" s="48" customFormat="true" ht="15" hidden="false" customHeight="false" outlineLevel="0" collapsed="false">
      <c r="A83" s="52"/>
      <c r="B83" s="1419"/>
      <c r="C83" s="1420"/>
      <c r="D83" s="924"/>
      <c r="E83" s="876"/>
      <c r="F83" s="876"/>
      <c r="G83" s="876"/>
      <c r="H83" s="876"/>
      <c r="I83" s="876"/>
      <c r="J83" s="876"/>
      <c r="K83" s="876"/>
      <c r="L83" s="924"/>
      <c r="M83" s="16"/>
      <c r="Q83" s="4"/>
      <c r="R83" s="4"/>
      <c r="S83" s="4"/>
      <c r="T83" s="4"/>
      <c r="U83" s="4"/>
      <c r="V83" s="4"/>
      <c r="W83" s="4"/>
      <c r="X83" s="4"/>
      <c r="Y83" s="4"/>
      <c r="Z83" s="4"/>
      <c r="AA83" s="4"/>
      <c r="AB83" s="4"/>
    </row>
    <row r="84" s="48" customFormat="true" ht="15" hidden="false" customHeight="false" outlineLevel="0" collapsed="false">
      <c r="A84" s="52" t="s">
        <v>803</v>
      </c>
      <c r="B84" s="1421"/>
      <c r="C84" s="252"/>
      <c r="D84" s="924"/>
      <c r="E84" s="876"/>
      <c r="F84" s="876"/>
      <c r="G84" s="876"/>
      <c r="H84" s="876"/>
      <c r="I84" s="876"/>
      <c r="J84" s="876"/>
      <c r="K84" s="876"/>
      <c r="L84" s="924"/>
      <c r="M84" s="16"/>
      <c r="Q84" s="4"/>
      <c r="R84" s="4"/>
      <c r="S84" s="4"/>
      <c r="T84" s="4"/>
      <c r="U84" s="4"/>
      <c r="V84" s="4"/>
      <c r="W84" s="4"/>
      <c r="X84" s="4"/>
      <c r="Y84" s="4"/>
      <c r="Z84" s="4"/>
      <c r="AA84" s="4"/>
      <c r="AB84" s="4"/>
    </row>
    <row r="85" s="48" customFormat="true" ht="15" hidden="false" customHeight="false" outlineLevel="0" collapsed="false">
      <c r="A85" s="524" t="s">
        <v>804</v>
      </c>
      <c r="B85" s="910"/>
      <c r="C85" s="961"/>
      <c r="D85" s="951" t="n">
        <v>0</v>
      </c>
      <c r="E85" s="996"/>
      <c r="F85" s="997" t="n">
        <v>0</v>
      </c>
      <c r="G85" s="996"/>
      <c r="H85" s="997" t="n">
        <v>0</v>
      </c>
      <c r="I85" s="996"/>
      <c r="J85" s="997" t="n">
        <v>0</v>
      </c>
      <c r="K85" s="996"/>
      <c r="L85" s="951" t="n">
        <v>0</v>
      </c>
      <c r="M85" s="16"/>
      <c r="Q85" s="4"/>
      <c r="R85" s="4"/>
      <c r="S85" s="4"/>
      <c r="T85" s="4"/>
      <c r="U85" s="4"/>
      <c r="V85" s="4"/>
      <c r="W85" s="4"/>
      <c r="X85" s="4"/>
      <c r="Y85" s="4"/>
      <c r="Z85" s="4"/>
      <c r="AA85" s="4"/>
      <c r="AB85" s="4"/>
    </row>
    <row r="86" s="48" customFormat="true" ht="15" hidden="false" customHeight="false" outlineLevel="0" collapsed="false">
      <c r="A86" s="524" t="s">
        <v>805</v>
      </c>
      <c r="B86" s="906" t="n">
        <v>0.05</v>
      </c>
      <c r="C86" s="1184"/>
      <c r="D86" s="924" t="n">
        <f aca="false">IF(B86=0,0,T32)</f>
        <v>17500</v>
      </c>
      <c r="E86" s="876"/>
      <c r="F86" s="876" t="n">
        <f aca="false">IF(B86=0,0,U32+U40)</f>
        <v>18000</v>
      </c>
      <c r="G86" s="876"/>
      <c r="H86" s="876" t="n">
        <f aca="false">IF(B86=0,0,V32+V40+V48)</f>
        <v>18500</v>
      </c>
      <c r="I86" s="876"/>
      <c r="J86" s="876" t="n">
        <f aca="false">IF(B86=0,0,W32+W40+W48+W57)</f>
        <v>19000</v>
      </c>
      <c r="K86" s="876"/>
      <c r="L86" s="924" t="n">
        <f aca="false">IF(B86=0,0,X32+X40+X48+X57+X66)</f>
        <v>19500</v>
      </c>
      <c r="M86" s="16"/>
      <c r="Q86" s="4"/>
      <c r="R86" s="4"/>
      <c r="S86" s="4"/>
      <c r="T86" s="4"/>
      <c r="U86" s="4"/>
      <c r="V86" s="4"/>
      <c r="W86" s="4"/>
      <c r="X86" s="4"/>
      <c r="Y86" s="4"/>
      <c r="Z86" s="4"/>
      <c r="AA86" s="4"/>
      <c r="AB86" s="4"/>
    </row>
    <row r="87" s="48" customFormat="true" ht="15" hidden="false" customHeight="false" outlineLevel="0" collapsed="false">
      <c r="A87" s="524" t="s">
        <v>844</v>
      </c>
      <c r="B87" s="906" t="n">
        <v>0.33</v>
      </c>
      <c r="C87" s="1184"/>
      <c r="D87" s="924" t="n">
        <f aca="false">IF(B87=0,0,T33)</f>
        <v>66666.6666666667</v>
      </c>
      <c r="E87" s="876"/>
      <c r="F87" s="876" t="n">
        <f aca="false">IF(B87=0,0,U33+U41)</f>
        <v>73333.3333333333</v>
      </c>
      <c r="G87" s="876"/>
      <c r="H87" s="876" t="n">
        <f aca="false">IF(B87=0,0,V33+V41+V49)</f>
        <v>80000</v>
      </c>
      <c r="I87" s="876"/>
      <c r="J87" s="876" t="n">
        <f aca="false">IF(B87=0,0,W33+W41+W49+W58)</f>
        <v>20000</v>
      </c>
      <c r="K87" s="876"/>
      <c r="L87" s="924" t="n">
        <f aca="false">IF(B87=0,0,X33+X41+X49+X58+X67)</f>
        <v>20000</v>
      </c>
      <c r="M87" s="16"/>
      <c r="Q87" s="4"/>
      <c r="R87" s="4"/>
      <c r="S87" s="4"/>
      <c r="T87" s="4"/>
      <c r="U87" s="4"/>
      <c r="V87" s="4"/>
      <c r="W87" s="4"/>
      <c r="X87" s="4"/>
      <c r="Y87" s="4"/>
      <c r="Z87" s="4"/>
      <c r="AA87" s="4"/>
      <c r="AB87" s="4"/>
    </row>
    <row r="88" s="48" customFormat="true" ht="15" hidden="false" customHeight="false" outlineLevel="0" collapsed="false">
      <c r="A88" s="524" t="s">
        <v>807</v>
      </c>
      <c r="B88" s="906" t="n">
        <v>0.2</v>
      </c>
      <c r="C88" s="1184"/>
      <c r="D88" s="924" t="n">
        <f aca="false">IF(B88=0,0,T34)</f>
        <v>9000</v>
      </c>
      <c r="E88" s="876"/>
      <c r="F88" s="876" t="n">
        <f aca="false">IF(B88=0,0,U34+U42)</f>
        <v>9400</v>
      </c>
      <c r="G88" s="876"/>
      <c r="H88" s="876" t="n">
        <f aca="false">IF(B88=0,0,V34+V42+V50)</f>
        <v>9800</v>
      </c>
      <c r="I88" s="876"/>
      <c r="J88" s="876" t="n">
        <f aca="false">IF(B88=0,0,W34+W42+W50+W59)</f>
        <v>10200</v>
      </c>
      <c r="K88" s="876"/>
      <c r="L88" s="924" t="n">
        <f aca="false">IF(B88=0,0,X34+X42+X50+X59+X68)</f>
        <v>10600</v>
      </c>
      <c r="M88" s="16"/>
      <c r="Q88" s="4"/>
      <c r="R88" s="4"/>
      <c r="S88" s="4"/>
      <c r="T88" s="4"/>
      <c r="U88" s="4"/>
      <c r="V88" s="4"/>
      <c r="W88" s="4"/>
      <c r="X88" s="4"/>
      <c r="Y88" s="4"/>
      <c r="Z88" s="4"/>
      <c r="AA88" s="4"/>
      <c r="AB88" s="4"/>
    </row>
    <row r="89" s="48" customFormat="true" ht="15" hidden="false" customHeight="false" outlineLevel="0" collapsed="false">
      <c r="A89" s="524" t="s">
        <v>809</v>
      </c>
      <c r="B89" s="906" t="n">
        <v>0.2</v>
      </c>
      <c r="C89" s="1184"/>
      <c r="D89" s="924" t="n">
        <f aca="false">IF(B89=0,0,T35)</f>
        <v>8000</v>
      </c>
      <c r="E89" s="876"/>
      <c r="F89" s="876" t="n">
        <f aca="false">IF(B89=0,0,U35+U43)</f>
        <v>8322.6</v>
      </c>
      <c r="G89" s="876"/>
      <c r="H89" s="876" t="n">
        <f aca="false">IF(B89=0,0,V35+V43+V51)</f>
        <v>8709.6</v>
      </c>
      <c r="I89" s="876"/>
      <c r="J89" s="876" t="n">
        <f aca="false">IF(B89=0,0,W35+W43+W51+W60)</f>
        <v>9225.8</v>
      </c>
      <c r="K89" s="876"/>
      <c r="L89" s="924" t="n">
        <f aca="false">IF(B89=0,0,X35+X43+X51+X60+X69)</f>
        <v>9871</v>
      </c>
      <c r="M89" s="16"/>
      <c r="Q89" s="4"/>
      <c r="R89" s="4"/>
      <c r="S89" s="4"/>
      <c r="T89" s="4"/>
      <c r="U89" s="4"/>
      <c r="V89" s="4"/>
      <c r="W89" s="4"/>
      <c r="X89" s="4"/>
      <c r="Y89" s="4"/>
      <c r="Z89" s="4"/>
      <c r="AA89" s="4"/>
      <c r="AB89" s="4"/>
    </row>
    <row r="90" s="48" customFormat="true" ht="15" hidden="false" customHeight="false" outlineLevel="0" collapsed="false">
      <c r="A90" s="524" t="s">
        <v>811</v>
      </c>
      <c r="B90" s="906" t="n">
        <v>0</v>
      </c>
      <c r="C90" s="1184"/>
      <c r="D90" s="924" t="n">
        <f aca="false">IF(B90=0,0,T36)</f>
        <v>0</v>
      </c>
      <c r="E90" s="876"/>
      <c r="F90" s="876" t="n">
        <f aca="false">IF(B90=0,0,U36+U44)</f>
        <v>0</v>
      </c>
      <c r="G90" s="876"/>
      <c r="H90" s="876" t="n">
        <f aca="false">IF(B90=0,0,V36+V44+V52)</f>
        <v>0</v>
      </c>
      <c r="I90" s="876"/>
      <c r="J90" s="876" t="n">
        <f aca="false">IF(B90=0,0,W36+W44+W52+W61)</f>
        <v>0</v>
      </c>
      <c r="K90" s="876"/>
      <c r="L90" s="924" t="n">
        <f aca="false">IF(B90=0,0,X36+X44+X52+X61+X70)</f>
        <v>0</v>
      </c>
      <c r="M90" s="16"/>
      <c r="Q90" s="4"/>
      <c r="R90" s="4"/>
      <c r="S90" s="4"/>
      <c r="T90" s="4"/>
      <c r="U90" s="4"/>
      <c r="V90" s="4"/>
      <c r="W90" s="4"/>
      <c r="X90" s="4"/>
      <c r="Y90" s="4"/>
      <c r="Z90" s="4"/>
      <c r="AA90" s="4"/>
      <c r="AB90" s="4"/>
    </row>
    <row r="91" s="48" customFormat="true" ht="15" hidden="false" customHeight="false" outlineLevel="0" collapsed="false">
      <c r="A91" s="52" t="s">
        <v>812</v>
      </c>
      <c r="B91" s="906" t="n">
        <v>0</v>
      </c>
      <c r="C91" s="1184"/>
      <c r="D91" s="924" t="n">
        <f aca="false">IF(B91=0,0,T37)</f>
        <v>0</v>
      </c>
      <c r="E91" s="876"/>
      <c r="F91" s="876" t="n">
        <f aca="false">IF(B91=0,0,U37+U45)</f>
        <v>0</v>
      </c>
      <c r="G91" s="876"/>
      <c r="H91" s="876" t="n">
        <f aca="false">IF(B91=0,0,V37+V45+V53)</f>
        <v>0</v>
      </c>
      <c r="I91" s="876"/>
      <c r="J91" s="876" t="n">
        <f aca="false">IF(B91=0,0,W37+W45+W53+W62)</f>
        <v>0</v>
      </c>
      <c r="K91" s="876"/>
      <c r="L91" s="924" t="n">
        <f aca="false">IF(B91=0,0,X37+X45+X53+X62+X71)</f>
        <v>0</v>
      </c>
      <c r="M91" s="16"/>
      <c r="Q91" s="4"/>
      <c r="R91" s="4"/>
      <c r="S91" s="4"/>
      <c r="T91" s="4"/>
      <c r="U91" s="4"/>
      <c r="V91" s="4"/>
      <c r="W91" s="4"/>
      <c r="X91" s="4"/>
      <c r="Y91" s="4"/>
      <c r="Z91" s="4"/>
      <c r="AA91" s="4"/>
      <c r="AB91" s="4"/>
    </row>
    <row r="92" s="48" customFormat="true" ht="15" hidden="false" customHeight="false" outlineLevel="0" collapsed="false">
      <c r="A92" s="52" t="s">
        <v>813</v>
      </c>
      <c r="B92" s="906" t="n">
        <v>0</v>
      </c>
      <c r="C92" s="1184"/>
      <c r="D92" s="924" t="n">
        <f aca="false">IF(B92=0,0,T38)</f>
        <v>0</v>
      </c>
      <c r="E92" s="876"/>
      <c r="F92" s="967" t="n">
        <f aca="false">IF(B92=0,0,U38+U46)</f>
        <v>0</v>
      </c>
      <c r="G92" s="876"/>
      <c r="H92" s="967" t="n">
        <f aca="false">IF(B92=0,0,V38+V46+V54)</f>
        <v>0</v>
      </c>
      <c r="I92" s="876"/>
      <c r="J92" s="967" t="n">
        <f aca="false">IF(B92=0,0,W38+W46+W54+W63)</f>
        <v>0</v>
      </c>
      <c r="K92" s="876"/>
      <c r="L92" s="926" t="n">
        <f aca="false">IF(B92=0,0,X38+X46+X54+X63+X72)</f>
        <v>0</v>
      </c>
      <c r="M92" s="16"/>
      <c r="Q92" s="4"/>
      <c r="R92" s="4"/>
      <c r="S92" s="4"/>
      <c r="T92" s="4"/>
      <c r="U92" s="4"/>
      <c r="V92" s="4"/>
      <c r="W92" s="4"/>
      <c r="X92" s="4"/>
      <c r="Y92" s="4"/>
      <c r="Z92" s="4"/>
      <c r="AA92" s="4"/>
      <c r="AB92" s="4"/>
    </row>
    <row r="93" s="48" customFormat="true" ht="15" hidden="false" customHeight="false" outlineLevel="0" collapsed="false">
      <c r="A93" s="524" t="s">
        <v>814</v>
      </c>
      <c r="B93" s="910"/>
      <c r="C93" s="961"/>
      <c r="D93" s="877" t="n">
        <f aca="false">SUM(D85:D92)</f>
        <v>101166.666666667</v>
      </c>
      <c r="E93" s="876"/>
      <c r="F93" s="876" t="n">
        <f aca="false">SUM(F85:F92)</f>
        <v>109055.933333333</v>
      </c>
      <c r="G93" s="876"/>
      <c r="H93" s="876" t="n">
        <f aca="false">SUM(H85:H92)</f>
        <v>117009.6</v>
      </c>
      <c r="I93" s="876"/>
      <c r="J93" s="876" t="n">
        <f aca="false">SUM(J85:J92)</f>
        <v>58425.8</v>
      </c>
      <c r="K93" s="876"/>
      <c r="L93" s="875" t="n">
        <f aca="false">SUM(L85:L92)</f>
        <v>59971</v>
      </c>
      <c r="M93" s="16"/>
      <c r="Q93" s="4"/>
      <c r="R93" s="4"/>
      <c r="S93" s="4"/>
      <c r="T93" s="4"/>
      <c r="U93" s="4"/>
      <c r="V93" s="4"/>
      <c r="W93" s="4"/>
      <c r="X93" s="4"/>
      <c r="Y93" s="4"/>
      <c r="Z93" s="4"/>
      <c r="AA93" s="4"/>
      <c r="AB93" s="4"/>
    </row>
    <row r="94" s="48" customFormat="true" ht="15" hidden="false" customHeight="false" outlineLevel="0" collapsed="false">
      <c r="A94" s="524"/>
      <c r="B94" s="910"/>
      <c r="C94" s="961"/>
      <c r="D94" s="875"/>
      <c r="E94" s="876"/>
      <c r="F94" s="876"/>
      <c r="G94" s="876"/>
      <c r="H94" s="876"/>
      <c r="I94" s="876"/>
      <c r="J94" s="876"/>
      <c r="K94" s="876"/>
      <c r="L94" s="875"/>
      <c r="M94" s="16"/>
      <c r="Q94" s="4"/>
      <c r="R94" s="4"/>
      <c r="S94" s="4"/>
      <c r="T94" s="4"/>
      <c r="U94" s="4"/>
      <c r="V94" s="4"/>
      <c r="W94" s="4"/>
      <c r="X94" s="4"/>
      <c r="Y94" s="4"/>
      <c r="Z94" s="4"/>
      <c r="AA94" s="4"/>
      <c r="AB94" s="4"/>
    </row>
    <row r="95" s="48" customFormat="true" ht="15" hidden="false" customHeight="false" outlineLevel="0" collapsed="false">
      <c r="A95" s="52" t="s">
        <v>815</v>
      </c>
      <c r="B95" s="961"/>
      <c r="C95" s="961"/>
      <c r="D95" s="951" t="n">
        <v>0</v>
      </c>
      <c r="E95" s="996"/>
      <c r="F95" s="997" t="n">
        <v>0</v>
      </c>
      <c r="G95" s="996"/>
      <c r="H95" s="997" t="n">
        <v>0</v>
      </c>
      <c r="I95" s="996"/>
      <c r="J95" s="997" t="n">
        <v>0</v>
      </c>
      <c r="K95" s="996"/>
      <c r="L95" s="951" t="n">
        <v>0</v>
      </c>
      <c r="M95" s="16"/>
      <c r="Q95" s="4"/>
      <c r="R95" s="4"/>
      <c r="S95" s="4"/>
      <c r="T95" s="4"/>
      <c r="U95" s="4"/>
      <c r="V95" s="4"/>
      <c r="W95" s="4"/>
      <c r="X95" s="4"/>
      <c r="Y95" s="4"/>
      <c r="Z95" s="4"/>
      <c r="AA95" s="4"/>
      <c r="AB95" s="4"/>
    </row>
    <row r="96" s="48" customFormat="true" ht="15" hidden="false" customHeight="false" outlineLevel="0" collapsed="false">
      <c r="A96" s="82"/>
      <c r="B96" s="1422"/>
      <c r="C96" s="1422"/>
      <c r="D96" s="966"/>
      <c r="E96" s="967"/>
      <c r="F96" s="967"/>
      <c r="G96" s="967"/>
      <c r="H96" s="967"/>
      <c r="I96" s="967"/>
      <c r="J96" s="967"/>
      <c r="K96" s="967"/>
      <c r="L96" s="966"/>
      <c r="M96" s="16"/>
      <c r="Q96" s="4"/>
      <c r="R96" s="4"/>
      <c r="S96" s="4"/>
      <c r="T96" s="4"/>
      <c r="U96" s="4"/>
      <c r="V96" s="4"/>
      <c r="W96" s="4"/>
      <c r="X96" s="4"/>
      <c r="Y96" s="4"/>
      <c r="Z96" s="4"/>
      <c r="AA96" s="4"/>
      <c r="AB96" s="4"/>
    </row>
    <row r="97" s="48" customFormat="true" ht="21" hidden="true" customHeight="false" outlineLevel="0" collapsed="false">
      <c r="A97" s="1306" t="s">
        <v>525</v>
      </c>
      <c r="B97" s="244"/>
      <c r="C97" s="244"/>
      <c r="D97" s="1423"/>
      <c r="E97" s="1424"/>
      <c r="F97" s="1423"/>
      <c r="G97" s="1423"/>
      <c r="H97" s="1423"/>
      <c r="I97" s="1425"/>
      <c r="J97" s="1423"/>
      <c r="K97" s="1423"/>
      <c r="L97" s="1426" t="str">
        <f aca="false">L1</f>
        <v>7.4.3 Investments, Depreciations and Provisions</v>
      </c>
      <c r="M97" s="16"/>
      <c r="Q97" s="4"/>
      <c r="R97" s="4"/>
      <c r="S97" s="4"/>
      <c r="T97" s="4"/>
      <c r="U97" s="4"/>
      <c r="V97" s="4"/>
      <c r="W97" s="4"/>
      <c r="X97" s="4"/>
      <c r="Y97" s="4"/>
      <c r="Z97" s="4"/>
      <c r="AA97" s="4"/>
      <c r="AB97" s="4"/>
    </row>
    <row r="98" s="48" customFormat="true" ht="15" hidden="true" customHeight="false" outlineLevel="0" collapsed="false">
      <c r="A98" s="52"/>
      <c r="D98" s="876"/>
      <c r="E98" s="876"/>
      <c r="F98" s="876"/>
      <c r="G98" s="876"/>
      <c r="H98" s="876"/>
      <c r="I98" s="876"/>
      <c r="J98" s="876"/>
      <c r="K98" s="876"/>
      <c r="L98" s="962"/>
      <c r="M98" s="16"/>
      <c r="Q98" s="4"/>
      <c r="R98" s="4"/>
      <c r="S98" s="4"/>
      <c r="T98" s="4"/>
      <c r="U98" s="4"/>
      <c r="V98" s="4"/>
      <c r="W98" s="4"/>
      <c r="X98" s="4"/>
      <c r="Y98" s="4"/>
      <c r="Z98" s="4"/>
      <c r="AA98" s="4"/>
      <c r="AB98" s="4"/>
    </row>
    <row r="99" s="48" customFormat="true" ht="18" hidden="true" customHeight="false" outlineLevel="0" collapsed="false">
      <c r="A99" s="850" t="s">
        <v>34</v>
      </c>
      <c r="B99" s="851" t="n">
        <f aca="false">'Reference sheet'!C99</f>
        <v>0</v>
      </c>
      <c r="C99" s="364"/>
      <c r="D99" s="876"/>
      <c r="E99" s="876"/>
      <c r="F99" s="1427" t="s">
        <v>46</v>
      </c>
      <c r="G99" s="1428" t="n">
        <f aca="false">'Reference sheet'!C15</f>
        <v>1</v>
      </c>
      <c r="H99" s="1429" t="s">
        <v>49</v>
      </c>
      <c r="I99" s="368" t="str">
        <f aca="false">'Reference sheet'!C17</f>
        <v>July</v>
      </c>
      <c r="J99" s="1398"/>
      <c r="K99" s="1398" t="s">
        <v>527</v>
      </c>
      <c r="L99" s="1430" t="str">
        <f aca="false">'7.1 Dealer area'!K3</f>
        <v>EUR</v>
      </c>
      <c r="M99" s="16"/>
      <c r="Q99" s="4"/>
      <c r="R99" s="4"/>
      <c r="S99" s="4"/>
      <c r="T99" s="4"/>
      <c r="U99" s="4"/>
      <c r="V99" s="4"/>
      <c r="W99" s="4"/>
      <c r="X99" s="4"/>
      <c r="Y99" s="4"/>
      <c r="Z99" s="4"/>
      <c r="AA99" s="4"/>
      <c r="AB99" s="4"/>
    </row>
    <row r="100" s="48" customFormat="true" ht="15" hidden="true" customHeight="false" outlineLevel="0" collapsed="false">
      <c r="A100" s="52"/>
      <c r="B100" s="682"/>
      <c r="C100" s="1308"/>
      <c r="D100" s="876"/>
      <c r="E100" s="876"/>
      <c r="F100" s="876"/>
      <c r="G100" s="876"/>
      <c r="H100" s="1431"/>
      <c r="I100" s="876"/>
      <c r="J100" s="876"/>
      <c r="K100" s="876"/>
      <c r="L100" s="1432"/>
      <c r="M100" s="16"/>
      <c r="Q100" s="4"/>
      <c r="R100" s="4"/>
      <c r="S100" s="4"/>
      <c r="T100" s="4"/>
      <c r="U100" s="4"/>
      <c r="V100" s="4"/>
      <c r="W100" s="4"/>
      <c r="X100" s="4"/>
      <c r="Y100" s="4"/>
      <c r="Z100" s="4"/>
      <c r="AA100" s="4"/>
      <c r="AB100" s="4"/>
    </row>
    <row r="101" s="48" customFormat="true" ht="15" hidden="true" customHeight="false" outlineLevel="0" collapsed="false">
      <c r="A101" s="52"/>
      <c r="C101" s="1308" t="s">
        <v>825</v>
      </c>
      <c r="D101" s="970"/>
      <c r="E101" s="876"/>
      <c r="F101" s="876"/>
      <c r="G101" s="876"/>
      <c r="H101" s="1431"/>
      <c r="I101" s="876"/>
      <c r="J101" s="876"/>
      <c r="K101" s="876"/>
      <c r="L101" s="1432"/>
      <c r="M101" s="16"/>
      <c r="Q101" s="4"/>
      <c r="R101" s="4"/>
      <c r="S101" s="4"/>
      <c r="T101" s="4"/>
      <c r="U101" s="4"/>
      <c r="V101" s="4"/>
      <c r="W101" s="4"/>
      <c r="X101" s="4"/>
      <c r="Y101" s="4"/>
      <c r="Z101" s="4"/>
      <c r="AA101" s="4"/>
      <c r="AB101" s="4"/>
    </row>
    <row r="102" s="48" customFormat="true" ht="15" hidden="true" customHeight="false" outlineLevel="0" collapsed="false">
      <c r="A102" s="52"/>
      <c r="C102" s="1308" t="s">
        <v>826</v>
      </c>
      <c r="D102" s="1433" t="n">
        <f aca="false">'Reference sheet'!C18</f>
        <v>2018</v>
      </c>
      <c r="E102" s="904"/>
      <c r="F102" s="1433" t="n">
        <f aca="false">D102+1</f>
        <v>2019</v>
      </c>
      <c r="G102" s="971"/>
      <c r="H102" s="1433" t="n">
        <f aca="false">F102+1</f>
        <v>2020</v>
      </c>
      <c r="I102" s="972"/>
      <c r="J102" s="1433" t="n">
        <f aca="false">H102+1</f>
        <v>2021</v>
      </c>
      <c r="K102" s="972"/>
      <c r="L102" s="1433" t="n">
        <f aca="false">J102+1</f>
        <v>2022</v>
      </c>
      <c r="M102" s="16"/>
      <c r="Q102" s="4"/>
      <c r="R102" s="4"/>
      <c r="S102" s="4"/>
      <c r="T102" s="4"/>
      <c r="U102" s="4"/>
      <c r="V102" s="4"/>
      <c r="W102" s="4"/>
      <c r="X102" s="4"/>
      <c r="Y102" s="4"/>
      <c r="Z102" s="4"/>
      <c r="AA102" s="4"/>
      <c r="AB102" s="4"/>
    </row>
    <row r="103" s="23" customFormat="true" ht="18" hidden="true" customHeight="false" outlineLevel="0" collapsed="false">
      <c r="A103" s="315" t="s">
        <v>845</v>
      </c>
      <c r="B103" s="332"/>
      <c r="C103" s="332"/>
      <c r="D103" s="1413"/>
      <c r="E103" s="1413"/>
      <c r="F103" s="1413"/>
      <c r="G103" s="1413"/>
      <c r="H103" s="1413"/>
      <c r="I103" s="1413"/>
      <c r="J103" s="1413"/>
      <c r="K103" s="1413"/>
      <c r="L103" s="1414"/>
      <c r="M103" s="1312"/>
      <c r="Q103" s="4"/>
      <c r="R103" s="4"/>
      <c r="S103" s="4"/>
      <c r="T103" s="4"/>
      <c r="U103" s="4"/>
      <c r="V103" s="4"/>
      <c r="W103" s="4"/>
      <c r="X103" s="4"/>
      <c r="Y103" s="4"/>
      <c r="Z103" s="4"/>
      <c r="AA103" s="4"/>
      <c r="AB103" s="4"/>
    </row>
    <row r="104" customFormat="false" ht="15" hidden="true" customHeight="false" outlineLevel="0" collapsed="false">
      <c r="A104" s="506"/>
      <c r="B104" s="1434"/>
      <c r="C104" s="1415"/>
      <c r="D104" s="877"/>
      <c r="E104" s="1148"/>
      <c r="F104" s="1148"/>
      <c r="G104" s="1148"/>
      <c r="H104" s="1148"/>
      <c r="I104" s="1148"/>
      <c r="J104" s="1148"/>
      <c r="K104" s="1148"/>
      <c r="L104" s="877"/>
    </row>
    <row r="105" customFormat="false" ht="15" hidden="true" customHeight="false" outlineLevel="0" collapsed="false">
      <c r="A105" s="52" t="s">
        <v>802</v>
      </c>
      <c r="B105" s="1420"/>
      <c r="C105" s="1420"/>
      <c r="D105" s="924" t="n">
        <f aca="false">D82</f>
        <v>10752.6666666667</v>
      </c>
      <c r="E105" s="876"/>
      <c r="F105" s="925" t="n">
        <f aca="false">F82</f>
        <v>10752.6666666667</v>
      </c>
      <c r="G105" s="925"/>
      <c r="H105" s="925" t="n">
        <f aca="false">H82</f>
        <v>0</v>
      </c>
      <c r="I105" s="876"/>
      <c r="J105" s="925" t="n">
        <f aca="false">J82</f>
        <v>0</v>
      </c>
      <c r="K105" s="876"/>
      <c r="L105" s="924" t="n">
        <f aca="false">L82</f>
        <v>0</v>
      </c>
      <c r="M105" s="16"/>
      <c r="N105" s="925"/>
    </row>
    <row r="106" customFormat="false" ht="15" hidden="true" customHeight="false" outlineLevel="0" collapsed="false">
      <c r="A106" s="52"/>
      <c r="B106" s="1420"/>
      <c r="C106" s="1420"/>
      <c r="D106" s="924"/>
      <c r="E106" s="876"/>
      <c r="F106" s="925"/>
      <c r="G106" s="876"/>
      <c r="H106" s="925"/>
      <c r="I106" s="876"/>
      <c r="J106" s="925"/>
      <c r="K106" s="876"/>
      <c r="L106" s="924"/>
      <c r="M106" s="16"/>
      <c r="N106" s="925"/>
    </row>
    <row r="107" customFormat="false" ht="15" hidden="true" customHeight="false" outlineLevel="0" collapsed="false">
      <c r="A107" s="52" t="s">
        <v>803</v>
      </c>
      <c r="B107" s="252"/>
      <c r="C107" s="252"/>
      <c r="D107" s="924"/>
      <c r="E107" s="876"/>
      <c r="F107" s="925"/>
      <c r="G107" s="876"/>
      <c r="H107" s="925"/>
      <c r="I107" s="876"/>
      <c r="J107" s="925"/>
      <c r="K107" s="876"/>
      <c r="L107" s="924"/>
      <c r="M107" s="16"/>
    </row>
    <row r="108" customFormat="false" ht="15" hidden="true" customHeight="false" outlineLevel="0" collapsed="false">
      <c r="A108" s="524" t="s">
        <v>804</v>
      </c>
      <c r="B108" s="961"/>
      <c r="C108" s="961"/>
      <c r="D108" s="924" t="n">
        <f aca="false">D85</f>
        <v>0</v>
      </c>
      <c r="E108" s="876"/>
      <c r="F108" s="925" t="n">
        <f aca="false">F85</f>
        <v>0</v>
      </c>
      <c r="G108" s="876"/>
      <c r="H108" s="925" t="n">
        <f aca="false">H85</f>
        <v>0</v>
      </c>
      <c r="I108" s="876"/>
      <c r="J108" s="925" t="n">
        <f aca="false">J85</f>
        <v>0</v>
      </c>
      <c r="K108" s="876"/>
      <c r="L108" s="924" t="n">
        <f aca="false">L85</f>
        <v>0</v>
      </c>
      <c r="M108" s="1409"/>
    </row>
    <row r="109" customFormat="false" ht="15" hidden="true" customHeight="false" outlineLevel="0" collapsed="false">
      <c r="A109" s="524" t="s">
        <v>805</v>
      </c>
      <c r="B109" s="961"/>
      <c r="C109" s="961"/>
      <c r="D109" s="924" t="n">
        <f aca="false">D86</f>
        <v>17500</v>
      </c>
      <c r="E109" s="876"/>
      <c r="F109" s="925" t="n">
        <f aca="false">F86</f>
        <v>18000</v>
      </c>
      <c r="G109" s="876"/>
      <c r="H109" s="925" t="n">
        <f aca="false">H86</f>
        <v>18500</v>
      </c>
      <c r="I109" s="876"/>
      <c r="J109" s="925" t="n">
        <f aca="false">J86</f>
        <v>19000</v>
      </c>
      <c r="K109" s="876"/>
      <c r="L109" s="924" t="n">
        <f aca="false">L86</f>
        <v>19500</v>
      </c>
      <c r="M109" s="1409"/>
    </row>
    <row r="110" customFormat="false" ht="15" hidden="true" customHeight="false" outlineLevel="0" collapsed="false">
      <c r="A110" s="524" t="s">
        <v>844</v>
      </c>
      <c r="B110" s="961"/>
      <c r="C110" s="961"/>
      <c r="D110" s="924" t="n">
        <f aca="false">D87</f>
        <v>66666.6666666667</v>
      </c>
      <c r="E110" s="876"/>
      <c r="F110" s="925" t="n">
        <f aca="false">F87</f>
        <v>73333.3333333333</v>
      </c>
      <c r="G110" s="876"/>
      <c r="H110" s="925" t="n">
        <f aca="false">H87</f>
        <v>80000</v>
      </c>
      <c r="I110" s="876"/>
      <c r="J110" s="925" t="n">
        <f aca="false">J87</f>
        <v>20000</v>
      </c>
      <c r="K110" s="876"/>
      <c r="L110" s="924" t="n">
        <f aca="false">L87</f>
        <v>20000</v>
      </c>
      <c r="M110" s="1409"/>
    </row>
    <row r="111" customFormat="false" ht="15" hidden="true" customHeight="false" outlineLevel="0" collapsed="false">
      <c r="A111" s="524" t="s">
        <v>807</v>
      </c>
      <c r="B111" s="961"/>
      <c r="C111" s="961"/>
      <c r="D111" s="924" t="n">
        <f aca="false">D88</f>
        <v>9000</v>
      </c>
      <c r="E111" s="876"/>
      <c r="F111" s="925" t="n">
        <f aca="false">F88</f>
        <v>9400</v>
      </c>
      <c r="G111" s="876"/>
      <c r="H111" s="925" t="n">
        <f aca="false">H88</f>
        <v>9800</v>
      </c>
      <c r="I111" s="876"/>
      <c r="J111" s="925" t="n">
        <f aca="false">J88</f>
        <v>10200</v>
      </c>
      <c r="K111" s="876"/>
      <c r="L111" s="924" t="n">
        <f aca="false">L88</f>
        <v>10600</v>
      </c>
      <c r="M111" s="1409"/>
    </row>
    <row r="112" customFormat="false" ht="15" hidden="true" customHeight="false" outlineLevel="0" collapsed="false">
      <c r="A112" s="524" t="s">
        <v>809</v>
      </c>
      <c r="B112" s="961"/>
      <c r="C112" s="961"/>
      <c r="D112" s="924" t="n">
        <f aca="false">D89</f>
        <v>8000</v>
      </c>
      <c r="E112" s="876"/>
      <c r="F112" s="925" t="n">
        <f aca="false">F89</f>
        <v>8322.6</v>
      </c>
      <c r="G112" s="876"/>
      <c r="H112" s="925" t="n">
        <f aca="false">H89</f>
        <v>8709.6</v>
      </c>
      <c r="I112" s="876"/>
      <c r="J112" s="925" t="n">
        <f aca="false">J89</f>
        <v>9225.8</v>
      </c>
      <c r="K112" s="876"/>
      <c r="L112" s="924" t="n">
        <f aca="false">L89</f>
        <v>9871</v>
      </c>
      <c r="M112" s="1409"/>
    </row>
    <row r="113" customFormat="false" ht="15" hidden="true" customHeight="false" outlineLevel="0" collapsed="false">
      <c r="A113" s="524" t="s">
        <v>811</v>
      </c>
      <c r="B113" s="961"/>
      <c r="C113" s="961"/>
      <c r="D113" s="924" t="n">
        <f aca="false">D90</f>
        <v>0</v>
      </c>
      <c r="E113" s="876"/>
      <c r="F113" s="925" t="n">
        <f aca="false">F90</f>
        <v>0</v>
      </c>
      <c r="G113" s="876"/>
      <c r="H113" s="925" t="n">
        <f aca="false">H90</f>
        <v>0</v>
      </c>
      <c r="I113" s="876"/>
      <c r="J113" s="925" t="n">
        <f aca="false">J90</f>
        <v>0</v>
      </c>
      <c r="K113" s="876"/>
      <c r="L113" s="924" t="n">
        <f aca="false">L90</f>
        <v>0</v>
      </c>
      <c r="M113" s="1409"/>
    </row>
    <row r="114" customFormat="false" ht="15" hidden="true" customHeight="false" outlineLevel="0" collapsed="false">
      <c r="A114" s="52" t="s">
        <v>812</v>
      </c>
      <c r="B114" s="961"/>
      <c r="C114" s="961"/>
      <c r="D114" s="924" t="n">
        <f aca="false">D91</f>
        <v>0</v>
      </c>
      <c r="E114" s="876"/>
      <c r="F114" s="925" t="n">
        <f aca="false">F91</f>
        <v>0</v>
      </c>
      <c r="G114" s="876"/>
      <c r="H114" s="925" t="n">
        <f aca="false">H91</f>
        <v>0</v>
      </c>
      <c r="I114" s="876"/>
      <c r="J114" s="925" t="n">
        <f aca="false">J91</f>
        <v>0</v>
      </c>
      <c r="K114" s="876"/>
      <c r="L114" s="924" t="n">
        <f aca="false">L91</f>
        <v>0</v>
      </c>
      <c r="M114" s="1409"/>
    </row>
    <row r="115" customFormat="false" ht="15" hidden="true" customHeight="false" outlineLevel="0" collapsed="false">
      <c r="A115" s="52" t="s">
        <v>813</v>
      </c>
      <c r="B115" s="961"/>
      <c r="C115" s="961"/>
      <c r="D115" s="926" t="n">
        <f aca="false">D92</f>
        <v>0</v>
      </c>
      <c r="E115" s="876"/>
      <c r="F115" s="927" t="n">
        <f aca="false">F92</f>
        <v>0</v>
      </c>
      <c r="G115" s="876"/>
      <c r="H115" s="927" t="n">
        <f aca="false">H92</f>
        <v>0</v>
      </c>
      <c r="I115" s="876"/>
      <c r="J115" s="927" t="n">
        <f aca="false">J92</f>
        <v>0</v>
      </c>
      <c r="K115" s="876"/>
      <c r="L115" s="926" t="n">
        <f aca="false">L92</f>
        <v>0</v>
      </c>
      <c r="M115" s="1409"/>
    </row>
    <row r="116" customFormat="false" ht="15" hidden="true" customHeight="false" outlineLevel="0" collapsed="false">
      <c r="A116" s="524" t="s">
        <v>814</v>
      </c>
      <c r="B116" s="961"/>
      <c r="C116" s="961"/>
      <c r="D116" s="877" t="n">
        <f aca="false">SUM(D108:D115)</f>
        <v>101166.666666667</v>
      </c>
      <c r="E116" s="876"/>
      <c r="F116" s="876" t="n">
        <f aca="false">SUM(F108:F115)</f>
        <v>109055.933333333</v>
      </c>
      <c r="G116" s="876"/>
      <c r="H116" s="876" t="n">
        <f aca="false">SUM(H108:H115)</f>
        <v>117009.6</v>
      </c>
      <c r="I116" s="876"/>
      <c r="J116" s="876" t="n">
        <f aca="false">SUM(J108:J115)</f>
        <v>58425.8</v>
      </c>
      <c r="K116" s="876"/>
      <c r="L116" s="877" t="n">
        <f aca="false">SUM(L108:L115)</f>
        <v>59971</v>
      </c>
    </row>
    <row r="117" customFormat="false" ht="15" hidden="true" customHeight="false" outlineLevel="0" collapsed="false">
      <c r="A117" s="52"/>
      <c r="B117" s="48"/>
      <c r="C117" s="48"/>
      <c r="D117" s="875"/>
      <c r="E117" s="876"/>
      <c r="F117" s="876"/>
      <c r="G117" s="876"/>
      <c r="H117" s="876"/>
      <c r="I117" s="876"/>
      <c r="J117" s="876"/>
      <c r="K117" s="876"/>
      <c r="L117" s="875"/>
    </row>
    <row r="118" customFormat="false" ht="15" hidden="true" customHeight="false" outlineLevel="0" collapsed="false">
      <c r="A118" s="52" t="s">
        <v>815</v>
      </c>
      <c r="B118" s="48"/>
      <c r="C118" s="48"/>
      <c r="D118" s="875" t="n">
        <f aca="false">D43+D95</f>
        <v>0</v>
      </c>
      <c r="E118" s="876"/>
      <c r="F118" s="876" t="n">
        <f aca="false">F43+F95</f>
        <v>0</v>
      </c>
      <c r="G118" s="876"/>
      <c r="H118" s="876" t="n">
        <f aca="false">H43+H95</f>
        <v>0</v>
      </c>
      <c r="I118" s="876"/>
      <c r="J118" s="876" t="n">
        <f aca="false">J43+J95</f>
        <v>0</v>
      </c>
      <c r="K118" s="876"/>
      <c r="L118" s="875" t="n">
        <f aca="false">L43+L95</f>
        <v>0</v>
      </c>
    </row>
    <row r="119" customFormat="false" ht="15" hidden="true" customHeight="false" outlineLevel="0" collapsed="false">
      <c r="A119" s="82"/>
      <c r="B119" s="1203"/>
      <c r="C119" s="1203"/>
      <c r="D119" s="926"/>
      <c r="E119" s="927"/>
      <c r="F119" s="927"/>
      <c r="G119" s="927"/>
      <c r="H119" s="927"/>
      <c r="I119" s="927"/>
      <c r="J119" s="927"/>
      <c r="K119" s="927"/>
      <c r="L119" s="926"/>
    </row>
    <row r="120" customFormat="false" ht="15" hidden="true" customHeight="false" outlineLevel="0" collapsed="false">
      <c r="A120" s="134"/>
      <c r="B120" s="961"/>
      <c r="C120" s="961"/>
      <c r="D120" s="924"/>
      <c r="E120" s="925"/>
      <c r="F120" s="925"/>
      <c r="G120" s="925"/>
      <c r="H120" s="925"/>
      <c r="I120" s="925"/>
      <c r="J120" s="925"/>
      <c r="K120" s="925"/>
      <c r="L120" s="924"/>
    </row>
    <row r="121" customFormat="false" ht="15" hidden="true" customHeight="false" outlineLevel="0" collapsed="false">
      <c r="A121" s="157" t="s">
        <v>823</v>
      </c>
      <c r="B121" s="86"/>
      <c r="C121" s="86"/>
      <c r="D121" s="1015" t="n">
        <f aca="false">D105+D116+D118</f>
        <v>111919.333333333</v>
      </c>
      <c r="E121" s="876"/>
      <c r="F121" s="925" t="n">
        <f aca="false">F105+F116+F118</f>
        <v>119808.6</v>
      </c>
      <c r="G121" s="876"/>
      <c r="H121" s="925" t="n">
        <f aca="false">H105+H116+H118</f>
        <v>117009.6</v>
      </c>
      <c r="I121" s="876"/>
      <c r="J121" s="925" t="n">
        <f aca="false">J105+J116+J118</f>
        <v>58425.8</v>
      </c>
      <c r="K121" s="876"/>
      <c r="L121" s="924" t="n">
        <f aca="false">L105+L116+L118</f>
        <v>59971</v>
      </c>
      <c r="M121" s="1409"/>
    </row>
    <row r="122" customFormat="false" ht="15" hidden="false" customHeight="false" outlineLevel="0" collapsed="false">
      <c r="A122" s="135"/>
      <c r="B122" s="83"/>
      <c r="C122" s="83"/>
      <c r="D122" s="926"/>
      <c r="E122" s="927"/>
      <c r="F122" s="927"/>
      <c r="G122" s="927"/>
      <c r="H122" s="927"/>
      <c r="I122" s="927"/>
      <c r="J122" s="927"/>
      <c r="K122" s="927"/>
      <c r="L122" s="926"/>
    </row>
    <row r="123" s="23" customFormat="true" ht="18" hidden="false" customHeight="false" outlineLevel="0" collapsed="false">
      <c r="A123" s="315" t="s">
        <v>846</v>
      </c>
      <c r="B123" s="332"/>
      <c r="C123" s="332"/>
      <c r="D123" s="1413"/>
      <c r="E123" s="1413"/>
      <c r="F123" s="1413"/>
      <c r="G123" s="1413"/>
      <c r="H123" s="1413"/>
      <c r="I123" s="1413"/>
      <c r="J123" s="1413"/>
      <c r="K123" s="1413"/>
      <c r="L123" s="1414"/>
      <c r="M123" s="1312"/>
    </row>
    <row r="124" customFormat="false" ht="15" hidden="false" customHeight="false" outlineLevel="0" collapsed="false">
      <c r="A124" s="589"/>
      <c r="B124" s="86"/>
      <c r="C124" s="86"/>
      <c r="D124" s="1435"/>
      <c r="E124" s="925"/>
      <c r="F124" s="925"/>
      <c r="G124" s="925"/>
      <c r="H124" s="925"/>
      <c r="I124" s="925"/>
      <c r="J124" s="925"/>
      <c r="K124" s="925"/>
      <c r="L124" s="1435"/>
    </row>
    <row r="125" customFormat="false" ht="15" hidden="false" customHeight="false" outlineLevel="0" collapsed="false">
      <c r="A125" s="52" t="s">
        <v>847</v>
      </c>
      <c r="B125" s="48"/>
      <c r="C125" s="48"/>
      <c r="D125" s="875"/>
      <c r="E125" s="876"/>
      <c r="F125" s="876"/>
      <c r="G125" s="876"/>
      <c r="H125" s="876"/>
      <c r="I125" s="876"/>
      <c r="J125" s="876"/>
      <c r="K125" s="996"/>
      <c r="L125" s="875"/>
    </row>
    <row r="126" customFormat="false" ht="15" hidden="false" customHeight="false" outlineLevel="0" collapsed="false">
      <c r="A126" s="52" t="s">
        <v>848</v>
      </c>
      <c r="B126" s="48"/>
      <c r="C126" s="48"/>
      <c r="D126" s="951" t="n">
        <v>0</v>
      </c>
      <c r="E126" s="869"/>
      <c r="F126" s="997" t="n">
        <v>0</v>
      </c>
      <c r="G126" s="869"/>
      <c r="H126" s="997" t="n">
        <v>0</v>
      </c>
      <c r="I126" s="869"/>
      <c r="J126" s="997" t="n">
        <v>0</v>
      </c>
      <c r="K126" s="869"/>
      <c r="L126" s="951" t="n">
        <v>0</v>
      </c>
    </row>
    <row r="127" customFormat="false" ht="15" hidden="false" customHeight="false" outlineLevel="0" collapsed="false">
      <c r="A127" s="52" t="s">
        <v>849</v>
      </c>
      <c r="B127" s="961"/>
      <c r="C127" s="961"/>
      <c r="D127" s="951" t="n">
        <v>0</v>
      </c>
      <c r="E127" s="869"/>
      <c r="F127" s="997" t="n">
        <v>0</v>
      </c>
      <c r="G127" s="869"/>
      <c r="H127" s="997" t="n">
        <v>0</v>
      </c>
      <c r="I127" s="869"/>
      <c r="J127" s="997" t="n">
        <v>0</v>
      </c>
      <c r="K127" s="869"/>
      <c r="L127" s="951" t="n">
        <v>0</v>
      </c>
    </row>
    <row r="128" customFormat="false" ht="15" hidden="false" customHeight="false" outlineLevel="0" collapsed="false">
      <c r="A128" s="52" t="s">
        <v>850</v>
      </c>
      <c r="B128" s="961"/>
      <c r="C128" s="961"/>
      <c r="D128" s="951" t="n">
        <v>0</v>
      </c>
      <c r="E128" s="869"/>
      <c r="F128" s="997" t="n">
        <v>0</v>
      </c>
      <c r="G128" s="869"/>
      <c r="H128" s="997" t="n">
        <v>0</v>
      </c>
      <c r="I128" s="869"/>
      <c r="J128" s="997" t="n">
        <v>0</v>
      </c>
      <c r="K128" s="869"/>
      <c r="L128" s="951" t="n">
        <v>0</v>
      </c>
    </row>
    <row r="129" customFormat="false" ht="15" hidden="false" customHeight="false" outlineLevel="0" collapsed="false">
      <c r="A129" s="52" t="s">
        <v>851</v>
      </c>
      <c r="B129" s="961"/>
      <c r="C129" s="961"/>
      <c r="D129" s="951" t="n">
        <v>16129</v>
      </c>
      <c r="E129" s="869"/>
      <c r="F129" s="997" t="n">
        <v>0</v>
      </c>
      <c r="G129" s="869"/>
      <c r="H129" s="997" t="n">
        <v>0</v>
      </c>
      <c r="I129" s="869"/>
      <c r="J129" s="997" t="n">
        <v>0</v>
      </c>
      <c r="K129" s="869"/>
      <c r="L129" s="951" t="n">
        <v>0</v>
      </c>
    </row>
    <row r="130" customFormat="false" ht="15" hidden="false" customHeight="false" outlineLevel="0" collapsed="false">
      <c r="A130" s="52" t="s">
        <v>852</v>
      </c>
      <c r="B130" s="961"/>
      <c r="C130" s="961"/>
      <c r="D130" s="951" t="n">
        <v>0</v>
      </c>
      <c r="E130" s="869"/>
      <c r="F130" s="997" t="n">
        <v>0</v>
      </c>
      <c r="G130" s="869"/>
      <c r="H130" s="997" t="n">
        <v>0</v>
      </c>
      <c r="I130" s="869"/>
      <c r="J130" s="997" t="n">
        <v>0</v>
      </c>
      <c r="K130" s="869"/>
      <c r="L130" s="951" t="n">
        <v>0</v>
      </c>
    </row>
    <row r="131" customFormat="false" ht="15" hidden="false" customHeight="false" outlineLevel="0" collapsed="false">
      <c r="A131" s="134" t="s">
        <v>293</v>
      </c>
      <c r="B131" s="961"/>
      <c r="C131" s="961"/>
      <c r="D131" s="953" t="n">
        <f aca="false">SUM(D126:D130)</f>
        <v>16129</v>
      </c>
      <c r="E131" s="869"/>
      <c r="F131" s="1436" t="n">
        <f aca="false">SUM(F126:F130)</f>
        <v>0</v>
      </c>
      <c r="G131" s="869"/>
      <c r="H131" s="1436" t="n">
        <f aca="false">SUM(H126:H130)</f>
        <v>0</v>
      </c>
      <c r="I131" s="869"/>
      <c r="J131" s="1436" t="n">
        <f aca="false">SUM(J126:J130)</f>
        <v>0</v>
      </c>
      <c r="K131" s="869"/>
      <c r="L131" s="1437" t="n">
        <f aca="false">SUM(L126:L130)</f>
        <v>0</v>
      </c>
    </row>
    <row r="132" customFormat="false" ht="15" hidden="false" customHeight="false" outlineLevel="0" collapsed="false">
      <c r="A132" s="52" t="s">
        <v>853</v>
      </c>
      <c r="B132" s="961"/>
      <c r="C132" s="961"/>
      <c r="D132" s="951" t="n">
        <v>0</v>
      </c>
      <c r="E132" s="869"/>
      <c r="F132" s="997" t="n">
        <v>0</v>
      </c>
      <c r="G132" s="869"/>
      <c r="H132" s="997" t="n">
        <v>0</v>
      </c>
      <c r="I132" s="869"/>
      <c r="J132" s="997" t="n">
        <v>0</v>
      </c>
      <c r="K132" s="869"/>
      <c r="L132" s="951" t="n">
        <v>0</v>
      </c>
    </row>
    <row r="133" customFormat="false" ht="15" hidden="false" customHeight="false" outlineLevel="0" collapsed="false">
      <c r="A133" s="82"/>
      <c r="D133" s="875"/>
      <c r="E133" s="1408"/>
      <c r="F133" s="1376"/>
      <c r="G133" s="1408"/>
      <c r="H133" s="1376"/>
      <c r="I133" s="1408"/>
      <c r="J133" s="1376"/>
      <c r="K133" s="1408"/>
      <c r="L133" s="966"/>
    </row>
    <row r="134" s="258" customFormat="true" ht="15" hidden="false" customHeight="false" outlineLevel="0" collapsed="false">
      <c r="A134" s="1438"/>
      <c r="D134" s="1152"/>
      <c r="E134" s="1001"/>
      <c r="F134" s="1008"/>
      <c r="G134" s="1001"/>
      <c r="H134" s="1008"/>
      <c r="I134" s="1001"/>
      <c r="J134" s="1008"/>
      <c r="K134" s="1001"/>
      <c r="L134" s="1152"/>
      <c r="M134" s="1439"/>
    </row>
    <row r="135" customFormat="false" ht="15" hidden="false" customHeight="false" outlineLevel="0" collapsed="false">
      <c r="A135" s="562" t="s">
        <v>293</v>
      </c>
      <c r="B135" s="48"/>
      <c r="C135" s="48"/>
      <c r="D135" s="875" t="n">
        <f aca="false">D129+D127+D128+D130+D126</f>
        <v>16129</v>
      </c>
      <c r="E135" s="869"/>
      <c r="F135" s="997" t="n">
        <f aca="false">F129+F127+F128+F130+F126</f>
        <v>0</v>
      </c>
      <c r="G135" s="869"/>
      <c r="H135" s="997" t="n">
        <f aca="false">H129+H127+H128+H130+H126</f>
        <v>0</v>
      </c>
      <c r="I135" s="869"/>
      <c r="J135" s="997" t="n">
        <f aca="false">J129+J127+J128+J130+J126</f>
        <v>0</v>
      </c>
      <c r="K135" s="869"/>
      <c r="L135" s="951" t="n">
        <f aca="false">L129+L127+L128+L130+L126</f>
        <v>0</v>
      </c>
    </row>
    <row r="136" customFormat="false" ht="15" hidden="false" customHeight="false" outlineLevel="0" collapsed="false">
      <c r="A136" s="562"/>
      <c r="B136" s="48"/>
      <c r="C136" s="48"/>
      <c r="D136" s="875"/>
      <c r="E136" s="996"/>
      <c r="F136" s="876"/>
      <c r="G136" s="996"/>
      <c r="H136" s="876"/>
      <c r="I136" s="996"/>
      <c r="J136" s="876"/>
      <c r="K136" s="996"/>
      <c r="L136" s="875"/>
    </row>
    <row r="137" customFormat="false" ht="15" hidden="false" customHeight="false" outlineLevel="0" collapsed="false">
      <c r="A137" s="82"/>
      <c r="B137" s="107"/>
      <c r="C137" s="107"/>
      <c r="D137" s="966"/>
      <c r="E137" s="967"/>
      <c r="F137" s="967"/>
      <c r="G137" s="967"/>
      <c r="H137" s="967"/>
      <c r="I137" s="967"/>
      <c r="J137" s="967"/>
      <c r="K137" s="967"/>
      <c r="L137" s="966"/>
    </row>
  </sheetData>
  <scenarios current="0" show="0">
    <scenario name="Omzet daling" locked="true" count="1" user="Calc" comment="Gemaakt door marco eijkens op 21-7-2008">
      <inputCells r="F121" val="0"/>
    </scenario>
  </scenario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1" manualBreakCount="1">
    <brk id="96" man="true" max="16383" min="0"/>
  </rowBreaks>
  <drawing r:id="rId1"/>
</worksheet>
</file>

<file path=xl/worksheets/sheet51.xml><?xml version="1.0" encoding="utf-8"?>
<worksheet xmlns="http://schemas.openxmlformats.org/spreadsheetml/2006/main" xmlns:r="http://schemas.openxmlformats.org/officeDocument/2006/relationships">
  <sheetPr filterMode="false">
    <tabColor rgb="FFC0C0C0"/>
    <pageSetUpPr fitToPage="true"/>
  </sheetPr>
  <dimension ref="A1:L85"/>
  <sheetViews>
    <sheetView showFormulas="false" showGridLines="false" showRowColHeaders="true" showZeros="true" rightToLeft="false" tabSelected="false" showOutlineSymbols="true" defaultGridColor="true" view="normal" topLeftCell="A28" colorId="64" zoomScale="90" zoomScaleNormal="90" zoomScalePageLayoutView="100" workbookViewId="0">
      <selection pane="topLeft" activeCell="B48" activeCellId="0" sqref="B48"/>
    </sheetView>
  </sheetViews>
  <sheetFormatPr defaultRowHeight="12.75" zeroHeight="true" outlineLevelRow="0" outlineLevelCol="0"/>
  <cols>
    <col collapsed="false" customWidth="true" hidden="false" outlineLevel="0" max="1" min="1" style="0" width="26.58"/>
    <col collapsed="false" customWidth="true" hidden="false" outlineLevel="0" max="12" min="2" style="0" width="12.29"/>
    <col collapsed="false" customWidth="true" hidden="false" outlineLevel="0" max="13" min="13" style="0" width="2.99"/>
    <col collapsed="false" customWidth="true" hidden="false" outlineLevel="0" max="1025" min="14" style="0" width="8.67"/>
  </cols>
  <sheetData>
    <row r="1" customFormat="false" ht="28.5" hidden="false" customHeight="false" outlineLevel="0" collapsed="false">
      <c r="A1" s="113" t="s">
        <v>525</v>
      </c>
      <c r="B1" s="114"/>
      <c r="C1" s="114"/>
      <c r="D1" s="114"/>
      <c r="E1" s="114"/>
      <c r="F1" s="114"/>
      <c r="G1" s="114"/>
      <c r="H1" s="114"/>
      <c r="I1" s="114"/>
      <c r="J1" s="114"/>
      <c r="K1" s="115"/>
      <c r="L1" s="1440" t="s">
        <v>854</v>
      </c>
    </row>
    <row r="2" customFormat="false" ht="15" hidden="false" customHeight="false" outlineLevel="0" collapsed="false">
      <c r="A2" s="1441"/>
      <c r="B2" s="1442"/>
      <c r="C2" s="1442"/>
      <c r="D2" s="1442"/>
      <c r="E2" s="1442"/>
      <c r="F2" s="1443"/>
      <c r="G2" s="1442"/>
      <c r="H2" s="1442"/>
      <c r="I2" s="1442"/>
      <c r="J2" s="1442"/>
      <c r="K2" s="1442"/>
      <c r="L2" s="1444"/>
    </row>
    <row r="3" customFormat="false" ht="18" hidden="false" customHeight="false" outlineLevel="0" collapsed="false">
      <c r="A3" s="1445" t="s">
        <v>34</v>
      </c>
      <c r="B3" s="1446" t="str">
        <f aca="false">'Reference sheet'!C12</f>
        <v>TEST</v>
      </c>
      <c r="C3" s="1447"/>
      <c r="D3" s="1442"/>
      <c r="E3" s="1442"/>
      <c r="F3" s="1448" t="s">
        <v>46</v>
      </c>
      <c r="G3" s="1449" t="n">
        <f aca="false">'Reference sheet'!C15</f>
        <v>1</v>
      </c>
      <c r="H3" s="1450" t="s">
        <v>49</v>
      </c>
      <c r="I3" s="1451" t="str">
        <f aca="false">'Reference sheet'!C17</f>
        <v>July</v>
      </c>
      <c r="J3" s="1451" t="n">
        <f aca="false">'Reference sheet'!D17</f>
        <v>2018</v>
      </c>
      <c r="K3" s="1452" t="s">
        <v>527</v>
      </c>
      <c r="L3" s="1453" t="str">
        <f aca="false">'Reference sheet'!C21</f>
        <v>EUR</v>
      </c>
    </row>
    <row r="4" customFormat="false" ht="15" hidden="false" customHeight="false" outlineLevel="0" collapsed="false">
      <c r="A4" s="1441"/>
      <c r="B4" s="1454"/>
      <c r="C4" s="1455"/>
      <c r="D4" s="1442"/>
      <c r="E4" s="1442"/>
      <c r="F4" s="1442"/>
      <c r="G4" s="1442"/>
      <c r="H4" s="1456"/>
      <c r="I4" s="1442"/>
      <c r="J4" s="1442"/>
      <c r="K4" s="1442"/>
      <c r="L4" s="1457"/>
    </row>
    <row r="5" customFormat="false" ht="15" hidden="false" customHeight="false" outlineLevel="0" collapsed="false">
      <c r="A5" s="1458"/>
      <c r="B5" s="1459"/>
      <c r="C5" s="1460" t="s">
        <v>825</v>
      </c>
      <c r="D5" s="1461"/>
      <c r="E5" s="1459"/>
      <c r="F5" s="1459"/>
      <c r="G5" s="1459"/>
      <c r="H5" s="1462"/>
      <c r="I5" s="1459"/>
      <c r="J5" s="1459"/>
      <c r="K5" s="1459"/>
      <c r="L5" s="1463"/>
    </row>
    <row r="6" customFormat="false" ht="15" hidden="false" customHeight="false" outlineLevel="0" collapsed="false">
      <c r="A6" s="1458"/>
      <c r="B6" s="1464"/>
      <c r="C6" s="1460" t="s">
        <v>826</v>
      </c>
      <c r="D6" s="1465" t="n">
        <f aca="false">+'7.1 Dealer area'!C5</f>
        <v>2019</v>
      </c>
      <c r="E6" s="1466" t="n">
        <f aca="false">+'7.1 Dealer area'!E5</f>
        <v>2020</v>
      </c>
      <c r="F6" s="1466"/>
      <c r="G6" s="1466" t="n">
        <f aca="false">+'7.1 Dealer area'!G5</f>
        <v>2021</v>
      </c>
      <c r="H6" s="1466"/>
      <c r="I6" s="1466" t="n">
        <f aca="false">+'7.1 Dealer area'!I5</f>
        <v>2022</v>
      </c>
      <c r="J6" s="1466"/>
      <c r="K6" s="1466" t="n">
        <f aca="false">+'7.1 Dealer area'!K5</f>
        <v>2023</v>
      </c>
      <c r="L6" s="1466"/>
    </row>
    <row r="7" customFormat="false" ht="18.75" hidden="false" customHeight="false" outlineLevel="0" collapsed="false">
      <c r="A7" s="1467" t="s">
        <v>855</v>
      </c>
      <c r="B7" s="1468"/>
      <c r="C7" s="1469"/>
      <c r="D7" s="1470"/>
      <c r="E7" s="1470"/>
      <c r="F7" s="1470"/>
      <c r="G7" s="1470"/>
      <c r="H7" s="1471"/>
      <c r="I7" s="1470"/>
      <c r="J7" s="1470"/>
      <c r="K7" s="1470"/>
      <c r="L7" s="1472"/>
    </row>
    <row r="8" customFormat="false" ht="15" hidden="false" customHeight="false" outlineLevel="0" collapsed="false">
      <c r="A8" s="1473"/>
      <c r="B8" s="1474"/>
      <c r="C8" s="1474"/>
      <c r="D8" s="1475"/>
      <c r="E8" s="1476"/>
      <c r="F8" s="1476"/>
      <c r="G8" s="1476"/>
      <c r="H8" s="1477"/>
      <c r="I8" s="1476"/>
      <c r="J8" s="1476"/>
      <c r="K8" s="1476"/>
      <c r="L8" s="1478"/>
    </row>
    <row r="9" customFormat="false" ht="15" hidden="false" customHeight="false" outlineLevel="0" collapsed="false">
      <c r="A9" s="1441" t="s">
        <v>856</v>
      </c>
      <c r="B9" s="1479"/>
      <c r="C9" s="1480" t="n">
        <f aca="false">'7.4.3 Inv. &amp; Depr.'!C54</f>
        <v>0</v>
      </c>
      <c r="D9" s="1481" t="n">
        <f aca="false">C9+'7.4.3 Inv. &amp; Depr.'!C11+'7.4.3 Inv. &amp; Depr.'!D11+'7.4.3 Inv. &amp; Depr.'!D54-'7.4.3 Inv. &amp; Depr.'!D105</f>
        <v>21505.3333333333</v>
      </c>
      <c r="E9" s="1482"/>
      <c r="F9" s="1483" t="n">
        <f aca="false">D9+'7.4.3 Inv. &amp; Depr.'!F11+'7.4.3 Inv. &amp; Depr.'!F54-'7.4.3 Inv. &amp; Depr.'!F105</f>
        <v>10752.6666666667</v>
      </c>
      <c r="G9" s="1482"/>
      <c r="H9" s="1483" t="n">
        <f aca="false">F9+'7.4.3 Inv. &amp; Depr.'!H11+'7.4.3 Inv. &amp; Depr.'!H54-'7.4.3 Inv. &amp; Depr.'!H105</f>
        <v>10752.6666666667</v>
      </c>
      <c r="I9" s="1482"/>
      <c r="J9" s="1483" t="n">
        <f aca="false">H9+'7.4.3 Inv. &amp; Depr.'!J11+'7.4.3 Inv. &amp; Depr.'!J54-'7.4.3 Inv. &amp; Depr.'!J105</f>
        <v>10752.6666666667</v>
      </c>
      <c r="K9" s="1482"/>
      <c r="L9" s="1480" t="n">
        <f aca="false">J9+'7.4.3 Inv. &amp; Depr.'!L11+'7.4.3 Inv. &amp; Depr.'!L54-'7.4.3 Inv. &amp; Depr.'!L105</f>
        <v>10752.6666666667</v>
      </c>
    </row>
    <row r="10" customFormat="false" ht="15" hidden="false" customHeight="false" outlineLevel="0" collapsed="false">
      <c r="A10" s="1441" t="s">
        <v>857</v>
      </c>
      <c r="B10" s="1484"/>
      <c r="C10" s="1485" t="n">
        <f aca="false">'7.4.3 Inv. &amp; Depr.'!C65</f>
        <v>0</v>
      </c>
      <c r="D10" s="1485" t="n">
        <f aca="false">C10+'7.4.3 Inv. &amp; Depr.'!C22+'7.4.3 Inv. &amp; Depr.'!D22+'7.4.3 Inv. &amp; Depr.'!D65-'7.4.3 Inv. &amp; Depr.'!D116</f>
        <v>1313833.33333333</v>
      </c>
      <c r="E10" s="1442"/>
      <c r="F10" s="1486" t="n">
        <f aca="false">D10+'7.4.3 Inv. &amp; Depr.'!F22+'7.4.3 Inv. &amp; Depr.'!F65-'7.4.3 Inv. &amp; Depr.'!F116</f>
        <v>1260971.4</v>
      </c>
      <c r="G10" s="1442"/>
      <c r="H10" s="1486" t="n">
        <f aca="false">F10+'7.4.3 Inv. &amp; Depr.'!H22+'7.4.3 Inv. &amp; Depr.'!H65-'7.4.3 Inv. &amp; Depr.'!H116</f>
        <v>1203702.8</v>
      </c>
      <c r="I10" s="1442"/>
      <c r="J10" s="1486" t="n">
        <f aca="false">H10+'7.4.3 Inv. &amp; Depr.'!J22+'7.4.3 Inv. &amp; Depr.'!J65-'7.4.3 Inv. &amp; Depr.'!J116</f>
        <v>1212116</v>
      </c>
      <c r="K10" s="1442"/>
      <c r="L10" s="1485" t="n">
        <f aca="false">J10+'7.4.3 Inv. &amp; Depr.'!L22+'7.4.3 Inv. &amp; Depr.'!L65-'7.4.3 Inv. &amp; Depr.'!L116</f>
        <v>1226081</v>
      </c>
    </row>
    <row r="11" customFormat="false" ht="15" hidden="false" customHeight="false" outlineLevel="0" collapsed="false">
      <c r="A11" s="1441" t="s">
        <v>858</v>
      </c>
      <c r="B11" s="1484"/>
      <c r="C11" s="1485" t="n">
        <f aca="false">'7.4.3 Inv. &amp; Depr.'!C68</f>
        <v>0</v>
      </c>
      <c r="D11" s="1485" t="n">
        <f aca="false">C11+'7.4.3 Inv. &amp; Depr.'!C24+'7.4.3 Inv. &amp; Depr.'!D24+'7.4.3 Inv. &amp; Depr.'!D68-'7.4.3 Inv. &amp; Depr.'!D95</f>
        <v>32258</v>
      </c>
      <c r="E11" s="1442"/>
      <c r="F11" s="1486" t="n">
        <f aca="false">D11+'7.4.3 Inv. &amp; Depr.'!F24+'7.4.3 Inv. &amp; Depr.'!F68-'7.4.3 Inv. &amp; Depr.'!F95</f>
        <v>32258</v>
      </c>
      <c r="G11" s="1442"/>
      <c r="H11" s="1486" t="n">
        <f aca="false">F11+'7.4.3 Inv. &amp; Depr.'!H24+'7.4.3 Inv. &amp; Depr.'!H68-'7.4.3 Inv. &amp; Depr.'!H95</f>
        <v>48387</v>
      </c>
      <c r="I11" s="1442"/>
      <c r="J11" s="1486" t="n">
        <f aca="false">H11+'7.4.3 Inv. &amp; Depr.'!J24+'7.4.3 Inv. &amp; Depr.'!J68-'7.4.3 Inv. &amp; Depr.'!J95</f>
        <v>48387</v>
      </c>
      <c r="K11" s="1442"/>
      <c r="L11" s="1485" t="n">
        <f aca="false">J11+'7.4.3 Inv. &amp; Depr.'!L24+'7.4.3 Inv. &amp; Depr.'!L68-'7.4.3 Inv. &amp; Depr.'!L95</f>
        <v>48387</v>
      </c>
    </row>
    <row r="12" customFormat="false" ht="15" hidden="false" customHeight="false" outlineLevel="0" collapsed="false">
      <c r="A12" s="1441" t="s">
        <v>859</v>
      </c>
      <c r="B12" s="1484"/>
      <c r="C12" s="1485" t="n">
        <f aca="false">IF('7.5.2 Fin. Income &amp; Expenses '!D18=0,0,'7.2.2 Turnover Parts'!C71)</f>
        <v>0</v>
      </c>
      <c r="D12" s="1485" t="n">
        <f aca="false">'7.2.2 Turnover Parts'!C71</f>
        <v>0</v>
      </c>
      <c r="E12" s="1442"/>
      <c r="F12" s="1486" t="e">
        <f aca="false">'7.2.2 Turnover Parts'!E71</f>
        <v>#VALUE!</v>
      </c>
      <c r="G12" s="1442"/>
      <c r="H12" s="1486" t="e">
        <f aca="false">'7.2.2 Turnover Parts'!G71</f>
        <v>#VALUE!</v>
      </c>
      <c r="I12" s="1442"/>
      <c r="J12" s="1486" t="e">
        <f aca="false">'7.2.2 Turnover Parts'!I71</f>
        <v>#VALUE!</v>
      </c>
      <c r="K12" s="1442"/>
      <c r="L12" s="1485" t="e">
        <f aca="false">'7.2.2 Turnover Parts'!K71</f>
        <v>#VALUE!</v>
      </c>
    </row>
    <row r="13" customFormat="false" ht="15" hidden="false" customHeight="false" outlineLevel="0" collapsed="false">
      <c r="A13" s="1441" t="s">
        <v>860</v>
      </c>
      <c r="B13" s="1484"/>
      <c r="C13" s="1487" t="n">
        <f aca="false">IF('7.5.2 Fin. Income &amp; Expenses '!D18=0,0,'7.2.1 Turnover Vehicles'!C53)</f>
        <v>0</v>
      </c>
      <c r="D13" s="1487" t="n">
        <f aca="false">'7.2.1 Turnover Vehicles'!C53</f>
        <v>0</v>
      </c>
      <c r="E13" s="1442"/>
      <c r="F13" s="1488" t="n">
        <f aca="false">'7.2.1 Turnover Vehicles'!E53</f>
        <v>0</v>
      </c>
      <c r="G13" s="1442"/>
      <c r="H13" s="1488" t="n">
        <f aca="false">'7.2.1 Turnover Vehicles'!G53</f>
        <v>0</v>
      </c>
      <c r="I13" s="1442"/>
      <c r="J13" s="1488" t="n">
        <f aca="false">'7.2.1 Turnover Vehicles'!I53</f>
        <v>0</v>
      </c>
      <c r="K13" s="1442"/>
      <c r="L13" s="1487" t="n">
        <f aca="false">'7.2.1 Turnover Vehicles'!K53</f>
        <v>0</v>
      </c>
    </row>
    <row r="14" customFormat="false" ht="15" hidden="false" customHeight="false" outlineLevel="0" collapsed="false">
      <c r="A14" s="1489" t="s">
        <v>293</v>
      </c>
      <c r="B14" s="1484"/>
      <c r="C14" s="1490" t="n">
        <f aca="false">SUM(C9:C13)</f>
        <v>0</v>
      </c>
      <c r="D14" s="1491" t="n">
        <f aca="false">SUM(D9:D13)</f>
        <v>1367596.66666667</v>
      </c>
      <c r="E14" s="1492"/>
      <c r="F14" s="1493" t="e">
        <f aca="false">SUM(F9:F13)</f>
        <v>#VALUE!</v>
      </c>
      <c r="G14" s="1492"/>
      <c r="H14" s="1493" t="e">
        <f aca="false">SUM(H9:H13)</f>
        <v>#VALUE!</v>
      </c>
      <c r="I14" s="1492"/>
      <c r="J14" s="1493" t="e">
        <f aca="false">SUM(J9:J13)</f>
        <v>#VALUE!</v>
      </c>
      <c r="K14" s="1492"/>
      <c r="L14" s="1490" t="e">
        <f aca="false">SUM(L9:L13)</f>
        <v>#VALUE!</v>
      </c>
    </row>
    <row r="15" customFormat="false" ht="15" hidden="false" customHeight="false" outlineLevel="0" collapsed="false">
      <c r="A15" s="1494"/>
      <c r="B15" s="1459"/>
      <c r="C15" s="1459"/>
      <c r="D15" s="1487"/>
      <c r="E15" s="1459"/>
      <c r="F15" s="1488"/>
      <c r="G15" s="1459"/>
      <c r="H15" s="1488"/>
      <c r="I15" s="1459"/>
      <c r="J15" s="1488"/>
      <c r="K15" s="1459"/>
      <c r="L15" s="1487"/>
    </row>
    <row r="16" customFormat="false" ht="15" hidden="false" customHeight="false" outlineLevel="0" collapsed="false">
      <c r="A16" s="1492"/>
      <c r="B16" s="1442"/>
      <c r="C16" s="1442"/>
      <c r="D16" s="1486"/>
      <c r="E16" s="1442"/>
      <c r="F16" s="1486"/>
      <c r="G16" s="1442"/>
      <c r="H16" s="1486"/>
      <c r="I16" s="1442"/>
      <c r="J16" s="1486"/>
      <c r="K16" s="1442"/>
      <c r="L16" s="1486"/>
    </row>
    <row r="17" customFormat="false" ht="15" hidden="false" customHeight="false" outlineLevel="0" collapsed="false">
      <c r="A17" s="1492"/>
      <c r="B17" s="1442"/>
      <c r="C17" s="1442"/>
      <c r="D17" s="1486"/>
      <c r="E17" s="1442"/>
      <c r="F17" s="1486"/>
      <c r="G17" s="1442"/>
      <c r="H17" s="1486"/>
      <c r="I17" s="1442"/>
      <c r="J17" s="1486"/>
      <c r="K17" s="1442"/>
      <c r="L17" s="1486"/>
    </row>
    <row r="18" customFormat="false" ht="18.75" hidden="false" customHeight="false" outlineLevel="0" collapsed="false">
      <c r="A18" s="1467" t="s">
        <v>861</v>
      </c>
      <c r="B18" s="1468"/>
      <c r="C18" s="1468"/>
      <c r="D18" s="1495"/>
      <c r="E18" s="1495"/>
      <c r="F18" s="1495"/>
      <c r="G18" s="1495"/>
      <c r="H18" s="1496"/>
      <c r="I18" s="1495"/>
      <c r="J18" s="1495"/>
      <c r="K18" s="1495"/>
      <c r="L18" s="1497"/>
    </row>
    <row r="19" customFormat="false" ht="18.75" hidden="false" customHeight="false" outlineLevel="0" collapsed="false">
      <c r="A19" s="1467" t="s">
        <v>862</v>
      </c>
      <c r="B19" s="1495"/>
      <c r="C19" s="1495"/>
      <c r="D19" s="1495"/>
      <c r="E19" s="1495"/>
      <c r="F19" s="1495"/>
      <c r="G19" s="1495"/>
      <c r="H19" s="1495"/>
      <c r="I19" s="1495"/>
      <c r="J19" s="1495"/>
      <c r="K19" s="1495"/>
      <c r="L19" s="1498"/>
    </row>
    <row r="20" customFormat="false" ht="15" hidden="false" customHeight="false" outlineLevel="0" collapsed="false">
      <c r="A20" s="1473"/>
      <c r="B20" s="1476"/>
      <c r="C20" s="1476"/>
      <c r="D20" s="1475"/>
      <c r="E20" s="1476"/>
      <c r="F20" s="1476"/>
      <c r="G20" s="1476"/>
      <c r="H20" s="1476"/>
      <c r="I20" s="1476"/>
      <c r="J20" s="1476"/>
      <c r="K20" s="1476"/>
      <c r="L20" s="1475"/>
    </row>
    <row r="21" customFormat="false" ht="15" hidden="false" customHeight="false" outlineLevel="0" collapsed="false">
      <c r="A21" s="1489"/>
      <c r="B21" s="1499" t="s">
        <v>863</v>
      </c>
      <c r="C21" s="1499"/>
      <c r="D21" s="1500"/>
      <c r="E21" s="1442"/>
      <c r="F21" s="1442"/>
      <c r="G21" s="1442"/>
      <c r="H21" s="1442"/>
      <c r="I21" s="1442"/>
      <c r="J21" s="1442"/>
      <c r="K21" s="1442"/>
      <c r="L21" s="1501"/>
    </row>
    <row r="22" customFormat="false" ht="15" hidden="false" customHeight="false" outlineLevel="0" collapsed="false">
      <c r="A22" s="1441"/>
      <c r="B22" s="1499" t="s">
        <v>864</v>
      </c>
      <c r="C22" s="1499"/>
      <c r="D22" s="1502"/>
      <c r="E22" s="1499" t="s">
        <v>865</v>
      </c>
      <c r="F22" s="1442"/>
      <c r="G22" s="1499" t="s">
        <v>865</v>
      </c>
      <c r="H22" s="1442"/>
      <c r="I22" s="1499" t="s">
        <v>865</v>
      </c>
      <c r="J22" s="1442"/>
      <c r="K22" s="1499" t="s">
        <v>865</v>
      </c>
      <c r="L22" s="1501"/>
    </row>
    <row r="23" customFormat="false" ht="15" hidden="false" customHeight="false" outlineLevel="0" collapsed="false">
      <c r="A23" s="52" t="s">
        <v>866</v>
      </c>
      <c r="B23" s="1503" t="n">
        <v>120</v>
      </c>
      <c r="C23" s="252"/>
      <c r="D23" s="1504" t="n">
        <f aca="false">'7.2.1 Turnover Vehicles'!C36*(1+'7.5.3 VAT'!$C$8)*'7.5.1 Financial Requirements'!$B$23/360</f>
        <v>0</v>
      </c>
      <c r="E23" s="1505" t="n">
        <f aca="false">B23</f>
        <v>120</v>
      </c>
      <c r="F23" s="876" t="n">
        <f aca="false">'7.2.1 Turnover Vehicles'!E36*(1+'7.5.3 VAT'!$C$8)*'7.5.1 Financial Requirements'!E23/360</f>
        <v>0</v>
      </c>
      <c r="G23" s="1505" t="n">
        <f aca="false">E23</f>
        <v>120</v>
      </c>
      <c r="H23" s="876" t="n">
        <f aca="false">'7.2.1 Turnover Vehicles'!G36*(1+'7.5.3 VAT'!$C$8)*'7.5.1 Financial Requirements'!G23/360</f>
        <v>0</v>
      </c>
      <c r="I23" s="1505" t="n">
        <f aca="false">G23</f>
        <v>120</v>
      </c>
      <c r="J23" s="876" t="n">
        <f aca="false">'7.2.1 Turnover Vehicles'!I36*(1+'7.5.3 VAT'!$C$8)*'7.5.1 Financial Requirements'!I23/360</f>
        <v>0</v>
      </c>
      <c r="K23" s="1505" t="n">
        <f aca="false">I23</f>
        <v>120</v>
      </c>
      <c r="L23" s="875" t="n">
        <f aca="false">'7.2.1 Turnover Vehicles'!K36*(1+'7.5.3 VAT'!$C$8)*'7.5.1 Financial Requirements'!K23/360</f>
        <v>0</v>
      </c>
    </row>
    <row r="24" customFormat="false" ht="15" hidden="false" customHeight="false" outlineLevel="0" collapsed="false">
      <c r="A24" s="52" t="s">
        <v>867</v>
      </c>
      <c r="B24" s="1503" t="n">
        <v>0</v>
      </c>
      <c r="C24" s="252"/>
      <c r="D24" s="1506" t="n">
        <f aca="false">'7.2.1 Turnover Vehicles'!C48*(1+'7.5.3 VAT'!$C$8)*'7.5.1 Financial Requirements'!$B$24/360</f>
        <v>0</v>
      </c>
      <c r="E24" s="1505" t="n">
        <f aca="false">B24</f>
        <v>0</v>
      </c>
      <c r="F24" s="925" t="n">
        <f aca="false">'7.2.1 Turnover Vehicles'!E48*(1+'7.5.3 VAT'!$C$8)*'7.5.1 Financial Requirements'!E24/360</f>
        <v>0</v>
      </c>
      <c r="G24" s="1505" t="n">
        <f aca="false">E24</f>
        <v>0</v>
      </c>
      <c r="H24" s="925" t="n">
        <f aca="false">'7.2.1 Turnover Vehicles'!G48*(1+'7.5.3 VAT'!$C$8)*'7.5.1 Financial Requirements'!G24/360</f>
        <v>0</v>
      </c>
      <c r="I24" s="1505" t="n">
        <f aca="false">G24</f>
        <v>0</v>
      </c>
      <c r="J24" s="925" t="n">
        <f aca="false">'7.2.1 Turnover Vehicles'!I48*(1+'7.5.3 VAT'!$C$8)*'7.5.1 Financial Requirements'!I24/360</f>
        <v>0</v>
      </c>
      <c r="K24" s="1505" t="n">
        <f aca="false">I24</f>
        <v>0</v>
      </c>
      <c r="L24" s="924" t="n">
        <f aca="false">'7.2.1 Turnover Vehicles'!K48*(1+'7.5.3 VAT'!$C$8)*'7.5.1 Financial Requirements'!K24/360</f>
        <v>0</v>
      </c>
    </row>
    <row r="25" customFormat="false" ht="15" hidden="false" customHeight="false" outlineLevel="0" collapsed="false">
      <c r="A25" s="52" t="s">
        <v>868</v>
      </c>
      <c r="B25" s="1503" t="n">
        <v>0</v>
      </c>
      <c r="C25" s="252"/>
      <c r="D25" s="1265" t="n">
        <f aca="false">'7.2.1 Turnover Vehicles'!C72*(1+'7.5.3 VAT'!$C$8)*'7.5.1 Financial Requirements'!$B$25/360</f>
        <v>0</v>
      </c>
      <c r="E25" s="1505" t="n">
        <f aca="false">B25</f>
        <v>0</v>
      </c>
      <c r="F25" s="876" t="n">
        <f aca="false">'7.2.1 Turnover Vehicles'!E72*(1+'7.5.3 VAT'!$C$8)*'7.5.1 Financial Requirements'!E25/360</f>
        <v>0</v>
      </c>
      <c r="G25" s="1505" t="n">
        <f aca="false">E25</f>
        <v>0</v>
      </c>
      <c r="H25" s="876" t="n">
        <f aca="false">'7.2.1 Turnover Vehicles'!G72*(1+'7.5.3 VAT'!$C$8)*'7.5.1 Financial Requirements'!G25/360</f>
        <v>0</v>
      </c>
      <c r="I25" s="1505" t="n">
        <f aca="false">G25</f>
        <v>0</v>
      </c>
      <c r="J25" s="876" t="n">
        <f aca="false">'7.2.1 Turnover Vehicles'!I72*(1+'7.5.3 VAT'!$C$8)*'7.5.1 Financial Requirements'!I25/360</f>
        <v>0</v>
      </c>
      <c r="K25" s="1505" t="n">
        <f aca="false">I25</f>
        <v>0</v>
      </c>
      <c r="L25" s="875" t="n">
        <f aca="false">'7.2.1 Turnover Vehicles'!K72*(1+'7.5.3 VAT'!$C$8)*'7.5.1 Financial Requirements'!K25/360</f>
        <v>0</v>
      </c>
    </row>
    <row r="26" customFormat="false" ht="15" hidden="false" customHeight="false" outlineLevel="0" collapsed="false">
      <c r="A26" s="52" t="s">
        <v>869</v>
      </c>
      <c r="B26" s="1503" t="n">
        <v>0</v>
      </c>
      <c r="C26" s="252"/>
      <c r="D26" s="1265" t="e">
        <f aca="false">('7.2.3 Turnover Service &amp; Body'!C38+'7.2.2 Turnover Parts'!C36)*(1+'7.5.3 VAT'!$C$8)*'7.5.1 Financial Requirements'!$B$26/360</f>
        <v>#VALUE!</v>
      </c>
      <c r="E26" s="1505" t="n">
        <f aca="false">B26</f>
        <v>0</v>
      </c>
      <c r="F26" s="876" t="e">
        <f aca="false">('7.2.3 Turnover Service &amp; Body'!E38+'7.2.2 Turnover Parts'!E36)*(1+'7.5.3 VAT'!$C$8)*'7.5.1 Financial Requirements'!E26/360</f>
        <v>#VALUE!</v>
      </c>
      <c r="G26" s="1505" t="n">
        <f aca="false">E26</f>
        <v>0</v>
      </c>
      <c r="H26" s="876" t="e">
        <f aca="false">('7.2.3 Turnover Service &amp; Body'!G38+'7.2.2 Turnover Parts'!G36)*(1+'7.5.3 VAT'!$C$8)*'7.5.1 Financial Requirements'!G26/360</f>
        <v>#VALUE!</v>
      </c>
      <c r="I26" s="1505" t="n">
        <f aca="false">G26</f>
        <v>0</v>
      </c>
      <c r="J26" s="876" t="e">
        <f aca="false">('7.2.3 Turnover Service &amp; Body'!I38+'7.2.2 Turnover Parts'!I36)*(1+'7.5.3 VAT'!$C$8)*'7.5.1 Financial Requirements'!I26/360</f>
        <v>#VALUE!</v>
      </c>
      <c r="K26" s="1505" t="n">
        <f aca="false">I26</f>
        <v>0</v>
      </c>
      <c r="L26" s="875" t="e">
        <f aca="false">('7.2.3 Turnover Service &amp; Body'!K38+'7.2.2 Turnover Parts'!K36)*(1+'7.5.3 VAT'!$C$8)*'7.5.1 Financial Requirements'!K26/360</f>
        <v>#VALUE!</v>
      </c>
    </row>
    <row r="27" customFormat="false" ht="15" hidden="false" customHeight="false" outlineLevel="0" collapsed="false">
      <c r="A27" s="52" t="s">
        <v>694</v>
      </c>
      <c r="B27" s="1503" t="n">
        <v>0</v>
      </c>
      <c r="C27" s="252"/>
      <c r="D27" s="1265" t="n">
        <f aca="false">('7.2.3 Turnover Service &amp; Body'!C41+'7.2.2 Turnover Parts'!C37)*(1+'7.5.3 VAT'!$C$8)*'7.5.1 Financial Requirements'!$B$27/360</f>
        <v>0</v>
      </c>
      <c r="E27" s="1505" t="n">
        <f aca="false">B27</f>
        <v>0</v>
      </c>
      <c r="F27" s="876" t="n">
        <f aca="false">('7.2.3 Turnover Service &amp; Body'!E41+'7.2.2 Turnover Parts'!E37)*(1+'7.5.3 VAT'!$C$8)*'7.5.1 Financial Requirements'!E27/360</f>
        <v>0</v>
      </c>
      <c r="G27" s="1505" t="n">
        <f aca="false">E27</f>
        <v>0</v>
      </c>
      <c r="H27" s="876" t="n">
        <f aca="false">('7.2.3 Turnover Service &amp; Body'!G41+'7.2.2 Turnover Parts'!G37)*(1+'7.5.3 VAT'!$C$8)*'7.5.1 Financial Requirements'!G27/360</f>
        <v>0</v>
      </c>
      <c r="I27" s="1505" t="n">
        <f aca="false">G27</f>
        <v>0</v>
      </c>
      <c r="J27" s="876" t="n">
        <f aca="false">('7.2.3 Turnover Service &amp; Body'!I41+'7.2.2 Turnover Parts'!I37)*(1+'7.5.3 VAT'!$C$8)*'7.5.1 Financial Requirements'!I27/360</f>
        <v>0</v>
      </c>
      <c r="K27" s="1505" t="n">
        <f aca="false">I27</f>
        <v>0</v>
      </c>
      <c r="L27" s="875" t="n">
        <f aca="false">('7.2.3 Turnover Service &amp; Body'!K41+'7.2.2 Turnover Parts'!K37)*(1+'7.5.3 VAT'!$C$8)*'7.5.1 Financial Requirements'!K27/360</f>
        <v>0</v>
      </c>
    </row>
    <row r="28" customFormat="false" ht="15" hidden="false" customHeight="false" outlineLevel="0" collapsed="false">
      <c r="A28" s="52" t="s">
        <v>870</v>
      </c>
      <c r="B28" s="1503" t="n">
        <v>60</v>
      </c>
      <c r="C28" s="252"/>
      <c r="D28" s="1265" t="e">
        <f aca="false">('7.2.2 Turnover Parts'!C41+'7.2.2 Turnover Parts'!C42)*(1+'7.5.3 VAT'!$C$8)*'7.5.1 Financial Requirements'!B28/360</f>
        <v>#VALUE!</v>
      </c>
      <c r="E28" s="1505" t="n">
        <f aca="false">B28</f>
        <v>60</v>
      </c>
      <c r="F28" s="876" t="e">
        <f aca="false">('7.2.2 Turnover Parts'!E41+'7.2.2 Turnover Parts'!E42)*(1+'7.5.3 VAT'!$C$8)*'7.5.1 Financial Requirements'!E28/360</f>
        <v>#VALUE!</v>
      </c>
      <c r="G28" s="1505" t="n">
        <f aca="false">E28</f>
        <v>60</v>
      </c>
      <c r="H28" s="876" t="e">
        <f aca="false">('7.2.2 Turnover Parts'!G41+'7.2.2 Turnover Parts'!G42)*(1+'7.5.3 VAT'!$C$8)*'7.5.1 Financial Requirements'!G28/360</f>
        <v>#VALUE!</v>
      </c>
      <c r="I28" s="1505" t="n">
        <f aca="false">G28</f>
        <v>60</v>
      </c>
      <c r="J28" s="876" t="e">
        <f aca="false">('7.2.2 Turnover Parts'!I41+'7.2.2 Turnover Parts'!I42)*(1+'7.5.3 VAT'!$C$8)*'7.5.1 Financial Requirements'!I28/360</f>
        <v>#VALUE!</v>
      </c>
      <c r="K28" s="1505" t="n">
        <f aca="false">I28</f>
        <v>60</v>
      </c>
      <c r="L28" s="875" t="e">
        <f aca="false">('7.2.2 Turnover Parts'!K41+'7.2.2 Turnover Parts'!K42)*(1+'7.5.3 VAT'!$C$8)*'7.5.1 Financial Requirements'!K28/360</f>
        <v>#VALUE!</v>
      </c>
    </row>
    <row r="29" customFormat="false" ht="15" hidden="false" customHeight="false" outlineLevel="0" collapsed="false">
      <c r="A29" s="52" t="s">
        <v>871</v>
      </c>
      <c r="B29" s="1503" t="n">
        <v>0</v>
      </c>
      <c r="C29" s="252"/>
      <c r="D29" s="1265" t="n">
        <f aca="false">'7.2.2 Turnover Parts'!C43*(1+'7.5.3 VAT'!$C$8)*'7.5.1 Financial Requirements'!$B$29/360</f>
        <v>0</v>
      </c>
      <c r="E29" s="1505" t="n">
        <f aca="false">B29</f>
        <v>0</v>
      </c>
      <c r="F29" s="876" t="n">
        <f aca="false">'7.2.2 Turnover Parts'!E43*(1+'7.5.3 VAT'!$C$8)*'7.5.1 Financial Requirements'!E29/360</f>
        <v>0</v>
      </c>
      <c r="G29" s="1505" t="n">
        <f aca="false">E29</f>
        <v>0</v>
      </c>
      <c r="H29" s="876" t="n">
        <f aca="false">'7.2.2 Turnover Parts'!G43*(1+'7.5.3 VAT'!$C$8)*'7.5.1 Financial Requirements'!G29/360</f>
        <v>0</v>
      </c>
      <c r="I29" s="1505" t="n">
        <f aca="false">G29</f>
        <v>0</v>
      </c>
      <c r="J29" s="876" t="n">
        <f aca="false">'7.2.2 Turnover Parts'!I43*(1+'7.5.3 VAT'!$C$8)*'7.5.1 Financial Requirements'!I29/360</f>
        <v>0</v>
      </c>
      <c r="K29" s="1505" t="n">
        <f aca="false">I29</f>
        <v>0</v>
      </c>
      <c r="L29" s="875" t="n">
        <f aca="false">'7.2.2 Turnover Parts'!K43*(1+'7.5.3 VAT'!$C$8)*'7.5.1 Financial Requirements'!K29/360</f>
        <v>0</v>
      </c>
    </row>
    <row r="30" customFormat="false" ht="15" hidden="false" customHeight="false" outlineLevel="0" collapsed="false">
      <c r="A30" s="52" t="s">
        <v>182</v>
      </c>
      <c r="B30" s="1503" t="n">
        <v>0</v>
      </c>
      <c r="C30" s="252"/>
      <c r="D30" s="1506" t="n">
        <f aca="false">'7.2.2 Turnover Parts'!C19*(1+'7.5.3 VAT'!$C$8)*'7.5.1 Financial Requirements'!$B$30/360</f>
        <v>0</v>
      </c>
      <c r="E30" s="1505" t="n">
        <f aca="false">B30</f>
        <v>0</v>
      </c>
      <c r="F30" s="925" t="n">
        <f aca="false">'7.2.2 Turnover Parts'!E19*(1+'7.5.3 VAT'!$C$8)*'7.5.1 Financial Requirements'!E30/360</f>
        <v>0</v>
      </c>
      <c r="G30" s="1505" t="n">
        <f aca="false">E30</f>
        <v>0</v>
      </c>
      <c r="H30" s="925" t="n">
        <f aca="false">'7.2.2 Turnover Parts'!G19*(1+'7.5.3 VAT'!$C$8)*'7.5.1 Financial Requirements'!G30/360</f>
        <v>0</v>
      </c>
      <c r="I30" s="1505" t="n">
        <f aca="false">G30</f>
        <v>0</v>
      </c>
      <c r="J30" s="925" t="n">
        <f aca="false">'7.2.2 Turnover Parts'!I19*(1+'7.5.3 VAT'!$C$8)*'7.5.1 Financial Requirements'!I30/360</f>
        <v>0</v>
      </c>
      <c r="K30" s="1505" t="n">
        <f aca="false">I30</f>
        <v>0</v>
      </c>
      <c r="L30" s="924" t="n">
        <f aca="false">'7.2.2 Turnover Parts'!K19*(1+'7.5.3 VAT'!$C$8)*'7.5.1 Financial Requirements'!K30/360</f>
        <v>0</v>
      </c>
    </row>
    <row r="31" customFormat="false" ht="15" hidden="false" customHeight="false" outlineLevel="0" collapsed="false">
      <c r="A31" s="52" t="s">
        <v>700</v>
      </c>
      <c r="B31" s="1503" t="n">
        <v>60</v>
      </c>
      <c r="C31" s="252"/>
      <c r="D31" s="1265" t="e">
        <f aca="false">'7.2.2 Turnover Parts'!C20*(1+'7.5.3 VAT'!$C$8)*'7.5.1 Financial Requirements'!$B$31/360</f>
        <v>#VALUE!</v>
      </c>
      <c r="E31" s="1505" t="n">
        <f aca="false">B31</f>
        <v>60</v>
      </c>
      <c r="F31" s="876" t="n">
        <f aca="false">'7.2.2 Turnover Parts'!E20*(1+'7.5.3 VAT'!$C$8)*'7.5.1 Financial Requirements'!E31/360</f>
        <v>0</v>
      </c>
      <c r="G31" s="1505" t="n">
        <f aca="false">E31</f>
        <v>60</v>
      </c>
      <c r="H31" s="876" t="n">
        <f aca="false">'7.2.2 Turnover Parts'!G20*(1+'7.5.3 VAT'!$C$8)*'7.5.1 Financial Requirements'!G31/360</f>
        <v>0</v>
      </c>
      <c r="I31" s="1505" t="n">
        <f aca="false">G31</f>
        <v>60</v>
      </c>
      <c r="J31" s="876" t="n">
        <f aca="false">'7.2.2 Turnover Parts'!I20*(1+'7.5.3 VAT'!$C$8)*'7.5.1 Financial Requirements'!I31/360</f>
        <v>0</v>
      </c>
      <c r="K31" s="1505" t="n">
        <f aca="false">I31</f>
        <v>60</v>
      </c>
      <c r="L31" s="875" t="n">
        <f aca="false">'7.2.2 Turnover Parts'!K20*(1+'7.5.3 VAT'!$C$8)*'7.5.1 Financial Requirements'!K31/360</f>
        <v>0</v>
      </c>
    </row>
    <row r="32" customFormat="false" ht="15" hidden="false" customHeight="false" outlineLevel="0" collapsed="false">
      <c r="A32" s="1441" t="s">
        <v>872</v>
      </c>
      <c r="B32" s="1507"/>
      <c r="C32" s="1507"/>
      <c r="D32" s="1508" t="n">
        <f aca="false">-'7.4.3 Inv. &amp; Depr.'!D130</f>
        <v>-0</v>
      </c>
      <c r="E32" s="1482"/>
      <c r="F32" s="1509" t="n">
        <f aca="false">-'7.4.3 Inv. &amp; Depr.'!F130</f>
        <v>-0</v>
      </c>
      <c r="G32" s="1482"/>
      <c r="H32" s="1509" t="n">
        <f aca="false">-'7.4.3 Inv. &amp; Depr.'!H130</f>
        <v>-0</v>
      </c>
      <c r="I32" s="1482"/>
      <c r="J32" s="1509" t="n">
        <f aca="false">-'7.4.3 Inv. &amp; Depr.'!J130</f>
        <v>-0</v>
      </c>
      <c r="K32" s="1510"/>
      <c r="L32" s="1511" t="n">
        <f aca="false">-'7.4.3 Inv. &amp; Depr.'!L130</f>
        <v>-0</v>
      </c>
    </row>
    <row r="33" customFormat="false" ht="15" hidden="false" customHeight="false" outlineLevel="0" collapsed="false">
      <c r="A33" s="1489" t="s">
        <v>685</v>
      </c>
      <c r="B33" s="1492"/>
      <c r="C33" s="1492"/>
      <c r="D33" s="1512" t="e">
        <f aca="false">SUM(D23:D32)</f>
        <v>#VALUE!</v>
      </c>
      <c r="E33" s="1492"/>
      <c r="F33" s="1513" t="e">
        <f aca="false">SUM(F23:F32)</f>
        <v>#VALUE!</v>
      </c>
      <c r="G33" s="1514"/>
      <c r="H33" s="1513" t="e">
        <f aca="false">SUM(H23:H32)</f>
        <v>#VALUE!</v>
      </c>
      <c r="I33" s="1514"/>
      <c r="J33" s="1513" t="e">
        <f aca="false">SUM(J23:J32)</f>
        <v>#VALUE!</v>
      </c>
      <c r="K33" s="1514"/>
      <c r="L33" s="1515" t="e">
        <f aca="false">SUM(L23:L32)</f>
        <v>#VALUE!</v>
      </c>
    </row>
    <row r="34" customFormat="false" ht="15" hidden="false" customHeight="false" outlineLevel="0" collapsed="false">
      <c r="A34" s="1489"/>
      <c r="B34" s="1492"/>
      <c r="C34" s="1492"/>
      <c r="D34" s="1515"/>
      <c r="E34" s="1492"/>
      <c r="F34" s="1513"/>
      <c r="G34" s="1514"/>
      <c r="H34" s="1513"/>
      <c r="I34" s="1514"/>
      <c r="J34" s="1513"/>
      <c r="K34" s="1514"/>
      <c r="L34" s="1515"/>
    </row>
    <row r="35" customFormat="false" ht="18.75" hidden="false" customHeight="false" outlineLevel="0" collapsed="false">
      <c r="A35" s="1467" t="s">
        <v>873</v>
      </c>
      <c r="B35" s="1495"/>
      <c r="C35" s="1495"/>
      <c r="D35" s="1495"/>
      <c r="E35" s="1495"/>
      <c r="F35" s="1495"/>
      <c r="G35" s="1495"/>
      <c r="H35" s="1495"/>
      <c r="I35" s="1495"/>
      <c r="J35" s="1495"/>
      <c r="K35" s="1495"/>
      <c r="L35" s="1498"/>
    </row>
    <row r="36" customFormat="false" ht="15" hidden="false" customHeight="false" outlineLevel="0" collapsed="false">
      <c r="A36" s="1441"/>
      <c r="B36" s="1442"/>
      <c r="C36" s="1442"/>
      <c r="D36" s="1475"/>
      <c r="E36" s="1442"/>
      <c r="F36" s="1442"/>
      <c r="G36" s="1442"/>
      <c r="H36" s="1442"/>
      <c r="I36" s="1442"/>
      <c r="J36" s="1442"/>
      <c r="K36" s="1442"/>
      <c r="L36" s="1501"/>
    </row>
    <row r="37" customFormat="false" ht="15" hidden="false" customHeight="false" outlineLevel="0" collapsed="false">
      <c r="A37" s="1441"/>
      <c r="B37" s="1516" t="s">
        <v>874</v>
      </c>
      <c r="C37" s="1516"/>
      <c r="D37" s="1502"/>
      <c r="E37" s="1499" t="s">
        <v>875</v>
      </c>
      <c r="F37" s="1442"/>
      <c r="G37" s="1499" t="s">
        <v>875</v>
      </c>
      <c r="H37" s="1442"/>
      <c r="I37" s="1499" t="s">
        <v>875</v>
      </c>
      <c r="J37" s="1442"/>
      <c r="K37" s="1499" t="s">
        <v>875</v>
      </c>
      <c r="L37" s="1501"/>
    </row>
    <row r="38" customFormat="false" ht="15" hidden="false" customHeight="false" outlineLevel="0" collapsed="false">
      <c r="A38" s="52" t="s">
        <v>876</v>
      </c>
      <c r="B38" s="1517" t="n">
        <v>120</v>
      </c>
      <c r="C38" s="1518"/>
      <c r="D38" s="1504" t="n">
        <f aca="false">('7.3 Cost of sales'!C58+'7.3 Cost of sales'!C59)*('7.5.1 Financial Requirements'!$B$38/360)-'7.4.3 Inv. &amp; Depr.'!D126</f>
        <v>-3.33333333333333</v>
      </c>
      <c r="E38" s="1519" t="n">
        <f aca="false">B38</f>
        <v>120</v>
      </c>
      <c r="F38" s="876" t="n">
        <f aca="false">('7.3 Cost of sales'!E58+'7.3 Cost of sales'!E59)*('7.5.1 Financial Requirements'!E38/360)-'7.4.3 Inv. &amp; Depr.'!F126</f>
        <v>0</v>
      </c>
      <c r="G38" s="1519" t="n">
        <f aca="false">E38</f>
        <v>120</v>
      </c>
      <c r="H38" s="876" t="n">
        <f aca="false">('7.3 Cost of sales'!G58+'7.3 Cost of sales'!G59)*('7.5.1 Financial Requirements'!G38/360)-'7.4.3 Inv. &amp; Depr.'!H126</f>
        <v>0</v>
      </c>
      <c r="I38" s="1519" t="n">
        <f aca="false">G38</f>
        <v>120</v>
      </c>
      <c r="J38" s="876" t="n">
        <f aca="false">('7.3 Cost of sales'!I58+'7.3 Cost of sales'!I59)*('7.5.1 Financial Requirements'!I38/360)-'7.4.3 Inv. &amp; Depr.'!J126</f>
        <v>0</v>
      </c>
      <c r="K38" s="1519" t="n">
        <f aca="false">I38</f>
        <v>120</v>
      </c>
      <c r="L38" s="875" t="n">
        <f aca="false">('7.3 Cost of sales'!K58+'7.3 Cost of sales'!K59)*('7.5.1 Financial Requirements'!K38/360)-'7.4.3 Inv. &amp; Depr.'!L126</f>
        <v>0</v>
      </c>
    </row>
    <row r="39" customFormat="false" ht="15" hidden="false" customHeight="false" outlineLevel="0" collapsed="false">
      <c r="A39" s="52" t="s">
        <v>877</v>
      </c>
      <c r="B39" s="1517" t="n">
        <v>0</v>
      </c>
      <c r="C39" s="1518"/>
      <c r="D39" s="1506" t="n">
        <f aca="false">'7.3 Cost of sales'!C61*('7.5.1 Financial Requirements'!$B$39/360)-'7.4.3 Inv. &amp; Depr.'!D128</f>
        <v>0</v>
      </c>
      <c r="E39" s="1519" t="n">
        <f aca="false">B39</f>
        <v>0</v>
      </c>
      <c r="F39" s="925" t="n">
        <f aca="false">'7.3 Cost of sales'!E61*('7.5.1 Financial Requirements'!E39/360)-'7.4.3 Inv. &amp; Depr.'!F128</f>
        <v>0</v>
      </c>
      <c r="G39" s="1519" t="n">
        <f aca="false">E39</f>
        <v>0</v>
      </c>
      <c r="H39" s="925" t="n">
        <f aca="false">'7.3 Cost of sales'!G61*('7.5.1 Financial Requirements'!G39/360)-'7.4.3 Inv. &amp; Depr.'!H128</f>
        <v>0</v>
      </c>
      <c r="I39" s="1519" t="n">
        <f aca="false">G39</f>
        <v>0</v>
      </c>
      <c r="J39" s="925" t="n">
        <f aca="false">'7.3 Cost of sales'!I61*('7.5.1 Financial Requirements'!I39/360)-'7.4.3 Inv. &amp; Depr.'!J128</f>
        <v>0</v>
      </c>
      <c r="K39" s="1519" t="n">
        <f aca="false">I39</f>
        <v>0</v>
      </c>
      <c r="L39" s="924" t="n">
        <f aca="false">'7.3 Cost of sales'!K61*('7.5.1 Financial Requirements'!K39/360)-'7.4.3 Inv. &amp; Depr.'!L128</f>
        <v>0</v>
      </c>
    </row>
    <row r="40" customFormat="false" ht="15" hidden="false" customHeight="false" outlineLevel="0" collapsed="false">
      <c r="A40" s="1441" t="s">
        <v>878</v>
      </c>
      <c r="B40" s="1479"/>
      <c r="C40" s="1483"/>
      <c r="D40" s="1520" t="e">
        <f aca="false">'7.2.2 Turnover Parts'!C73-'7.4.3 Inv. &amp; Depr.'!D129</f>
        <v>#VALUE!</v>
      </c>
      <c r="E40" s="1442"/>
      <c r="F40" s="1483" t="e">
        <f aca="false">'7.2.2 Turnover Parts'!E73-'7.4.3 Inv. &amp; Depr.'!F129</f>
        <v>#VALUE!</v>
      </c>
      <c r="G40" s="1442"/>
      <c r="H40" s="1483" t="e">
        <f aca="false">'7.2.2 Turnover Parts'!G73-'7.4.3 Inv. &amp; Depr.'!H129</f>
        <v>#VALUE!</v>
      </c>
      <c r="I40" s="1442"/>
      <c r="J40" s="1483" t="e">
        <f aca="false">'7.2.2 Turnover Parts'!I73-'7.4.3 Inv. &amp; Depr.'!J129</f>
        <v>#VALUE!</v>
      </c>
      <c r="K40" s="1442"/>
      <c r="L40" s="1480" t="e">
        <f aca="false">'7.2.2 Turnover Parts'!K73-'7.4.3 Inv. &amp; Depr.'!L129</f>
        <v>#VALUE!</v>
      </c>
    </row>
    <row r="41" customFormat="false" ht="15" hidden="false" customHeight="false" outlineLevel="0" collapsed="false">
      <c r="A41" s="1441" t="s">
        <v>879</v>
      </c>
      <c r="B41" s="1479"/>
      <c r="C41" s="1483"/>
      <c r="D41" s="1520" t="n">
        <f aca="false">'7.2.1 Turnover Vehicles'!C55-'7.4.3 Inv. &amp; Depr.'!D127</f>
        <v>0</v>
      </c>
      <c r="E41" s="1464"/>
      <c r="F41" s="1521" t="n">
        <f aca="false">'7.2.1 Turnover Vehicles'!E55-'7.4.3 Inv. &amp; Depr.'!F127</f>
        <v>0</v>
      </c>
      <c r="G41" s="1464"/>
      <c r="H41" s="1521" t="n">
        <f aca="false">'7.2.1 Turnover Vehicles'!G55-'7.4.3 Inv. &amp; Depr.'!H127</f>
        <v>0</v>
      </c>
      <c r="I41" s="1464"/>
      <c r="J41" s="1521" t="n">
        <f aca="false">'7.2.1 Turnover Vehicles'!I55-'7.4.3 Inv. &amp; Depr.'!J127</f>
        <v>0</v>
      </c>
      <c r="K41" s="1464"/>
      <c r="L41" s="1480" t="n">
        <f aca="false">'7.2.1 Turnover Vehicles'!K55-'7.4.3 Inv. &amp; Depr.'!L127</f>
        <v>0</v>
      </c>
    </row>
    <row r="42" customFormat="false" ht="15" hidden="false" customHeight="false" outlineLevel="0" collapsed="false">
      <c r="A42" s="1489" t="s">
        <v>685</v>
      </c>
      <c r="B42" s="1522"/>
      <c r="C42" s="1522"/>
      <c r="D42" s="1523" t="e">
        <f aca="false">SUM(D38:D41)</f>
        <v>#VALUE!</v>
      </c>
      <c r="E42" s="1493"/>
      <c r="F42" s="1493" t="e">
        <f aca="false">SUM(F38:F41)</f>
        <v>#VALUE!</v>
      </c>
      <c r="G42" s="1493"/>
      <c r="H42" s="1493" t="e">
        <f aca="false">SUM(H38:H41)</f>
        <v>#VALUE!</v>
      </c>
      <c r="I42" s="1493"/>
      <c r="J42" s="1493" t="e">
        <f aca="false">SUM(J38:J41)</f>
        <v>#VALUE!</v>
      </c>
      <c r="K42" s="1493"/>
      <c r="L42" s="1490" t="e">
        <f aca="false">SUM(L38:L41)</f>
        <v>#VALUE!</v>
      </c>
    </row>
    <row r="43" customFormat="false" ht="15" hidden="false" customHeight="false" outlineLevel="0" collapsed="false">
      <c r="A43" s="1458"/>
      <c r="B43" s="1524"/>
      <c r="C43" s="1524"/>
      <c r="D43" s="1525"/>
      <c r="E43" s="1459"/>
      <c r="F43" s="1459"/>
      <c r="G43" s="1459"/>
      <c r="H43" s="1526"/>
      <c r="I43" s="1459"/>
      <c r="J43" s="1459"/>
      <c r="K43" s="1459"/>
      <c r="L43" s="1527"/>
    </row>
    <row r="44" customFormat="false" ht="18.75" hidden="false" customHeight="false" outlineLevel="0" collapsed="false">
      <c r="A44" s="1467" t="s">
        <v>880</v>
      </c>
      <c r="B44" s="1495"/>
      <c r="C44" s="1495"/>
      <c r="D44" s="1528"/>
      <c r="E44" s="1529"/>
      <c r="F44" s="1528"/>
      <c r="G44" s="1529"/>
      <c r="H44" s="1528"/>
      <c r="I44" s="1529"/>
      <c r="J44" s="1528"/>
      <c r="K44" s="1529"/>
      <c r="L44" s="1530"/>
    </row>
    <row r="45" customFormat="false" ht="15" hidden="false" customHeight="false" outlineLevel="0" collapsed="false">
      <c r="A45" s="1473"/>
      <c r="B45" s="1531"/>
      <c r="C45" s="1531"/>
      <c r="D45" s="1532"/>
      <c r="E45" s="1476"/>
      <c r="F45" s="1533"/>
      <c r="G45" s="1476"/>
      <c r="H45" s="1533"/>
      <c r="I45" s="1476"/>
      <c r="J45" s="1533"/>
      <c r="K45" s="1476"/>
      <c r="L45" s="1532"/>
    </row>
    <row r="46" customFormat="false" ht="15" hidden="false" customHeight="false" outlineLevel="0" collapsed="false">
      <c r="A46" s="1441"/>
      <c r="B46" s="1482" t="s">
        <v>881</v>
      </c>
      <c r="C46" s="1482"/>
      <c r="D46" s="1500"/>
      <c r="E46" s="1442"/>
      <c r="F46" s="1486"/>
      <c r="G46" s="1442"/>
      <c r="H46" s="1486"/>
      <c r="I46" s="1442"/>
      <c r="J46" s="1486"/>
      <c r="K46" s="1442"/>
      <c r="L46" s="1485"/>
    </row>
    <row r="47" customFormat="false" ht="15" hidden="false" customHeight="false" outlineLevel="0" collapsed="false">
      <c r="A47" s="1441"/>
      <c r="B47" s="1499" t="s">
        <v>864</v>
      </c>
      <c r="C47" s="1499"/>
      <c r="D47" s="1502"/>
      <c r="E47" s="1499" t="s">
        <v>882</v>
      </c>
      <c r="F47" s="1486"/>
      <c r="G47" s="1499" t="s">
        <v>882</v>
      </c>
      <c r="H47" s="1486"/>
      <c r="I47" s="1499" t="s">
        <v>882</v>
      </c>
      <c r="J47" s="1486"/>
      <c r="K47" s="1499" t="s">
        <v>882</v>
      </c>
      <c r="L47" s="1485"/>
    </row>
    <row r="48" customFormat="false" ht="15" hidden="false" customHeight="false" outlineLevel="0" collapsed="false">
      <c r="A48" s="52" t="s">
        <v>866</v>
      </c>
      <c r="B48" s="1503" t="n">
        <v>180</v>
      </c>
      <c r="C48" s="252"/>
      <c r="D48" s="1504" t="n">
        <f aca="false">(('7.3 Cost of sales'!C58+'7.3 Cost of sales'!C59)*(1+'7.5.3 VAT'!$C$8)*'7.5.1 Financial Requirements'!$B$48)/360</f>
        <v>-5.95</v>
      </c>
      <c r="E48" s="1503" t="n">
        <f aca="false">B48</f>
        <v>180</v>
      </c>
      <c r="F48" s="876" t="n">
        <f aca="false">(('7.3 Cost of sales'!E58+'7.3 Cost of sales'!E59)*(1+'7.5.3 VAT'!$C$8)*'7.5.1 Financial Requirements'!E48)/360</f>
        <v>0</v>
      </c>
      <c r="G48" s="1503" t="n">
        <f aca="false">E48</f>
        <v>180</v>
      </c>
      <c r="H48" s="876" t="n">
        <f aca="false">(('7.3 Cost of sales'!G58+'7.3 Cost of sales'!G59)*(1+'7.5.3 VAT'!$C$8)*'7.5.1 Financial Requirements'!G48)/360</f>
        <v>0</v>
      </c>
      <c r="I48" s="1503" t="n">
        <f aca="false">G48</f>
        <v>180</v>
      </c>
      <c r="J48" s="876" t="n">
        <f aca="false">(('7.3 Cost of sales'!I58+'7.3 Cost of sales'!I59)*(1+'7.5.3 VAT'!$C$8)*'7.5.1 Financial Requirements'!I48)/360</f>
        <v>0</v>
      </c>
      <c r="K48" s="1503" t="n">
        <f aca="false">I48</f>
        <v>180</v>
      </c>
      <c r="L48" s="875" t="n">
        <f aca="false">(('7.3 Cost of sales'!K58+'7.3 Cost of sales'!K59)*(1+'7.5.3 VAT'!$C$8)*'7.5.1 Financial Requirements'!K48)/360</f>
        <v>0</v>
      </c>
    </row>
    <row r="49" customFormat="false" ht="15" hidden="false" customHeight="false" outlineLevel="0" collapsed="false">
      <c r="A49" s="52" t="s">
        <v>867</v>
      </c>
      <c r="B49" s="1503" t="n">
        <v>0</v>
      </c>
      <c r="C49" s="252"/>
      <c r="D49" s="1265" t="n">
        <f aca="false">'7.3 Cost of sales'!C60*(1+'7.5.3 VAT'!$C$8)*'7.5.1 Financial Requirements'!$B$49/360</f>
        <v>0</v>
      </c>
      <c r="E49" s="1503" t="n">
        <f aca="false">B49</f>
        <v>0</v>
      </c>
      <c r="F49" s="876" t="n">
        <f aca="false">'7.3 Cost of sales'!E60*(1+'7.5.3 VAT'!$C$8)*'7.5.1 Financial Requirements'!E49/360</f>
        <v>0</v>
      </c>
      <c r="G49" s="1503" t="n">
        <f aca="false">E49</f>
        <v>0</v>
      </c>
      <c r="H49" s="876" t="n">
        <f aca="false">'7.3 Cost of sales'!G60*(1+'7.5.3 VAT'!$C$8)*'7.5.1 Financial Requirements'!G49/360</f>
        <v>0</v>
      </c>
      <c r="I49" s="1503" t="n">
        <f aca="false">G49</f>
        <v>0</v>
      </c>
      <c r="J49" s="876" t="n">
        <f aca="false">'7.3 Cost of sales'!I60*(1+'7.5.3 VAT'!$C$8)*'7.5.1 Financial Requirements'!I49/360</f>
        <v>0</v>
      </c>
      <c r="K49" s="1503" t="n">
        <f aca="false">I49</f>
        <v>0</v>
      </c>
      <c r="L49" s="875" t="n">
        <f aca="false">'7.3 Cost of sales'!K60*(1+'7.5.3 VAT'!$C$8)*'7.5.1 Financial Requirements'!K49/360</f>
        <v>0</v>
      </c>
    </row>
    <row r="50" customFormat="false" ht="15" hidden="false" customHeight="false" outlineLevel="0" collapsed="false">
      <c r="A50" s="52" t="s">
        <v>868</v>
      </c>
      <c r="B50" s="1503" t="n">
        <v>0</v>
      </c>
      <c r="C50" s="252"/>
      <c r="D50" s="1265" t="n">
        <f aca="false">'7.3 Cost of sales'!C61*(1+'7.5.3 VAT'!$C$8)*'7.5.1 Financial Requirements'!$B$50/360</f>
        <v>0</v>
      </c>
      <c r="E50" s="1503" t="n">
        <f aca="false">B50</f>
        <v>0</v>
      </c>
      <c r="F50" s="876" t="n">
        <f aca="false">'7.3 Cost of sales'!E61*(1+'7.5.3 VAT'!$C$8)*'7.5.1 Financial Requirements'!E50/360</f>
        <v>0</v>
      </c>
      <c r="G50" s="1503" t="n">
        <f aca="false">E50</f>
        <v>0</v>
      </c>
      <c r="H50" s="876" t="n">
        <f aca="false">'7.3 Cost of sales'!G61*(1+'7.5.3 VAT'!$C$8)*'7.5.1 Financial Requirements'!G50/360</f>
        <v>0</v>
      </c>
      <c r="I50" s="1503" t="n">
        <f aca="false">G50</f>
        <v>0</v>
      </c>
      <c r="J50" s="876" t="n">
        <f aca="false">'7.3 Cost of sales'!I61*(1+'7.5.3 VAT'!$C$8)*'7.5.1 Financial Requirements'!I50/360</f>
        <v>0</v>
      </c>
      <c r="K50" s="1503" t="n">
        <f aca="false">I50</f>
        <v>0</v>
      </c>
      <c r="L50" s="875" t="n">
        <f aca="false">'7.3 Cost of sales'!K61*(1+'7.5.3 VAT'!$C$8)*'7.5.1 Financial Requirements'!K50/360</f>
        <v>0</v>
      </c>
    </row>
    <row r="51" customFormat="false" ht="15" hidden="false" customHeight="false" outlineLevel="0" collapsed="false">
      <c r="A51" s="52" t="s">
        <v>173</v>
      </c>
      <c r="B51" s="1503" t="n">
        <v>120</v>
      </c>
      <c r="C51" s="252"/>
      <c r="D51" s="1265" t="e">
        <f aca="false">'7.2.2 Turnover Parts'!C77*(1+'7.5.3 VAT'!$C$8)*'7.5.1 Financial Requirements'!$B$51/360</f>
        <v>#VALUE!</v>
      </c>
      <c r="E51" s="1503" t="n">
        <f aca="false">B51</f>
        <v>120</v>
      </c>
      <c r="F51" s="876" t="e">
        <f aca="false">IF(E51=0,0,'7.2.2 Turnover Parts'!E77*(1+'7.5.3 VAT'!$C$8)*'7.5.1 Financial Requirements'!E51/360)</f>
        <v>#VALUE!</v>
      </c>
      <c r="G51" s="1503" t="n">
        <f aca="false">E51</f>
        <v>120</v>
      </c>
      <c r="H51" s="876" t="e">
        <f aca="false">IF(G51=0,0,'7.2.2 Turnover Parts'!G77*(1+'7.5.3 VAT'!$C$8)*'7.5.1 Financial Requirements'!G51/360)</f>
        <v>#VALUE!</v>
      </c>
      <c r="I51" s="1503" t="n">
        <f aca="false">G51</f>
        <v>120</v>
      </c>
      <c r="J51" s="876" t="e">
        <f aca="false">IF(I51=0,0,'7.2.2 Turnover Parts'!I77*(1+'7.5.3 VAT'!$C$8)*'7.5.1 Financial Requirements'!I51/360)</f>
        <v>#VALUE!</v>
      </c>
      <c r="K51" s="1503" t="n">
        <f aca="false">I51</f>
        <v>120</v>
      </c>
      <c r="L51" s="875" t="e">
        <f aca="false">IF(K51=0,0,'7.2.2 Turnover Parts'!K77*(1+'7.5.3 VAT'!$C$8)*'7.5.1 Financial Requirements'!K51/360)</f>
        <v>#VALUE!</v>
      </c>
    </row>
    <row r="52" customFormat="false" ht="15" hidden="false" customHeight="false" outlineLevel="0" collapsed="false">
      <c r="A52" s="52" t="s">
        <v>182</v>
      </c>
      <c r="B52" s="1503" t="n">
        <v>0</v>
      </c>
      <c r="C52" s="252"/>
      <c r="D52" s="1506" t="n">
        <f aca="false">'7.3 Cost of sales'!C83*(1+'7.5.3 VAT'!$C$8)*'7.5.1 Financial Requirements'!B52/360</f>
        <v>0</v>
      </c>
      <c r="E52" s="1503" t="n">
        <f aca="false">B52</f>
        <v>0</v>
      </c>
      <c r="F52" s="925" t="n">
        <f aca="false">'7.3 Cost of sales'!E83*(1+'7.5.3 VAT'!$C$8)*'7.5.1 Financial Requirements'!E52/360</f>
        <v>0</v>
      </c>
      <c r="G52" s="1503" t="n">
        <f aca="false">E52</f>
        <v>0</v>
      </c>
      <c r="H52" s="925" t="n">
        <f aca="false">'7.3 Cost of sales'!G83*(1+'7.5.3 VAT'!$C$8)*'7.5.1 Financial Requirements'!G52/360</f>
        <v>0</v>
      </c>
      <c r="I52" s="1503" t="n">
        <f aca="false">G52</f>
        <v>0</v>
      </c>
      <c r="J52" s="925" t="n">
        <f aca="false">'7.3 Cost of sales'!I83*(1+'7.5.3 VAT'!$C$8)*'7.5.1 Financial Requirements'!I52/360</f>
        <v>0</v>
      </c>
      <c r="K52" s="1503" t="n">
        <f aca="false">I52</f>
        <v>0</v>
      </c>
      <c r="L52" s="924" t="n">
        <f aca="false">'7.3 Cost of sales'!K83*(1+'7.5.3 VAT'!$C$8)*'7.5.1 Financial Requirements'!K52/360</f>
        <v>0</v>
      </c>
    </row>
    <row r="53" customFormat="false" ht="15" hidden="false" customHeight="false" outlineLevel="0" collapsed="false">
      <c r="A53" s="52" t="s">
        <v>700</v>
      </c>
      <c r="B53" s="1503" t="n">
        <v>30</v>
      </c>
      <c r="C53" s="252"/>
      <c r="D53" s="1406" t="e">
        <f aca="false">'7.3 Cost of sales'!C84*(1+'7.5.3 VAT'!$C$8)*'7.5.1 Financial Requirements'!$B$53/360</f>
        <v>#VALUE!</v>
      </c>
      <c r="E53" s="1503" t="n">
        <f aca="false">B53</f>
        <v>30</v>
      </c>
      <c r="F53" s="967" t="n">
        <f aca="false">'7.3 Cost of sales'!E84*(1+'7.5.3 VAT'!$C$8)*'7.5.1 Financial Requirements'!E53/360</f>
        <v>0</v>
      </c>
      <c r="G53" s="1503" t="n">
        <f aca="false">E53</f>
        <v>30</v>
      </c>
      <c r="H53" s="967" t="n">
        <f aca="false">'7.3 Cost of sales'!G84*(1+'7.5.3 VAT'!$C$8)*'7.5.1 Financial Requirements'!G53/360</f>
        <v>0</v>
      </c>
      <c r="I53" s="1503" t="n">
        <f aca="false">G53</f>
        <v>30</v>
      </c>
      <c r="J53" s="967" t="n">
        <f aca="false">'7.3 Cost of sales'!I84*(1+'7.5.3 VAT'!$C$8)*'7.5.1 Financial Requirements'!I53/360</f>
        <v>0</v>
      </c>
      <c r="K53" s="1503" t="n">
        <f aca="false">I53</f>
        <v>30</v>
      </c>
      <c r="L53" s="966" t="n">
        <f aca="false">'7.3 Cost of sales'!K84*(1+'7.5.3 VAT'!$C$8)*'7.5.1 Financial Requirements'!K53/360</f>
        <v>0</v>
      </c>
    </row>
    <row r="54" customFormat="false" ht="15" hidden="false" customHeight="false" outlineLevel="0" collapsed="false">
      <c r="A54" s="1489" t="s">
        <v>685</v>
      </c>
      <c r="B54" s="1534"/>
      <c r="C54" s="1534"/>
      <c r="D54" s="1535" t="e">
        <f aca="false">SUM(D48:D53)</f>
        <v>#VALUE!</v>
      </c>
      <c r="E54" s="1536"/>
      <c r="F54" s="1513" t="e">
        <f aca="false">SUM(F48:F53)</f>
        <v>#VALUE!</v>
      </c>
      <c r="G54" s="1536"/>
      <c r="H54" s="1513" t="e">
        <f aca="false">SUM(H48:H53)</f>
        <v>#VALUE!</v>
      </c>
      <c r="I54" s="1536"/>
      <c r="J54" s="1513" t="e">
        <f aca="false">SUM(J48:J53)</f>
        <v>#VALUE!</v>
      </c>
      <c r="K54" s="1536"/>
      <c r="L54" s="1515" t="e">
        <f aca="false">SUM(L48:L53)</f>
        <v>#VALUE!</v>
      </c>
    </row>
    <row r="55" customFormat="false" ht="15" hidden="false" customHeight="false" outlineLevel="0" collapsed="false">
      <c r="A55" s="1441"/>
      <c r="B55" s="1507"/>
      <c r="C55" s="1507"/>
      <c r="D55" s="1537"/>
      <c r="E55" s="1499"/>
      <c r="F55" s="1483"/>
      <c r="G55" s="1499"/>
      <c r="H55" s="1483"/>
      <c r="I55" s="1499"/>
      <c r="J55" s="1483"/>
      <c r="K55" s="1499"/>
      <c r="L55" s="1480"/>
    </row>
    <row r="56" customFormat="false" ht="15" hidden="false" customHeight="false" outlineLevel="0" collapsed="false">
      <c r="A56" s="52" t="s">
        <v>883</v>
      </c>
      <c r="B56" s="1503" t="n">
        <v>0</v>
      </c>
      <c r="C56" s="252"/>
      <c r="D56" s="1265" t="n">
        <f aca="false">'7.4.2 Selling &amp; Oper. expenses'!C57*(1+'7.5.3 VAT'!$C$8)*'7.5.1 Financial Requirements'!$B$56/360</f>
        <v>0</v>
      </c>
      <c r="E56" s="1503" t="n">
        <f aca="false">B56</f>
        <v>0</v>
      </c>
      <c r="F56" s="876" t="n">
        <f aca="false">'7.4.2 Selling &amp; Oper. expenses'!E57*(1+'7.5.3 VAT'!$C$8)*'7.5.1 Financial Requirements'!E56/360</f>
        <v>0</v>
      </c>
      <c r="G56" s="1503" t="n">
        <f aca="false">E56</f>
        <v>0</v>
      </c>
      <c r="H56" s="876" t="n">
        <f aca="false">'7.4.2 Selling &amp; Oper. expenses'!G57*(1+'7.5.3 VAT'!$C$8)*'7.5.1 Financial Requirements'!G56/360</f>
        <v>0</v>
      </c>
      <c r="I56" s="1503" t="n">
        <f aca="false">G56</f>
        <v>0</v>
      </c>
      <c r="J56" s="876" t="n">
        <f aca="false">'7.4.2 Selling &amp; Oper. expenses'!I57*(1+'7.5.3 VAT'!$C$8)*'7.5.1 Financial Requirements'!I56/360</f>
        <v>0</v>
      </c>
      <c r="K56" s="1503" t="n">
        <f aca="false">I56</f>
        <v>0</v>
      </c>
      <c r="L56" s="875" t="n">
        <f aca="false">'7.4.2 Selling &amp; Oper. expenses'!K57*(1+'7.5.3 VAT'!$C$8)*'7.5.1 Financial Requirements'!K56/360</f>
        <v>0</v>
      </c>
    </row>
    <row r="57" customFormat="false" ht="15" hidden="false" customHeight="false" outlineLevel="0" collapsed="false">
      <c r="A57" s="1441"/>
      <c r="B57" s="1482"/>
      <c r="C57" s="1482"/>
      <c r="D57" s="1537"/>
      <c r="E57" s="1442"/>
      <c r="F57" s="1442"/>
      <c r="G57" s="1442"/>
      <c r="H57" s="1442"/>
      <c r="I57" s="1442"/>
      <c r="J57" s="1442"/>
      <c r="K57" s="1442"/>
      <c r="L57" s="1501"/>
    </row>
    <row r="58" customFormat="false" ht="15" hidden="false" customHeight="false" outlineLevel="0" collapsed="false">
      <c r="A58" s="1489" t="s">
        <v>884</v>
      </c>
      <c r="B58" s="1482"/>
      <c r="C58" s="1482"/>
      <c r="D58" s="1538" t="e">
        <f aca="false">+D54+D56</f>
        <v>#VALUE!</v>
      </c>
      <c r="E58" s="1492"/>
      <c r="F58" s="1538" t="e">
        <f aca="false">+F54+F56</f>
        <v>#VALUE!</v>
      </c>
      <c r="G58" s="1492"/>
      <c r="H58" s="1538" t="e">
        <f aca="false">+H54+H56</f>
        <v>#VALUE!</v>
      </c>
      <c r="I58" s="1492"/>
      <c r="J58" s="1538" t="e">
        <f aca="false">+J54+J56</f>
        <v>#VALUE!</v>
      </c>
      <c r="K58" s="1492"/>
      <c r="L58" s="1538" t="e">
        <f aca="false">+L54+L56</f>
        <v>#VALUE!</v>
      </c>
    </row>
    <row r="59" customFormat="false" ht="15" hidden="false" customHeight="false" outlineLevel="0" collapsed="false">
      <c r="A59" s="1458"/>
      <c r="B59" s="1539"/>
      <c r="C59" s="1539"/>
      <c r="D59" s="1525"/>
      <c r="E59" s="1459"/>
      <c r="F59" s="1459"/>
      <c r="G59" s="1459"/>
      <c r="H59" s="1459"/>
      <c r="I59" s="1459"/>
      <c r="J59" s="1459"/>
      <c r="K59" s="1459"/>
      <c r="L59" s="1525"/>
    </row>
    <row r="60" customFormat="false" ht="18.75" hidden="false" customHeight="false" outlineLevel="0" collapsed="false">
      <c r="A60" s="1467" t="s">
        <v>885</v>
      </c>
      <c r="B60" s="1529"/>
      <c r="C60" s="1529"/>
      <c r="D60" s="1529"/>
      <c r="E60" s="1529"/>
      <c r="F60" s="1529"/>
      <c r="G60" s="1529"/>
      <c r="H60" s="1529"/>
      <c r="I60" s="1529"/>
      <c r="J60" s="1529"/>
      <c r="K60" s="1529"/>
      <c r="L60" s="1540"/>
    </row>
    <row r="61" customFormat="false" ht="15" hidden="false" customHeight="false" outlineLevel="0" collapsed="false">
      <c r="A61" s="1441"/>
      <c r="B61" s="1482"/>
      <c r="C61" s="1482"/>
      <c r="D61" s="1475"/>
      <c r="E61" s="1442"/>
      <c r="F61" s="1442"/>
      <c r="G61" s="1442"/>
      <c r="H61" s="1442"/>
      <c r="I61" s="1442"/>
      <c r="J61" s="1442"/>
      <c r="K61" s="1442"/>
      <c r="L61" s="1501"/>
    </row>
    <row r="62" customFormat="false" ht="15" hidden="false" customHeight="false" outlineLevel="0" collapsed="false">
      <c r="A62" s="1441"/>
      <c r="B62" s="1507" t="s">
        <v>886</v>
      </c>
      <c r="C62" s="1482"/>
      <c r="D62" s="1501"/>
      <c r="E62" s="1499" t="s">
        <v>887</v>
      </c>
      <c r="F62" s="1442"/>
      <c r="G62" s="1499" t="s">
        <v>887</v>
      </c>
      <c r="H62" s="1442"/>
      <c r="I62" s="1499" t="s">
        <v>887</v>
      </c>
      <c r="J62" s="1442"/>
      <c r="K62" s="1499" t="s">
        <v>887</v>
      </c>
      <c r="L62" s="1501"/>
    </row>
    <row r="63" customFormat="false" ht="15" hidden="false" customHeight="false" outlineLevel="0" collapsed="false">
      <c r="A63" s="52" t="s">
        <v>888</v>
      </c>
      <c r="B63" s="1503" t="n">
        <v>30</v>
      </c>
      <c r="C63" s="86"/>
      <c r="D63" s="54" t="n">
        <f aca="false">'7.4.3 Inv. &amp; Depr.'!D65*'7.5.3 VAT'!$C$8*$B$63/360</f>
        <v>22404.1666666667</v>
      </c>
      <c r="E63" s="1503" t="n">
        <f aca="false">B63</f>
        <v>30</v>
      </c>
      <c r="F63" s="48" t="n">
        <f aca="false">'7.4.3 Inv. &amp; Depr.'!F65*'7.5.3 VAT'!$C$8*E63/360</f>
        <v>889.738333333333</v>
      </c>
      <c r="G63" s="1503" t="n">
        <f aca="false">E63</f>
        <v>30</v>
      </c>
      <c r="H63" s="48" t="n">
        <f aca="false">'7.4.3 Inv. &amp; Depr.'!H65*'7.5.3 VAT'!$C$8*G63/360</f>
        <v>945.899166666667</v>
      </c>
      <c r="I63" s="1503" t="n">
        <f aca="false">G63</f>
        <v>30</v>
      </c>
      <c r="J63" s="48" t="n">
        <f aca="false">'7.4.3 Inv. &amp; Depr.'!J65*'7.5.3 VAT'!$C$8*I63/360</f>
        <v>1058.28416666667</v>
      </c>
      <c r="K63" s="1503" t="n">
        <f aca="false">I63</f>
        <v>30</v>
      </c>
      <c r="L63" s="54" t="n">
        <f aca="false">'7.4.3 Inv. &amp; Depr.'!L65*'7.5.3 VAT'!$C$8*K63/360</f>
        <v>1170.65333333333</v>
      </c>
    </row>
    <row r="64" customFormat="false" ht="15" hidden="false" customHeight="false" outlineLevel="0" collapsed="false">
      <c r="A64" s="1441"/>
      <c r="B64" s="1482"/>
      <c r="C64" s="1482"/>
      <c r="D64" s="1525"/>
      <c r="E64" s="1442"/>
      <c r="F64" s="1442"/>
      <c r="G64" s="1442"/>
      <c r="H64" s="1442"/>
      <c r="I64" s="1442"/>
      <c r="J64" s="1442"/>
      <c r="K64" s="1541"/>
      <c r="L64" s="1501"/>
    </row>
    <row r="65" customFormat="false" ht="18.75" hidden="false" customHeight="false" outlineLevel="0" collapsed="false">
      <c r="A65" s="1467" t="s">
        <v>889</v>
      </c>
      <c r="B65" s="1495"/>
      <c r="C65" s="1495"/>
      <c r="D65" s="1495"/>
      <c r="E65" s="1495"/>
      <c r="F65" s="1495"/>
      <c r="G65" s="1495"/>
      <c r="H65" s="1495"/>
      <c r="I65" s="1495"/>
      <c r="J65" s="1495"/>
      <c r="K65" s="1495"/>
      <c r="L65" s="1498"/>
    </row>
    <row r="66" customFormat="false" ht="15" hidden="false" customHeight="false" outlineLevel="0" collapsed="false">
      <c r="A66" s="1441"/>
      <c r="B66" s="1442"/>
      <c r="C66" s="1442"/>
      <c r="D66" s="1542"/>
      <c r="E66" s="1442"/>
      <c r="F66" s="1442"/>
      <c r="G66" s="1442"/>
      <c r="H66" s="1442"/>
      <c r="I66" s="1442"/>
      <c r="J66" s="1442"/>
      <c r="K66" s="1442"/>
      <c r="L66" s="1501"/>
    </row>
    <row r="67" customFormat="false" ht="15" hidden="false" customHeight="false" outlineLevel="0" collapsed="false">
      <c r="A67" s="1441" t="s">
        <v>890</v>
      </c>
      <c r="B67" s="1442"/>
      <c r="C67" s="1442"/>
      <c r="D67" s="1543" t="e">
        <f aca="false">D42</f>
        <v>#VALUE!</v>
      </c>
      <c r="E67" s="1442"/>
      <c r="F67" s="1483" t="e">
        <f aca="false">F42</f>
        <v>#VALUE!</v>
      </c>
      <c r="G67" s="1442"/>
      <c r="H67" s="1483" t="e">
        <f aca="false">H42</f>
        <v>#VALUE!</v>
      </c>
      <c r="I67" s="1442"/>
      <c r="J67" s="1483" t="e">
        <f aca="false">J42</f>
        <v>#VALUE!</v>
      </c>
      <c r="K67" s="1442"/>
      <c r="L67" s="1480" t="e">
        <f aca="false">L42</f>
        <v>#VALUE!</v>
      </c>
    </row>
    <row r="68" customFormat="false" ht="15" hidden="false" customHeight="false" outlineLevel="0" collapsed="false">
      <c r="A68" s="1441" t="s">
        <v>891</v>
      </c>
      <c r="B68" s="1442"/>
      <c r="C68" s="1442"/>
      <c r="D68" s="1520" t="e">
        <f aca="false">D33</f>
        <v>#VALUE!</v>
      </c>
      <c r="E68" s="1483"/>
      <c r="F68" s="1483" t="e">
        <f aca="false">F33</f>
        <v>#VALUE!</v>
      </c>
      <c r="G68" s="1483"/>
      <c r="H68" s="1483" t="e">
        <f aca="false">H33</f>
        <v>#VALUE!</v>
      </c>
      <c r="I68" s="1483"/>
      <c r="J68" s="1483" t="e">
        <f aca="false">J33</f>
        <v>#VALUE!</v>
      </c>
      <c r="K68" s="1483"/>
      <c r="L68" s="1480" t="e">
        <f aca="false">L33</f>
        <v>#VALUE!</v>
      </c>
    </row>
    <row r="69" customFormat="false" ht="15" hidden="false" customHeight="false" outlineLevel="0" collapsed="false">
      <c r="A69" s="1441" t="s">
        <v>892</v>
      </c>
      <c r="B69" s="1442"/>
      <c r="C69" s="1442"/>
      <c r="D69" s="1520" t="e">
        <f aca="false">+D58</f>
        <v>#VALUE!</v>
      </c>
      <c r="E69" s="1483"/>
      <c r="F69" s="1483" t="e">
        <f aca="false">+F58</f>
        <v>#VALUE!</v>
      </c>
      <c r="G69" s="1483"/>
      <c r="H69" s="1483" t="e">
        <f aca="false">+H58</f>
        <v>#VALUE!</v>
      </c>
      <c r="I69" s="1483"/>
      <c r="J69" s="1483" t="e">
        <f aca="false">+J58</f>
        <v>#VALUE!</v>
      </c>
      <c r="K69" s="1483"/>
      <c r="L69" s="1480" t="e">
        <f aca="false">+L58</f>
        <v>#VALUE!</v>
      </c>
    </row>
    <row r="70" customFormat="false" ht="15" hidden="false" customHeight="false" outlineLevel="0" collapsed="false">
      <c r="A70" s="1441" t="s">
        <v>893</v>
      </c>
      <c r="B70" s="1442"/>
      <c r="C70" s="1442"/>
      <c r="D70" s="1520" t="n">
        <f aca="false">D63</f>
        <v>22404.1666666667</v>
      </c>
      <c r="E70" s="1483"/>
      <c r="F70" s="1483" t="n">
        <f aca="false">F63</f>
        <v>889.738333333333</v>
      </c>
      <c r="G70" s="1483"/>
      <c r="H70" s="1483" t="n">
        <f aca="false">H63</f>
        <v>945.899166666667</v>
      </c>
      <c r="I70" s="1483"/>
      <c r="J70" s="1483" t="n">
        <f aca="false">J63</f>
        <v>1058.28416666667</v>
      </c>
      <c r="K70" s="1483"/>
      <c r="L70" s="1480" t="n">
        <f aca="false">L63</f>
        <v>1170.65333333333</v>
      </c>
    </row>
    <row r="71" customFormat="false" ht="15" hidden="false" customHeight="false" outlineLevel="0" collapsed="false">
      <c r="A71" s="1441" t="s">
        <v>894</v>
      </c>
      <c r="B71" s="1442"/>
      <c r="C71" s="1442"/>
      <c r="D71" s="1520" t="e">
        <f aca="false">'7.5.3 VAT'!C62</f>
        <v>#VALUE!</v>
      </c>
      <c r="E71" s="1483"/>
      <c r="F71" s="1483" t="e">
        <f aca="false">'7.5.3 VAT'!E62</f>
        <v>#VALUE!</v>
      </c>
      <c r="G71" s="1483"/>
      <c r="H71" s="1483" t="e">
        <f aca="false">'7.5.3 VAT'!G62</f>
        <v>#VALUE!</v>
      </c>
      <c r="I71" s="1483"/>
      <c r="J71" s="1483" t="e">
        <f aca="false">'7.5.3 VAT'!I62</f>
        <v>#VALUE!</v>
      </c>
      <c r="K71" s="1483"/>
      <c r="L71" s="1480" t="e">
        <f aca="false">'7.5.3 VAT'!K62</f>
        <v>#VALUE!</v>
      </c>
    </row>
    <row r="72" customFormat="false" ht="15" hidden="false" customHeight="false" outlineLevel="0" collapsed="false">
      <c r="A72" s="1441"/>
      <c r="B72" s="1442"/>
      <c r="C72" s="1442"/>
      <c r="D72" s="1520"/>
      <c r="E72" s="1483"/>
      <c r="F72" s="1483"/>
      <c r="G72" s="1483"/>
      <c r="H72" s="1483"/>
      <c r="I72" s="1483"/>
      <c r="J72" s="1483"/>
      <c r="K72" s="1483"/>
      <c r="L72" s="1480"/>
    </row>
    <row r="73" customFormat="false" ht="15" hidden="false" customHeight="false" outlineLevel="0" collapsed="false">
      <c r="A73" s="52" t="s">
        <v>895</v>
      </c>
      <c r="B73" s="48"/>
      <c r="C73" s="925"/>
      <c r="D73" s="1401" t="n">
        <v>0</v>
      </c>
      <c r="E73" s="665"/>
      <c r="F73" s="997" t="n">
        <v>0</v>
      </c>
      <c r="G73" s="665"/>
      <c r="H73" s="997" t="n">
        <v>0</v>
      </c>
      <c r="I73" s="665"/>
      <c r="J73" s="997" t="n">
        <v>0</v>
      </c>
      <c r="K73" s="665"/>
      <c r="L73" s="951" t="n">
        <v>0</v>
      </c>
    </row>
    <row r="74" customFormat="false" ht="15" hidden="false" customHeight="false" outlineLevel="0" collapsed="false">
      <c r="A74" s="1441"/>
      <c r="B74" s="1442"/>
      <c r="C74" s="1442"/>
      <c r="D74" s="1520"/>
      <c r="E74" s="1483"/>
      <c r="F74" s="1483"/>
      <c r="G74" s="1483"/>
      <c r="H74" s="1483"/>
      <c r="I74" s="1483"/>
      <c r="J74" s="1483"/>
      <c r="K74" s="1483"/>
      <c r="L74" s="1480"/>
    </row>
    <row r="75" customFormat="false" ht="15" hidden="false" customHeight="false" outlineLevel="0" collapsed="false">
      <c r="A75" s="1441" t="s">
        <v>896</v>
      </c>
      <c r="B75" s="1442"/>
      <c r="C75" s="1442"/>
      <c r="D75" s="1520" t="n">
        <f aca="false">'7.7 P&amp;L'!C49</f>
        <v>0</v>
      </c>
      <c r="E75" s="1483"/>
      <c r="F75" s="1483" t="n">
        <f aca="false">'7.7 P&amp;L'!E49</f>
        <v>0</v>
      </c>
      <c r="G75" s="1483"/>
      <c r="H75" s="1483" t="n">
        <f aca="false">'7.7 P&amp;L'!G49</f>
        <v>0</v>
      </c>
      <c r="I75" s="1483"/>
      <c r="J75" s="1483" t="n">
        <f aca="false">'7.7 P&amp;L'!I49</f>
        <v>0</v>
      </c>
      <c r="K75" s="1483"/>
      <c r="L75" s="1480" t="n">
        <f aca="false">'7.7 P&amp;L'!K49</f>
        <v>0</v>
      </c>
    </row>
    <row r="76" customFormat="false" ht="15" hidden="false" customHeight="false" outlineLevel="0" collapsed="false">
      <c r="A76" s="1441"/>
      <c r="B76" s="1442"/>
      <c r="C76" s="1442"/>
      <c r="D76" s="1520"/>
      <c r="E76" s="1483"/>
      <c r="F76" s="1483"/>
      <c r="G76" s="1483"/>
      <c r="H76" s="1483"/>
      <c r="I76" s="1483"/>
      <c r="J76" s="1483"/>
      <c r="K76" s="1483"/>
      <c r="L76" s="1480"/>
    </row>
    <row r="77" customFormat="false" ht="15" hidden="false" customHeight="false" outlineLevel="0" collapsed="false">
      <c r="A77" s="1489" t="s">
        <v>897</v>
      </c>
      <c r="B77" s="1492"/>
      <c r="C77" s="1492"/>
      <c r="D77" s="1512" t="e">
        <f aca="false">IF(D67+D68-D69-D70+D71+D73+D75&gt;=0,D67+D68-D69-D70+D71+D73+D75,0)</f>
        <v>#VALUE!</v>
      </c>
      <c r="E77" s="1513"/>
      <c r="F77" s="1513" t="e">
        <f aca="false">IF(F67+F68-F69-F70+F71+F73+F75&gt;=0,F67+F68-F69-F70+F71+F73+F75,0)</f>
        <v>#VALUE!</v>
      </c>
      <c r="G77" s="1513"/>
      <c r="H77" s="1513" t="e">
        <f aca="false">IF(H67+H68-H69-H70+H71+H73+H75&gt;=0,H67+H68-H69-H70+H71+H73+H75,0)</f>
        <v>#VALUE!</v>
      </c>
      <c r="I77" s="1513"/>
      <c r="J77" s="1513" t="e">
        <f aca="false">IF(J67+J68-J69-J70+J71+J73+J75&gt;=0,J67+J68-J69-J70+J71+J73+J75,0)</f>
        <v>#VALUE!</v>
      </c>
      <c r="K77" s="1513"/>
      <c r="L77" s="1515" t="e">
        <f aca="false">IF(L67+L68-L69-L70+L71+L73+L75&gt;=0,L67+L68-L69-L70+L71+L73+L75,0)</f>
        <v>#VALUE!</v>
      </c>
    </row>
    <row r="78" customFormat="false" ht="15" hidden="false" customHeight="false" outlineLevel="0" collapsed="false">
      <c r="A78" s="1441"/>
      <c r="B78" s="1442"/>
      <c r="C78" s="1442"/>
      <c r="D78" s="1480"/>
      <c r="E78" s="1483"/>
      <c r="F78" s="1483"/>
      <c r="G78" s="1483"/>
      <c r="H78" s="1483"/>
      <c r="I78" s="1483"/>
      <c r="J78" s="1483"/>
      <c r="K78" s="1483"/>
      <c r="L78" s="1480"/>
    </row>
    <row r="79" customFormat="false" ht="15" hidden="false" customHeight="false" outlineLevel="0" collapsed="false">
      <c r="A79" s="1441" t="s">
        <v>898</v>
      </c>
      <c r="B79" s="1442"/>
      <c r="C79" s="1442"/>
      <c r="D79" s="1480" t="e">
        <f aca="false">IF(D67+D68-D69-D70+D71+D73+D75&gt;0,0,(D67+D68-D69-D70+D71+D73+D75)*-1)</f>
        <v>#VALUE!</v>
      </c>
      <c r="E79" s="1483"/>
      <c r="F79" s="1483" t="e">
        <f aca="false">IF(F67+F68-F69-F70+F71+F73+F75&gt;0,0,(F67+F68-F69-F70+F71+F73+F75)*-1)</f>
        <v>#VALUE!</v>
      </c>
      <c r="G79" s="1483"/>
      <c r="H79" s="1483" t="e">
        <f aca="false">IF(H67+H68-H69-H70+H71+H73+H75&gt;0,0,(H67+H68-H69-H70+H71+H73+H75)*-1)</f>
        <v>#VALUE!</v>
      </c>
      <c r="I79" s="1483"/>
      <c r="J79" s="1483" t="e">
        <f aca="false">IF(J67+J68-J69-J70+J71+J73+J75&gt;0,0,(J67+J68-J69-J70+J71+J73+J75)*-1)</f>
        <v>#VALUE!</v>
      </c>
      <c r="K79" s="1483"/>
      <c r="L79" s="1480" t="e">
        <f aca="false">IF(L67+L68-L69-L70+L71+L73+L75&gt;0,0,(L67+L68-L69-L70+L71+L73+L75)*-1)</f>
        <v>#VALUE!</v>
      </c>
    </row>
    <row r="80" customFormat="false" ht="15" hidden="false" customHeight="false" outlineLevel="0" collapsed="false">
      <c r="A80" s="1458"/>
      <c r="B80" s="1459"/>
      <c r="C80" s="1459"/>
      <c r="D80" s="1487"/>
      <c r="E80" s="1459"/>
      <c r="F80" s="1488"/>
      <c r="G80" s="1459"/>
      <c r="H80" s="1488"/>
      <c r="I80" s="1459"/>
      <c r="J80" s="1488"/>
      <c r="K80" s="1459"/>
      <c r="L80" s="1487"/>
    </row>
    <row r="81" customFormat="false" ht="15.75" hidden="false" customHeight="false" outlineLevel="0" collapsed="false">
      <c r="A81" s="1464"/>
      <c r="B81" s="1464"/>
      <c r="C81" s="1464"/>
      <c r="D81" s="1464"/>
      <c r="E81" s="1464"/>
      <c r="F81" s="1464"/>
      <c r="G81" s="1464"/>
      <c r="H81" s="1464"/>
      <c r="I81" s="1464"/>
      <c r="J81" s="1464"/>
      <c r="K81" s="1464"/>
      <c r="L81" s="1464"/>
    </row>
    <row r="82" customFormat="false" ht="15" hidden="false" customHeight="false" outlineLevel="0" collapsed="false">
      <c r="A82" s="1544"/>
      <c r="B82" s="1545"/>
      <c r="C82" s="1545"/>
      <c r="D82" s="1546"/>
      <c r="E82" s="1545"/>
      <c r="F82" s="1545"/>
      <c r="G82" s="1545"/>
      <c r="H82" s="1545"/>
      <c r="I82" s="1545"/>
      <c r="J82" s="1545"/>
      <c r="K82" s="1545"/>
      <c r="L82" s="1547"/>
    </row>
    <row r="83" customFormat="false" ht="15" hidden="false" customHeight="false" outlineLevel="0" collapsed="false">
      <c r="A83" s="1548" t="s">
        <v>899</v>
      </c>
      <c r="B83" s="1549"/>
      <c r="C83" s="1550" t="n">
        <f aca="false">C14</f>
        <v>0</v>
      </c>
      <c r="D83" s="1551" t="e">
        <f aca="false">IF(D77=0,D14-D79,D14+D77)</f>
        <v>#VALUE!</v>
      </c>
      <c r="E83" s="1550"/>
      <c r="F83" s="1550" t="e">
        <f aca="false">IF(F77=0,F14-F79,F14+F77)</f>
        <v>#VALUE!</v>
      </c>
      <c r="G83" s="1550"/>
      <c r="H83" s="1550" t="e">
        <f aca="false">IF(H77=0,H14-H79,H14+H77)</f>
        <v>#VALUE!</v>
      </c>
      <c r="I83" s="1550"/>
      <c r="J83" s="1550" t="e">
        <f aca="false">IF(J77=0,J14-J79,J14+J77)</f>
        <v>#VALUE!</v>
      </c>
      <c r="K83" s="1550"/>
      <c r="L83" s="1552" t="e">
        <f aca="false">IF(L77=0,L14-L79,L14+L77)</f>
        <v>#VALUE!</v>
      </c>
    </row>
    <row r="84" customFormat="false" ht="15.75" hidden="false" customHeight="false" outlineLevel="0" collapsed="false">
      <c r="A84" s="1553"/>
      <c r="B84" s="1554"/>
      <c r="C84" s="1554"/>
      <c r="D84" s="1555"/>
      <c r="E84" s="1554"/>
      <c r="F84" s="1554"/>
      <c r="G84" s="1554"/>
      <c r="H84" s="1554"/>
      <c r="I84" s="1554"/>
      <c r="J84" s="1554"/>
      <c r="K84" s="1554"/>
      <c r="L84" s="1556"/>
    </row>
    <row r="85" customFormat="false" ht="12.75" hidden="false" customHeight="false" outlineLevel="0" collapsed="false"/>
  </sheetData>
  <mergeCells count="4">
    <mergeCell ref="E6:F6"/>
    <mergeCell ref="G6:H6"/>
    <mergeCell ref="I6:J6"/>
    <mergeCell ref="K6:L6"/>
  </mergeCell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2.xml><?xml version="1.0" encoding="utf-8"?>
<worksheet xmlns="http://schemas.openxmlformats.org/spreadsheetml/2006/main" xmlns:r="http://schemas.openxmlformats.org/officeDocument/2006/relationships">
  <sheetPr filterMode="false">
    <tabColor rgb="FFC0C0C0"/>
    <pageSetUpPr fitToPage="true"/>
  </sheetPr>
  <dimension ref="A1:U87"/>
  <sheetViews>
    <sheetView showFormulas="false" showGridLines="false" showRowColHeaders="true" showZeros="true" rightToLeft="false" tabSelected="false" showOutlineSymbols="true" defaultGridColor="true" view="normal" topLeftCell="A10" colorId="64" zoomScale="80" zoomScaleNormal="80" zoomScalePageLayoutView="100" workbookViewId="0">
      <selection pane="topLeft" activeCell="E61" activeCellId="0" sqref="E61"/>
    </sheetView>
  </sheetViews>
  <sheetFormatPr defaultRowHeight="15" zeroHeight="true" outlineLevelRow="0" outlineLevelCol="0"/>
  <cols>
    <col collapsed="false" customWidth="true" hidden="false" outlineLevel="0" max="1" min="1" style="4" width="24.57"/>
    <col collapsed="false" customWidth="true" hidden="false" outlineLevel="0" max="2" min="2" style="4" width="9.29"/>
    <col collapsed="false" customWidth="true" hidden="false" outlineLevel="0" max="3" min="3" style="4" width="17.42"/>
    <col collapsed="false" customWidth="true" hidden="false" outlineLevel="0" max="4" min="4" style="4" width="14.86"/>
    <col collapsed="false" customWidth="true" hidden="false" outlineLevel="0" max="5" min="5" style="4" width="13.86"/>
    <col collapsed="false" customWidth="true" hidden="false" outlineLevel="0" max="6" min="6" style="4" width="8"/>
    <col collapsed="false" customWidth="true" hidden="false" outlineLevel="0" max="7" min="7" style="4" width="14.7"/>
    <col collapsed="false" customWidth="true" hidden="false" outlineLevel="0" max="8" min="8" style="4" width="8"/>
    <col collapsed="false" customWidth="true" hidden="false" outlineLevel="0" max="9" min="9" style="4" width="14.01"/>
    <col collapsed="false" customWidth="true" hidden="false" outlineLevel="0" max="10" min="10" style="4" width="8"/>
    <col collapsed="false" customWidth="true" hidden="false" outlineLevel="0" max="11" min="11" style="4" width="15.57"/>
    <col collapsed="false" customWidth="true" hidden="false" outlineLevel="0" max="12" min="12" style="4" width="8"/>
    <col collapsed="false" customWidth="true" hidden="false" outlineLevel="0" max="13" min="13" style="4" width="14.15"/>
    <col collapsed="false" customWidth="true" hidden="false" outlineLevel="0" max="14" min="14" style="22" width="1.42"/>
    <col collapsed="false" customWidth="true" hidden="true" outlineLevel="0" max="15" min="15" style="4" width="11.29"/>
    <col collapsed="false" customWidth="true" hidden="true" outlineLevel="0" max="16" min="16" style="4" width="9.14"/>
    <col collapsed="false" customWidth="true" hidden="true" outlineLevel="0" max="17" min="17" style="4" width="19.42"/>
    <col collapsed="false" customWidth="true" hidden="true" outlineLevel="0" max="18" min="18" style="4" width="5.57"/>
    <col collapsed="false" customWidth="true" hidden="true" outlineLevel="0" max="19" min="19" style="4" width="14.01"/>
    <col collapsed="false" customWidth="true" hidden="true" outlineLevel="0" max="20" min="20" style="4" width="9.14"/>
    <col collapsed="false" customWidth="true" hidden="true" outlineLevel="0" max="21" min="21" style="4" width="14.15"/>
    <col collapsed="false" customWidth="true" hidden="true" outlineLevel="0" max="1025" min="22" style="4" width="9.14"/>
  </cols>
  <sheetData>
    <row r="1" customFormat="false" ht="28.5" hidden="false" customHeight="false" outlineLevel="0" collapsed="false">
      <c r="A1" s="113" t="s">
        <v>525</v>
      </c>
      <c r="B1" s="114"/>
      <c r="C1" s="114"/>
      <c r="D1" s="114"/>
      <c r="E1" s="114"/>
      <c r="F1" s="114"/>
      <c r="G1" s="114"/>
      <c r="H1" s="114"/>
      <c r="I1" s="114"/>
      <c r="J1" s="114"/>
      <c r="K1" s="115"/>
      <c r="L1" s="113"/>
      <c r="M1" s="385" t="s">
        <v>900</v>
      </c>
    </row>
    <row r="2" customFormat="false" ht="15" hidden="false" customHeight="false" outlineLevel="0" collapsed="false">
      <c r="A2" s="52"/>
      <c r="B2" s="48"/>
      <c r="C2" s="48"/>
      <c r="D2" s="48"/>
      <c r="E2" s="48"/>
      <c r="F2" s="48"/>
      <c r="G2" s="848"/>
      <c r="H2" s="48"/>
      <c r="I2" s="48"/>
      <c r="J2" s="48"/>
      <c r="K2" s="48"/>
      <c r="L2" s="48"/>
      <c r="M2" s="849"/>
    </row>
    <row r="3" customFormat="false" ht="18" hidden="false" customHeight="false" outlineLevel="0" collapsed="false">
      <c r="A3" s="850" t="s">
        <v>34</v>
      </c>
      <c r="B3" s="851" t="str">
        <f aca="false">'Reference sheet'!C12</f>
        <v>TEST</v>
      </c>
      <c r="C3" s="364"/>
      <c r="D3" s="48"/>
      <c r="E3" s="48"/>
      <c r="F3" s="48"/>
      <c r="G3" s="367" t="s">
        <v>46</v>
      </c>
      <c r="H3" s="852" t="n">
        <f aca="false">'Reference sheet'!C15</f>
        <v>1</v>
      </c>
      <c r="I3" s="853" t="s">
        <v>49</v>
      </c>
      <c r="J3" s="368" t="str">
        <f aca="false">'Reference sheet'!C17</f>
        <v>July</v>
      </c>
      <c r="K3" s="854" t="n">
        <f aca="false">'Reference sheet'!D17</f>
        <v>2018</v>
      </c>
      <c r="L3" s="365" t="s">
        <v>527</v>
      </c>
      <c r="M3" s="855" t="str">
        <f aca="false">'Reference sheet'!C21</f>
        <v>EUR</v>
      </c>
    </row>
    <row r="4" customFormat="false" ht="15" hidden="false" customHeight="false" outlineLevel="0" collapsed="false">
      <c r="A4" s="52"/>
      <c r="B4" s="48"/>
      <c r="C4" s="129"/>
      <c r="D4" s="1308" t="s">
        <v>901</v>
      </c>
      <c r="E4" s="48"/>
      <c r="F4" s="48"/>
      <c r="G4" s="48"/>
      <c r="H4" s="48"/>
      <c r="I4" s="130"/>
      <c r="J4" s="48"/>
      <c r="K4" s="48"/>
      <c r="L4" s="48"/>
      <c r="M4" s="939"/>
    </row>
    <row r="5" customFormat="false" ht="15" hidden="false" customHeight="false" outlineLevel="0" collapsed="false">
      <c r="A5" s="52"/>
      <c r="B5" s="48"/>
      <c r="C5" s="48"/>
      <c r="D5" s="1308" t="s">
        <v>825</v>
      </c>
      <c r="E5" s="1309"/>
      <c r="F5" s="48"/>
      <c r="G5" s="48"/>
      <c r="H5" s="48"/>
      <c r="I5" s="130"/>
      <c r="J5" s="48"/>
      <c r="K5" s="48"/>
      <c r="L5" s="48"/>
      <c r="M5" s="939"/>
    </row>
    <row r="6" customFormat="false" ht="15" hidden="false" customHeight="false" outlineLevel="0" collapsed="false">
      <c r="A6" s="82"/>
      <c r="B6" s="107"/>
      <c r="C6" s="107"/>
      <c r="D6" s="1557" t="s">
        <v>826</v>
      </c>
      <c r="E6" s="860" t="n">
        <f aca="false">+'7.1 Dealer area'!C5</f>
        <v>2019</v>
      </c>
      <c r="F6" s="941"/>
      <c r="G6" s="860" t="n">
        <f aca="false">+'7.1 Dealer area'!E5</f>
        <v>2020</v>
      </c>
      <c r="H6" s="942"/>
      <c r="I6" s="860" t="n">
        <f aca="false">+'7.1 Dealer area'!G5</f>
        <v>2021</v>
      </c>
      <c r="J6" s="943"/>
      <c r="K6" s="860" t="n">
        <f aca="false">+'7.1 Dealer area'!I5</f>
        <v>2022</v>
      </c>
      <c r="L6" s="943"/>
      <c r="M6" s="860" t="n">
        <f aca="false">+'7.1 Dealer area'!K5</f>
        <v>2023</v>
      </c>
    </row>
    <row r="7" customFormat="false" ht="18.75" hidden="false" customHeight="false" outlineLevel="0" collapsed="false">
      <c r="A7" s="839" t="s">
        <v>902</v>
      </c>
      <c r="B7" s="1558"/>
      <c r="C7" s="1559"/>
      <c r="D7" s="1559"/>
      <c r="E7" s="132"/>
      <c r="F7" s="132"/>
      <c r="G7" s="132"/>
      <c r="H7" s="132"/>
      <c r="I7" s="1560"/>
      <c r="J7" s="132"/>
      <c r="K7" s="132"/>
      <c r="L7" s="132"/>
      <c r="M7" s="1561"/>
    </row>
    <row r="8" customFormat="false" ht="15" hidden="false" customHeight="false" outlineLevel="0" collapsed="false">
      <c r="A8" s="52"/>
      <c r="B8" s="48"/>
      <c r="C8" s="1562"/>
      <c r="D8" s="1562"/>
      <c r="E8" s="260"/>
      <c r="F8" s="48"/>
      <c r="G8" s="48"/>
      <c r="H8" s="48"/>
      <c r="I8" s="1563"/>
      <c r="J8" s="48"/>
      <c r="K8" s="48"/>
      <c r="L8" s="48"/>
      <c r="M8" s="1564"/>
    </row>
    <row r="9" customFormat="false" ht="15" hidden="false" customHeight="false" outlineLevel="0" collapsed="false">
      <c r="A9" s="52" t="s">
        <v>903</v>
      </c>
      <c r="B9" s="48"/>
      <c r="C9" s="1565"/>
      <c r="D9" s="970" t="n">
        <f aca="false">'7.5.1 Financial Requirements'!C83</f>
        <v>0</v>
      </c>
      <c r="E9" s="1504" t="n">
        <f aca="false">'7.5.1 Financial Requirements'!D14</f>
        <v>1367596.66666667</v>
      </c>
      <c r="F9" s="48"/>
      <c r="G9" s="876" t="e">
        <f aca="false">'7.5.1 Financial Requirements'!F14</f>
        <v>#VALUE!</v>
      </c>
      <c r="H9" s="48"/>
      <c r="I9" s="876" t="e">
        <f aca="false">'7.5.1 Financial Requirements'!H14</f>
        <v>#VALUE!</v>
      </c>
      <c r="J9" s="48"/>
      <c r="K9" s="876" t="e">
        <f aca="false">'7.5.1 Financial Requirements'!J14</f>
        <v>#VALUE!</v>
      </c>
      <c r="L9" s="48"/>
      <c r="M9" s="875" t="e">
        <f aca="false">'7.5.1 Financial Requirements'!L14</f>
        <v>#VALUE!</v>
      </c>
    </row>
    <row r="10" customFormat="false" ht="15" hidden="false" customHeight="false" outlineLevel="0" collapsed="false">
      <c r="A10" s="52" t="s">
        <v>904</v>
      </c>
      <c r="B10" s="48"/>
      <c r="C10" s="1566"/>
      <c r="D10" s="1567" t="n">
        <v>0</v>
      </c>
      <c r="E10" s="1406" t="e">
        <f aca="false">IF('7.5.1 Financial Requirements'!D77=0,-1*'7.5.1 Financial Requirements'!D79,'7.5.1 Financial Requirements'!D77)</f>
        <v>#VALUE!</v>
      </c>
      <c r="F10" s="48"/>
      <c r="G10" s="967" t="e">
        <f aca="false">IF('7.5.1 Financial Requirements'!F77=0,-1*'7.5.1 Financial Requirements'!F79,'7.5.1 Financial Requirements'!F77)</f>
        <v>#VALUE!</v>
      </c>
      <c r="H10" s="48"/>
      <c r="I10" s="967" t="e">
        <f aca="false">IF('7.5.1 Financial Requirements'!H77=0,-1*'7.5.1 Financial Requirements'!H79,'7.5.1 Financial Requirements'!H77)</f>
        <v>#VALUE!</v>
      </c>
      <c r="J10" s="48"/>
      <c r="K10" s="967" t="e">
        <f aca="false">IF('7.5.1 Financial Requirements'!J77=0,-1*'7.5.1 Financial Requirements'!J79,'7.5.1 Financial Requirements'!J77)</f>
        <v>#VALUE!</v>
      </c>
      <c r="L10" s="48"/>
      <c r="M10" s="966" t="e">
        <f aca="false">IF('7.5.1 Financial Requirements'!L77=0,-1*'7.5.1 Financial Requirements'!L79,'7.5.1 Financial Requirements'!L77)</f>
        <v>#VALUE!</v>
      </c>
    </row>
    <row r="11" s="273" customFormat="true" ht="15" hidden="false" customHeight="false" outlineLevel="0" collapsed="false">
      <c r="A11" s="562" t="s">
        <v>293</v>
      </c>
      <c r="B11" s="67"/>
      <c r="C11" s="1565"/>
      <c r="D11" s="970" t="n">
        <f aca="false">SUM(D9:D10)</f>
        <v>0</v>
      </c>
      <c r="E11" s="1568" t="e">
        <f aca="false">SUM(E9:E10)</f>
        <v>#VALUE!</v>
      </c>
      <c r="F11" s="67"/>
      <c r="G11" s="904" t="e">
        <f aca="false">SUM(G9:G10)</f>
        <v>#VALUE!</v>
      </c>
      <c r="H11" s="67"/>
      <c r="I11" s="904" t="e">
        <f aca="false">SUM(I9:I10)</f>
        <v>#VALUE!</v>
      </c>
      <c r="J11" s="67"/>
      <c r="K11" s="904" t="e">
        <f aca="false">SUM(K9:K10)</f>
        <v>#VALUE!</v>
      </c>
      <c r="L11" s="67"/>
      <c r="M11" s="903" t="e">
        <f aca="false">SUM(M9:M10)</f>
        <v>#VALUE!</v>
      </c>
      <c r="N11" s="271"/>
    </row>
    <row r="12" customFormat="false" ht="15" hidden="false" customHeight="false" outlineLevel="0" collapsed="false">
      <c r="A12" s="82"/>
      <c r="B12" s="107"/>
      <c r="C12" s="107"/>
      <c r="D12" s="1569"/>
      <c r="E12" s="84"/>
      <c r="F12" s="107"/>
      <c r="G12" s="107"/>
      <c r="H12" s="107"/>
      <c r="I12" s="107"/>
      <c r="J12" s="107"/>
      <c r="K12" s="107"/>
      <c r="L12" s="107"/>
      <c r="M12" s="84"/>
    </row>
    <row r="13" customFormat="false" ht="15" hidden="false" customHeight="false" outlineLevel="0" collapsed="false">
      <c r="C13" s="1570"/>
      <c r="D13" s="669"/>
    </row>
    <row r="14" customFormat="false" ht="15" hidden="false" customHeight="false" outlineLevel="0" collapsed="false">
      <c r="D14" s="669"/>
    </row>
    <row r="15" s="281" customFormat="true" ht="18.75" hidden="false" customHeight="false" outlineLevel="0" collapsed="false">
      <c r="A15" s="839" t="s">
        <v>905</v>
      </c>
      <c r="B15" s="1558"/>
      <c r="C15" s="132"/>
      <c r="D15" s="1571"/>
      <c r="E15" s="132"/>
      <c r="F15" s="132"/>
      <c r="G15" s="132"/>
      <c r="H15" s="132"/>
      <c r="I15" s="132"/>
      <c r="J15" s="132"/>
      <c r="K15" s="132"/>
      <c r="L15" s="132"/>
      <c r="M15" s="133"/>
      <c r="N15" s="22"/>
    </row>
    <row r="16" customFormat="false" ht="18.75" hidden="false" customHeight="false" outlineLevel="0" collapsed="false">
      <c r="A16" s="839" t="s">
        <v>906</v>
      </c>
      <c r="B16" s="1558"/>
      <c r="C16" s="132"/>
      <c r="D16" s="1571"/>
      <c r="E16" s="132"/>
      <c r="F16" s="132"/>
      <c r="G16" s="132"/>
      <c r="H16" s="132"/>
      <c r="I16" s="132"/>
      <c r="J16" s="132"/>
      <c r="K16" s="132"/>
      <c r="L16" s="132"/>
      <c r="M16" s="133"/>
    </row>
    <row r="17" customFormat="false" ht="15" hidden="false" customHeight="false" outlineLevel="0" collapsed="false">
      <c r="A17" s="506"/>
      <c r="B17" s="257"/>
      <c r="C17" s="257"/>
      <c r="D17" s="663"/>
      <c r="E17" s="260"/>
      <c r="F17" s="257"/>
      <c r="G17" s="257"/>
      <c r="H17" s="257"/>
      <c r="I17" s="257"/>
      <c r="J17" s="257"/>
      <c r="K17" s="257"/>
      <c r="L17" s="257"/>
      <c r="M17" s="260"/>
    </row>
    <row r="18" customFormat="false" ht="15" hidden="false" customHeight="false" outlineLevel="0" collapsed="false">
      <c r="A18" s="52" t="s">
        <v>907</v>
      </c>
      <c r="B18" s="1146"/>
      <c r="C18" s="1572"/>
      <c r="D18" s="1573" t="n">
        <v>0</v>
      </c>
      <c r="E18" s="1400" t="n">
        <v>1000000</v>
      </c>
      <c r="F18" s="925"/>
      <c r="G18" s="925" t="n">
        <f aca="false">+E18+E19</f>
        <v>1000000</v>
      </c>
      <c r="H18" s="925"/>
      <c r="I18" s="925" t="n">
        <f aca="false">G18+G19</f>
        <v>1000000</v>
      </c>
      <c r="J18" s="925"/>
      <c r="K18" s="925" t="n">
        <f aca="false">I18+I19</f>
        <v>1000000</v>
      </c>
      <c r="L18" s="925"/>
      <c r="M18" s="924" t="n">
        <f aca="false">K18+K19</f>
        <v>1000000</v>
      </c>
    </row>
    <row r="19" customFormat="false" ht="15" hidden="false" customHeight="false" outlineLevel="0" collapsed="false">
      <c r="A19" s="52" t="s">
        <v>908</v>
      </c>
      <c r="B19" s="1146"/>
      <c r="C19" s="1572"/>
      <c r="D19" s="1189"/>
      <c r="E19" s="1401" t="n">
        <v>0</v>
      </c>
      <c r="F19" s="925"/>
      <c r="G19" s="997" t="n">
        <v>0</v>
      </c>
      <c r="H19" s="665"/>
      <c r="I19" s="997" t="n">
        <v>0</v>
      </c>
      <c r="J19" s="665"/>
      <c r="K19" s="997" t="n">
        <v>0</v>
      </c>
      <c r="L19" s="665"/>
      <c r="M19" s="951" t="n">
        <v>0</v>
      </c>
    </row>
    <row r="20" customFormat="false" ht="15" hidden="false" customHeight="false" outlineLevel="0" collapsed="false">
      <c r="A20" s="52" t="s">
        <v>909</v>
      </c>
      <c r="B20" s="1146"/>
      <c r="C20" s="1572"/>
      <c r="D20" s="1189"/>
      <c r="E20" s="1506" t="n">
        <f aca="false">'7.7 P&amp;L'!C48</f>
        <v>0</v>
      </c>
      <c r="F20" s="876"/>
      <c r="G20" s="925" t="n">
        <f aca="false">+E20+'7.7 P&amp;L'!E48</f>
        <v>0</v>
      </c>
      <c r="H20" s="876"/>
      <c r="I20" s="925" t="n">
        <f aca="false">+G20+'7.7 P&amp;L'!G48</f>
        <v>0</v>
      </c>
      <c r="J20" s="876"/>
      <c r="K20" s="925" t="n">
        <f aca="false">+I20+'7.7 P&amp;L'!I48</f>
        <v>0</v>
      </c>
      <c r="L20" s="876"/>
      <c r="M20" s="924" t="n">
        <f aca="false">+K20+'7.7 P&amp;L'!K48</f>
        <v>0</v>
      </c>
    </row>
    <row r="21" customFormat="false" ht="15" hidden="false" customHeight="false" outlineLevel="0" collapsed="false">
      <c r="A21" s="52" t="s">
        <v>910</v>
      </c>
      <c r="B21" s="1146"/>
      <c r="C21" s="1572"/>
      <c r="D21" s="1189"/>
      <c r="E21" s="1401" t="n">
        <v>0</v>
      </c>
      <c r="F21" s="876"/>
      <c r="G21" s="925" t="n">
        <f aca="false">E21</f>
        <v>0</v>
      </c>
      <c r="H21" s="876"/>
      <c r="I21" s="925" t="n">
        <f aca="false">G21</f>
        <v>0</v>
      </c>
      <c r="J21" s="876"/>
      <c r="K21" s="925" t="n">
        <f aca="false">I21</f>
        <v>0</v>
      </c>
      <c r="L21" s="925"/>
      <c r="M21" s="924" t="n">
        <f aca="false">K21</f>
        <v>0</v>
      </c>
    </row>
    <row r="22" customFormat="false" ht="15" hidden="false" customHeight="false" outlineLevel="0" collapsed="false">
      <c r="A22" s="52" t="s">
        <v>911</v>
      </c>
      <c r="B22" s="48"/>
      <c r="C22" s="1574"/>
      <c r="D22" s="1189"/>
      <c r="E22" s="1401" t="n">
        <v>0</v>
      </c>
      <c r="F22" s="876"/>
      <c r="G22" s="925" t="e">
        <f aca="false">E22+E23</f>
        <v>#VALUE!</v>
      </c>
      <c r="H22" s="876"/>
      <c r="I22" s="925" t="e">
        <f aca="false">G22+G23</f>
        <v>#VALUE!</v>
      </c>
      <c r="J22" s="876"/>
      <c r="K22" s="925" t="e">
        <f aca="false">I22+I23</f>
        <v>#VALUE!</v>
      </c>
      <c r="L22" s="876"/>
      <c r="M22" s="924" t="e">
        <f aca="false">K22+K23</f>
        <v>#VALUE!</v>
      </c>
    </row>
    <row r="23" customFormat="false" ht="15" hidden="false" customHeight="false" outlineLevel="0" collapsed="false">
      <c r="A23" s="52" t="s">
        <v>912</v>
      </c>
      <c r="B23" s="48"/>
      <c r="C23" s="1574"/>
      <c r="D23" s="1189"/>
      <c r="E23" s="1506" t="e">
        <f aca="false">'7.7 P&amp;L'!C50</f>
        <v>#VALUE!</v>
      </c>
      <c r="F23" s="876"/>
      <c r="G23" s="925" t="e">
        <f aca="false">'7.7 P&amp;L'!E50</f>
        <v>#VALUE!</v>
      </c>
      <c r="H23" s="876"/>
      <c r="I23" s="925" t="e">
        <f aca="false">'7.7 P&amp;L'!G50</f>
        <v>#VALUE!</v>
      </c>
      <c r="J23" s="876"/>
      <c r="K23" s="925" t="e">
        <f aca="false">'7.7 P&amp;L'!I50</f>
        <v>#VALUE!</v>
      </c>
      <c r="L23" s="876"/>
      <c r="M23" s="924" t="e">
        <f aca="false">'7.7 P&amp;L'!K50</f>
        <v>#VALUE!</v>
      </c>
    </row>
    <row r="24" customFormat="false" ht="15" hidden="false" customHeight="false" outlineLevel="0" collapsed="false">
      <c r="A24" s="134" t="s">
        <v>913</v>
      </c>
      <c r="B24" s="48"/>
      <c r="C24" s="1574"/>
      <c r="D24" s="1575" t="n">
        <v>0</v>
      </c>
      <c r="E24" s="1403" t="n">
        <f aca="false">D24</f>
        <v>0</v>
      </c>
      <c r="F24" s="876"/>
      <c r="G24" s="927" t="n">
        <f aca="false">E24</f>
        <v>0</v>
      </c>
      <c r="H24" s="876"/>
      <c r="I24" s="927" t="n">
        <f aca="false">G24</f>
        <v>0</v>
      </c>
      <c r="J24" s="876"/>
      <c r="K24" s="927" t="n">
        <f aca="false">I24</f>
        <v>0</v>
      </c>
      <c r="L24" s="876"/>
      <c r="M24" s="926" t="n">
        <f aca="false">K24</f>
        <v>0</v>
      </c>
    </row>
    <row r="25" customFormat="false" ht="15" hidden="false" customHeight="false" outlineLevel="0" collapsed="false">
      <c r="A25" s="52" t="s">
        <v>914</v>
      </c>
      <c r="B25" s="48"/>
      <c r="C25" s="1576"/>
      <c r="D25" s="963" t="n">
        <f aca="false">D18+D24</f>
        <v>0</v>
      </c>
      <c r="E25" s="1256" t="e">
        <f aca="false">SUM(E18:E24)</f>
        <v>#VALUE!</v>
      </c>
      <c r="F25" s="876"/>
      <c r="G25" s="876" t="e">
        <f aca="false">SUM(G18:G24)</f>
        <v>#VALUE!</v>
      </c>
      <c r="H25" s="876"/>
      <c r="I25" s="876" t="e">
        <f aca="false">SUM(I18:I24)</f>
        <v>#VALUE!</v>
      </c>
      <c r="J25" s="876"/>
      <c r="K25" s="876" t="e">
        <f aca="false">SUM(K18:K24)</f>
        <v>#VALUE!</v>
      </c>
      <c r="L25" s="876"/>
      <c r="M25" s="875" t="e">
        <f aca="false">SUM(M18:M24)</f>
        <v>#VALUE!</v>
      </c>
    </row>
    <row r="26" customFormat="false" ht="15" hidden="false" customHeight="false" outlineLevel="0" collapsed="false">
      <c r="A26" s="82"/>
      <c r="B26" s="107"/>
      <c r="C26" s="107"/>
      <c r="D26" s="1577" t="e">
        <f aca="false">IF(#REF!&gt;0,"INSUFFICENT FUNDING!!!!"," ")</f>
        <v>#REF!</v>
      </c>
      <c r="E26" s="1262"/>
      <c r="F26" s="967"/>
      <c r="G26" s="967"/>
      <c r="H26" s="967"/>
      <c r="I26" s="967"/>
      <c r="J26" s="967"/>
      <c r="K26" s="967"/>
      <c r="L26" s="967"/>
      <c r="M26" s="966"/>
    </row>
    <row r="27" s="281" customFormat="true" ht="18.75" hidden="false" customHeight="false" outlineLevel="0" collapsed="false">
      <c r="A27" s="1160" t="s">
        <v>915</v>
      </c>
      <c r="B27" s="1578"/>
      <c r="C27" s="500"/>
      <c r="D27" s="1579"/>
      <c r="E27" s="500"/>
      <c r="F27" s="132"/>
      <c r="G27" s="132"/>
      <c r="H27" s="132"/>
      <c r="I27" s="132"/>
      <c r="J27" s="1150"/>
      <c r="K27" s="1150"/>
      <c r="L27" s="1150"/>
      <c r="M27" s="1580"/>
      <c r="N27" s="22"/>
    </row>
    <row r="28" customFormat="false" ht="15" hidden="false" customHeight="false" outlineLevel="0" collapsed="false">
      <c r="A28" s="52"/>
      <c r="B28" s="48"/>
      <c r="C28" s="48"/>
      <c r="D28" s="682"/>
      <c r="E28" s="260"/>
      <c r="F28" s="48"/>
      <c r="G28" s="48"/>
      <c r="H28" s="48"/>
      <c r="I28" s="48"/>
      <c r="J28" s="876"/>
      <c r="K28" s="876"/>
      <c r="L28" s="876"/>
      <c r="M28" s="875"/>
    </row>
    <row r="29" customFormat="false" ht="15" hidden="false" customHeight="false" outlineLevel="0" collapsed="false">
      <c r="A29" s="52" t="s">
        <v>916</v>
      </c>
      <c r="B29" s="48"/>
      <c r="C29" s="48"/>
      <c r="D29" s="682"/>
      <c r="E29" s="1175"/>
      <c r="F29" s="48"/>
      <c r="G29" s="48"/>
      <c r="H29" s="48"/>
      <c r="I29" s="48"/>
      <c r="J29" s="876"/>
      <c r="K29" s="876"/>
      <c r="L29" s="876"/>
      <c r="M29" s="875"/>
    </row>
    <row r="30" customFormat="false" ht="15" hidden="false" customHeight="false" outlineLevel="0" collapsed="false">
      <c r="A30" s="52"/>
      <c r="B30" s="1172" t="s">
        <v>917</v>
      </c>
      <c r="C30" s="1172" t="s">
        <v>918</v>
      </c>
      <c r="D30" s="682"/>
      <c r="E30" s="1175"/>
      <c r="F30" s="876"/>
      <c r="G30" s="876"/>
      <c r="H30" s="876"/>
      <c r="I30" s="876"/>
      <c r="J30" s="876"/>
      <c r="K30" s="876"/>
      <c r="L30" s="876"/>
      <c r="M30" s="875"/>
    </row>
    <row r="31" customFormat="false" ht="15" hidden="false" customHeight="false" outlineLevel="0" collapsed="false">
      <c r="A31" s="52" t="s">
        <v>919</v>
      </c>
      <c r="B31" s="1581" t="n">
        <v>7</v>
      </c>
      <c r="C31" s="1582" t="n">
        <v>400000</v>
      </c>
      <c r="D31" s="1583" t="n">
        <f aca="false">IF(B31=0,0,C31)</f>
        <v>400000</v>
      </c>
      <c r="E31" s="951" t="n">
        <f aca="false">IF($B$31&lt;3,0,D31-C31/$B$31)</f>
        <v>342857.142857143</v>
      </c>
      <c r="F31" s="1147"/>
      <c r="G31" s="997" t="n">
        <f aca="false">IF($B$31&lt;3,0,E31-C31/$B$31)</f>
        <v>285714.285714286</v>
      </c>
      <c r="H31" s="1147"/>
      <c r="I31" s="997" t="n">
        <f aca="false">IF($B$31&lt;4,0,G31-C31/$B$31)</f>
        <v>228571.428571429</v>
      </c>
      <c r="J31" s="1147"/>
      <c r="K31" s="997" t="n">
        <f aca="false">IF($B$31&lt;5,0,I31-C31/$B$31)</f>
        <v>171428.571428571</v>
      </c>
      <c r="L31" s="1147"/>
      <c r="M31" s="951" t="n">
        <f aca="false">IF($B$31&lt;6,0,K31-C31/$B$31)</f>
        <v>114285.714285714</v>
      </c>
    </row>
    <row r="32" customFormat="false" ht="15" hidden="false" customHeight="false" outlineLevel="0" collapsed="false">
      <c r="A32" s="1584" t="n">
        <f aca="false">E6</f>
        <v>2019</v>
      </c>
      <c r="B32" s="1581" t="n">
        <v>0</v>
      </c>
      <c r="C32" s="1582" t="n">
        <v>0</v>
      </c>
      <c r="D32" s="1189"/>
      <c r="E32" s="924" t="n">
        <f aca="false">IF(B32=0,0,C32)</f>
        <v>0</v>
      </c>
      <c r="F32" s="48"/>
      <c r="G32" s="876" t="n">
        <f aca="false">IF($B$32&lt;2,0,E32-C32/$B$32)</f>
        <v>0</v>
      </c>
      <c r="H32" s="858"/>
      <c r="I32" s="876" t="n">
        <f aca="false">IF($B$32&lt;3,0,G32-C32/$B$32)</f>
        <v>0</v>
      </c>
      <c r="J32" s="1186"/>
      <c r="K32" s="876" t="n">
        <f aca="false">IF($B$32&lt;4,0,I32-C32/$B$32)</f>
        <v>0</v>
      </c>
      <c r="L32" s="1186"/>
      <c r="M32" s="875" t="n">
        <f aca="false">IF($B$32&lt;5,0,K32-C32/$B$32)</f>
        <v>0</v>
      </c>
    </row>
    <row r="33" customFormat="false" ht="15" hidden="false" customHeight="false" outlineLevel="0" collapsed="false">
      <c r="A33" s="1585" t="n">
        <f aca="false">G6</f>
        <v>2020</v>
      </c>
      <c r="B33" s="1581" t="n">
        <v>0</v>
      </c>
      <c r="C33" s="1582" t="n">
        <v>0</v>
      </c>
      <c r="D33" s="1189"/>
      <c r="E33" s="875"/>
      <c r="F33" s="876"/>
      <c r="G33" s="876" t="n">
        <f aca="false">IF($B$33=0,0,C33)</f>
        <v>0</v>
      </c>
      <c r="H33" s="876"/>
      <c r="I33" s="876" t="n">
        <f aca="false">IF($B$33&lt;2,0,G33-$C$33/$B$33)</f>
        <v>0</v>
      </c>
      <c r="J33" s="876"/>
      <c r="K33" s="876" t="n">
        <f aca="false">IF($B$33&lt;3,0,I33-$C$33/$B$33)</f>
        <v>0</v>
      </c>
      <c r="L33" s="876"/>
      <c r="M33" s="875" t="n">
        <f aca="false">IF($B$33&lt;4,0,K33-$C$33/$B$33)</f>
        <v>0</v>
      </c>
    </row>
    <row r="34" customFormat="false" ht="15" hidden="false" customHeight="false" outlineLevel="0" collapsed="false">
      <c r="A34" s="1585" t="n">
        <f aca="false">I6</f>
        <v>2021</v>
      </c>
      <c r="B34" s="1581" t="n">
        <v>0</v>
      </c>
      <c r="C34" s="1582" t="n">
        <v>0</v>
      </c>
      <c r="D34" s="1189"/>
      <c r="E34" s="875"/>
      <c r="F34" s="876"/>
      <c r="G34" s="876"/>
      <c r="H34" s="876"/>
      <c r="I34" s="876" t="n">
        <f aca="false">IF($B$34=0,0,C34)</f>
        <v>0</v>
      </c>
      <c r="J34" s="876"/>
      <c r="K34" s="876" t="n">
        <f aca="false">IF($B$34&lt;2,0,I34-$C$34/$B$34)</f>
        <v>0</v>
      </c>
      <c r="L34" s="876"/>
      <c r="M34" s="875" t="n">
        <f aca="false">IF($B$34&lt;3,0,K34-$C$34/$B$34)</f>
        <v>0</v>
      </c>
    </row>
    <row r="35" customFormat="false" ht="15" hidden="false" customHeight="false" outlineLevel="0" collapsed="false">
      <c r="A35" s="1585" t="n">
        <f aca="false">K6</f>
        <v>2022</v>
      </c>
      <c r="B35" s="1581" t="n">
        <v>0</v>
      </c>
      <c r="C35" s="1582" t="n">
        <v>0</v>
      </c>
      <c r="D35" s="1189"/>
      <c r="E35" s="875"/>
      <c r="F35" s="876"/>
      <c r="G35" s="876"/>
      <c r="H35" s="876"/>
      <c r="I35" s="876"/>
      <c r="J35" s="876"/>
      <c r="K35" s="876" t="n">
        <f aca="false">IF($B$35=0,0,C35)</f>
        <v>0</v>
      </c>
      <c r="L35" s="876"/>
      <c r="M35" s="875" t="n">
        <f aca="false">IF($B$35&lt;2,0,K35-$C$35/$B$35)</f>
        <v>0</v>
      </c>
    </row>
    <row r="36" customFormat="false" ht="15" hidden="false" customHeight="false" outlineLevel="0" collapsed="false">
      <c r="A36" s="1585" t="n">
        <f aca="false">M6</f>
        <v>2023</v>
      </c>
      <c r="B36" s="1586" t="n">
        <v>0</v>
      </c>
      <c r="C36" s="1582" t="n">
        <v>0</v>
      </c>
      <c r="D36" s="1189"/>
      <c r="E36" s="966"/>
      <c r="F36" s="876"/>
      <c r="G36" s="967"/>
      <c r="H36" s="876"/>
      <c r="I36" s="967"/>
      <c r="J36" s="876"/>
      <c r="K36" s="967"/>
      <c r="L36" s="876"/>
      <c r="M36" s="966" t="n">
        <f aca="false">IF($B$36=0,0,C36)</f>
        <v>0</v>
      </c>
    </row>
    <row r="37" customFormat="false" ht="15" hidden="false" customHeight="false" outlineLevel="0" collapsed="false">
      <c r="A37" s="52"/>
      <c r="B37" s="48"/>
      <c r="C37" s="1587"/>
      <c r="D37" s="1363" t="n">
        <f aca="false">D31</f>
        <v>400000</v>
      </c>
      <c r="E37" s="1404" t="n">
        <f aca="false">SUM(E31:E36)</f>
        <v>342857.142857143</v>
      </c>
      <c r="F37" s="876"/>
      <c r="G37" s="925" t="n">
        <f aca="false">SUM(G31:G36)</f>
        <v>285714.285714286</v>
      </c>
      <c r="H37" s="876"/>
      <c r="I37" s="925" t="n">
        <f aca="false">SUM(I31:I36)</f>
        <v>228571.428571429</v>
      </c>
      <c r="J37" s="876"/>
      <c r="K37" s="925" t="n">
        <f aca="false">SUM(K31:K36)</f>
        <v>171428.571428571</v>
      </c>
      <c r="L37" s="876"/>
      <c r="M37" s="924" t="n">
        <f aca="false">SUM(M31:M36)</f>
        <v>114285.714285714</v>
      </c>
    </row>
    <row r="38" customFormat="false" ht="15" hidden="false" customHeight="false" outlineLevel="0" collapsed="false">
      <c r="A38" s="52"/>
      <c r="B38" s="48"/>
      <c r="C38" s="1587"/>
      <c r="D38" s="1588"/>
      <c r="E38" s="924"/>
      <c r="F38" s="876"/>
      <c r="G38" s="925"/>
      <c r="H38" s="876"/>
      <c r="I38" s="925"/>
      <c r="J38" s="876"/>
      <c r="K38" s="925"/>
      <c r="L38" s="876"/>
      <c r="M38" s="924"/>
    </row>
    <row r="39" customFormat="false" ht="15" hidden="false" customHeight="false" outlineLevel="0" collapsed="false">
      <c r="A39" s="52" t="s">
        <v>853</v>
      </c>
      <c r="B39" s="48"/>
      <c r="C39" s="1574"/>
      <c r="D39" s="1189" t="n">
        <v>0</v>
      </c>
      <c r="E39" s="924" t="n">
        <f aca="false">'7.4.3 Inv. &amp; Depr.'!D132</f>
        <v>0</v>
      </c>
      <c r="F39" s="876"/>
      <c r="G39" s="925" t="n">
        <f aca="false">'7.4.3 Inv. &amp; Depr.'!F132</f>
        <v>0</v>
      </c>
      <c r="H39" s="876"/>
      <c r="I39" s="925" t="n">
        <f aca="false">'7.4.3 Inv. &amp; Depr.'!H132</f>
        <v>0</v>
      </c>
      <c r="J39" s="876"/>
      <c r="K39" s="925" t="n">
        <f aca="false">'7.4.3 Inv. &amp; Depr.'!J132</f>
        <v>0</v>
      </c>
      <c r="L39" s="876"/>
      <c r="M39" s="924" t="n">
        <f aca="false">'7.4.3 Inv. &amp; Depr.'!K132</f>
        <v>0</v>
      </c>
    </row>
    <row r="40" customFormat="false" ht="15" hidden="false" customHeight="false" outlineLevel="0" collapsed="false">
      <c r="A40" s="52"/>
      <c r="B40" s="48"/>
      <c r="C40" s="1587"/>
      <c r="D40" s="1588"/>
      <c r="E40" s="924"/>
      <c r="F40" s="876"/>
      <c r="G40" s="925"/>
      <c r="H40" s="876"/>
      <c r="I40" s="925"/>
      <c r="J40" s="876"/>
      <c r="K40" s="925"/>
      <c r="L40" s="876"/>
      <c r="M40" s="924"/>
    </row>
    <row r="41" customFormat="false" ht="15" hidden="false" customHeight="false" outlineLevel="0" collapsed="false">
      <c r="A41" s="134" t="s">
        <v>920</v>
      </c>
      <c r="B41" s="48"/>
      <c r="C41" s="1574"/>
      <c r="D41" s="1575" t="n">
        <v>0</v>
      </c>
      <c r="E41" s="1403" t="n">
        <v>0</v>
      </c>
      <c r="F41" s="876"/>
      <c r="G41" s="927" t="n">
        <f aca="false">E41</f>
        <v>0</v>
      </c>
      <c r="H41" s="876"/>
      <c r="I41" s="927" t="n">
        <f aca="false">G41</f>
        <v>0</v>
      </c>
      <c r="J41" s="876"/>
      <c r="K41" s="927" t="n">
        <f aca="false">I41</f>
        <v>0</v>
      </c>
      <c r="L41" s="876"/>
      <c r="M41" s="926" t="n">
        <f aca="false">K41</f>
        <v>0</v>
      </c>
    </row>
    <row r="42" customFormat="false" ht="15" hidden="false" customHeight="false" outlineLevel="0" collapsed="false">
      <c r="A42" s="52"/>
      <c r="B42" s="48"/>
      <c r="C42" s="1587"/>
      <c r="D42" s="1587"/>
      <c r="E42" s="924"/>
      <c r="F42" s="876"/>
      <c r="G42" s="925"/>
      <c r="H42" s="876"/>
      <c r="I42" s="925"/>
      <c r="J42" s="876"/>
      <c r="K42" s="925"/>
      <c r="L42" s="876"/>
      <c r="M42" s="924"/>
    </row>
    <row r="43" s="273" customFormat="true" ht="15" hidden="false" customHeight="false" outlineLevel="0" collapsed="false">
      <c r="A43" s="562" t="s">
        <v>921</v>
      </c>
      <c r="B43" s="67"/>
      <c r="C43" s="1565"/>
      <c r="D43" s="1412" t="n">
        <f aca="false">D25+D37+D39+D41-D9</f>
        <v>400000</v>
      </c>
      <c r="E43" s="1412" t="n">
        <f aca="false">E37+E39+E41</f>
        <v>342857.142857143</v>
      </c>
      <c r="F43" s="280"/>
      <c r="G43" s="1412" t="n">
        <f aca="false">G37+G39+G41</f>
        <v>285714.285714286</v>
      </c>
      <c r="H43" s="280"/>
      <c r="I43" s="1412" t="n">
        <f aca="false">I37+I39+I41</f>
        <v>228571.428571429</v>
      </c>
      <c r="J43" s="280"/>
      <c r="K43" s="1412" t="n">
        <f aca="false">K37+K39+K41</f>
        <v>171428.571428571</v>
      </c>
      <c r="L43" s="280"/>
      <c r="M43" s="1412" t="n">
        <f aca="false">M37+M39+M41</f>
        <v>114285.714285714</v>
      </c>
      <c r="N43" s="271"/>
      <c r="O43" s="1018"/>
      <c r="P43" s="1018"/>
      <c r="Q43" s="1018"/>
      <c r="R43" s="1018"/>
      <c r="S43" s="1018"/>
      <c r="T43" s="1018"/>
      <c r="U43" s="1018"/>
    </row>
    <row r="44" s="273" customFormat="true" ht="15" hidden="false" customHeight="false" outlineLevel="0" collapsed="false">
      <c r="A44" s="562"/>
      <c r="B44" s="67"/>
      <c r="C44" s="1565"/>
      <c r="D44" s="911"/>
      <c r="E44" s="1015"/>
      <c r="F44" s="280"/>
      <c r="G44" s="911"/>
      <c r="H44" s="280"/>
      <c r="I44" s="911"/>
      <c r="J44" s="280"/>
      <c r="K44" s="911"/>
      <c r="L44" s="280"/>
      <c r="M44" s="1015"/>
      <c r="N44" s="271"/>
      <c r="O44" s="1018"/>
      <c r="P44" s="1018"/>
      <c r="Q44" s="1018"/>
      <c r="R44" s="1018"/>
      <c r="S44" s="1018"/>
      <c r="T44" s="1018"/>
      <c r="U44" s="1018"/>
    </row>
    <row r="45" s="273" customFormat="true" ht="15" hidden="false" customHeight="false" outlineLevel="0" collapsed="false">
      <c r="A45" s="562" t="s">
        <v>922</v>
      </c>
      <c r="B45" s="67"/>
      <c r="C45" s="1565"/>
      <c r="D45" s="911"/>
      <c r="E45" s="1015" t="e">
        <f aca="false">E25+E43-E9</f>
        <v>#VALUE!</v>
      </c>
      <c r="F45" s="911"/>
      <c r="G45" s="911" t="e">
        <f aca="false">G25+G43-G9</f>
        <v>#VALUE!</v>
      </c>
      <c r="H45" s="911"/>
      <c r="I45" s="911" t="e">
        <f aca="false">I25+I43-I9</f>
        <v>#VALUE!</v>
      </c>
      <c r="J45" s="911"/>
      <c r="K45" s="911" t="e">
        <f aca="false">K25+K43-K9</f>
        <v>#VALUE!</v>
      </c>
      <c r="L45" s="911"/>
      <c r="M45" s="1015" t="e">
        <f aca="false">M25+M43-M9</f>
        <v>#VALUE!</v>
      </c>
      <c r="N45" s="271"/>
      <c r="O45" s="1018"/>
      <c r="P45" s="1018"/>
      <c r="Q45" s="1018"/>
      <c r="R45" s="1018"/>
      <c r="S45" s="1018"/>
      <c r="T45" s="1018"/>
      <c r="U45" s="1018"/>
    </row>
    <row r="46" customFormat="false" ht="15" hidden="false" customHeight="false" outlineLevel="0" collapsed="false">
      <c r="A46" s="82"/>
      <c r="B46" s="107"/>
      <c r="C46" s="107"/>
      <c r="D46" s="107"/>
      <c r="E46" s="84"/>
      <c r="F46" s="107"/>
      <c r="G46" s="107"/>
      <c r="H46" s="107"/>
      <c r="I46" s="107"/>
      <c r="J46" s="107"/>
      <c r="K46" s="107"/>
      <c r="L46" s="107"/>
      <c r="M46" s="84"/>
    </row>
    <row r="47" customFormat="false" ht="15" hidden="false" customHeight="false" outlineLevel="0" collapsed="false">
      <c r="A47" s="949"/>
      <c r="B47" s="949"/>
      <c r="C47" s="925"/>
      <c r="D47" s="925"/>
      <c r="E47" s="876"/>
      <c r="F47" s="876"/>
      <c r="G47" s="876"/>
      <c r="H47" s="876"/>
      <c r="I47" s="876"/>
      <c r="J47" s="876"/>
      <c r="K47" s="876"/>
      <c r="L47" s="876"/>
      <c r="M47" s="876"/>
    </row>
    <row r="48" customFormat="false" ht="15" hidden="false" customHeight="false" outlineLevel="0" collapsed="false">
      <c r="E48" s="48"/>
      <c r="F48" s="48"/>
    </row>
    <row r="49" customFormat="false" ht="18.75" hidden="false" customHeight="false" outlineLevel="0" collapsed="false">
      <c r="A49" s="839" t="s">
        <v>923</v>
      </c>
      <c r="B49" s="1558"/>
      <c r="C49" s="132"/>
      <c r="D49" s="132"/>
      <c r="E49" s="132"/>
      <c r="F49" s="132"/>
      <c r="G49" s="132"/>
      <c r="H49" s="132"/>
      <c r="I49" s="132"/>
      <c r="J49" s="132"/>
      <c r="K49" s="132"/>
      <c r="L49" s="132"/>
      <c r="M49" s="133"/>
    </row>
    <row r="50" s="281" customFormat="true" ht="18.75" hidden="false" customHeight="false" outlineLevel="0" collapsed="false">
      <c r="A50" s="839" t="s">
        <v>924</v>
      </c>
      <c r="B50" s="1558"/>
      <c r="C50" s="132"/>
      <c r="D50" s="132"/>
      <c r="E50" s="132"/>
      <c r="F50" s="132"/>
      <c r="G50" s="132"/>
      <c r="H50" s="132"/>
      <c r="I50" s="132"/>
      <c r="J50" s="132"/>
      <c r="K50" s="132"/>
      <c r="L50" s="132"/>
      <c r="M50" s="133"/>
      <c r="N50" s="22"/>
    </row>
    <row r="51" customFormat="false" ht="15" hidden="false" customHeight="false" outlineLevel="0" collapsed="false">
      <c r="A51" s="506"/>
      <c r="B51" s="257"/>
      <c r="C51" s="257"/>
      <c r="D51" s="257"/>
      <c r="E51" s="260"/>
      <c r="F51" s="257"/>
      <c r="G51" s="257"/>
      <c r="H51" s="257"/>
      <c r="I51" s="257"/>
      <c r="J51" s="257"/>
      <c r="K51" s="257"/>
      <c r="L51" s="257"/>
      <c r="M51" s="260"/>
    </row>
    <row r="52" customFormat="false" ht="15" hidden="false" customHeight="false" outlineLevel="0" collapsed="false">
      <c r="A52" s="52" t="s">
        <v>925</v>
      </c>
      <c r="B52" s="48"/>
      <c r="C52" s="1201" t="str">
        <f aca="false">IF('7.5.1 Financial Requirements'!B38&lt;'7.5.1 Financial Requirements'!B48,"FLOORING NOT APPLICABLE"," ")</f>
        <v>FLOORING NOT APPLICABLE</v>
      </c>
      <c r="D52" s="48"/>
      <c r="E52" s="1162" t="n">
        <v>0.4</v>
      </c>
      <c r="F52" s="1589"/>
      <c r="G52" s="1590" t="n">
        <f aca="false">E52</f>
        <v>0.4</v>
      </c>
      <c r="H52" s="1589"/>
      <c r="I52" s="1590" t="n">
        <f aca="false">G52</f>
        <v>0.4</v>
      </c>
      <c r="J52" s="1589"/>
      <c r="K52" s="1590" t="n">
        <f aca="false">I52</f>
        <v>0.4</v>
      </c>
      <c r="L52" s="1589"/>
      <c r="M52" s="1162" t="n">
        <f aca="false">K52</f>
        <v>0.4</v>
      </c>
    </row>
    <row r="53" customFormat="false" ht="15" hidden="false" customHeight="false" outlineLevel="0" collapsed="false">
      <c r="A53" s="52" t="s">
        <v>171</v>
      </c>
      <c r="B53" s="48"/>
      <c r="C53" s="1201"/>
      <c r="D53" s="48"/>
      <c r="E53" s="1162" t="n">
        <v>0</v>
      </c>
      <c r="F53" s="1589"/>
      <c r="G53" s="1590" t="n">
        <f aca="false">E53</f>
        <v>0</v>
      </c>
      <c r="H53" s="1589"/>
      <c r="I53" s="1590" t="n">
        <f aca="false">G53</f>
        <v>0</v>
      </c>
      <c r="J53" s="1589"/>
      <c r="K53" s="1590" t="n">
        <f aca="false">I53</f>
        <v>0</v>
      </c>
      <c r="L53" s="1589"/>
      <c r="M53" s="1162" t="n">
        <f aca="false">K53</f>
        <v>0</v>
      </c>
    </row>
    <row r="54" customFormat="false" ht="15" hidden="false" customHeight="false" outlineLevel="0" collapsed="false">
      <c r="A54" s="52" t="s">
        <v>926</v>
      </c>
      <c r="B54" s="48"/>
      <c r="C54" s="1201" t="str">
        <f aca="false">IF('7.5.1 Financial Requirements'!B39&lt;'7.5.1 Financial Requirements'!B50,"FLOORING NOT APPLICABLE"," ")</f>
        <v> </v>
      </c>
      <c r="D54" s="48"/>
      <c r="E54" s="1162" t="n">
        <v>0</v>
      </c>
      <c r="F54" s="1589"/>
      <c r="G54" s="1590" t="n">
        <f aca="false">E54</f>
        <v>0</v>
      </c>
      <c r="H54" s="1589"/>
      <c r="I54" s="1590" t="n">
        <f aca="false">G54</f>
        <v>0</v>
      </c>
      <c r="J54" s="1589"/>
      <c r="K54" s="1590" t="n">
        <f aca="false">I54</f>
        <v>0</v>
      </c>
      <c r="L54" s="1589"/>
      <c r="M54" s="1162" t="n">
        <f aca="false">K54</f>
        <v>0</v>
      </c>
    </row>
    <row r="55" customFormat="false" ht="15" hidden="false" customHeight="false" outlineLevel="0" collapsed="false">
      <c r="A55" s="82"/>
      <c r="B55" s="107"/>
      <c r="C55" s="107"/>
      <c r="D55" s="107"/>
      <c r="E55" s="84"/>
      <c r="F55" s="107"/>
      <c r="G55" s="107"/>
      <c r="H55" s="107"/>
      <c r="I55" s="107"/>
      <c r="J55" s="107"/>
      <c r="K55" s="107"/>
      <c r="L55" s="107"/>
      <c r="M55" s="84"/>
    </row>
    <row r="56" customFormat="false" ht="18.75" hidden="false" customHeight="false" outlineLevel="0" collapsed="false">
      <c r="A56" s="839" t="s">
        <v>927</v>
      </c>
      <c r="B56" s="1558"/>
      <c r="C56" s="132"/>
      <c r="D56" s="132"/>
      <c r="E56" s="132"/>
      <c r="F56" s="132"/>
      <c r="G56" s="132"/>
      <c r="H56" s="132"/>
      <c r="I56" s="132"/>
      <c r="J56" s="132"/>
      <c r="K56" s="132"/>
      <c r="L56" s="132"/>
      <c r="M56" s="133"/>
    </row>
    <row r="57" customFormat="false" ht="15" hidden="false" customHeight="false" outlineLevel="0" collapsed="false">
      <c r="A57" s="506"/>
      <c r="B57" s="257"/>
      <c r="C57" s="1415"/>
      <c r="D57" s="1415"/>
      <c r="E57" s="260"/>
      <c r="F57" s="257"/>
      <c r="G57" s="85"/>
      <c r="H57" s="257"/>
      <c r="I57" s="257"/>
      <c r="J57" s="257"/>
      <c r="K57" s="257"/>
      <c r="L57" s="257"/>
      <c r="M57" s="260"/>
    </row>
    <row r="58" customFormat="false" ht="15" hidden="false" customHeight="false" outlineLevel="0" collapsed="false">
      <c r="A58" s="52" t="s">
        <v>928</v>
      </c>
      <c r="B58" s="48"/>
      <c r="C58" s="1172"/>
      <c r="D58" s="682" t="n">
        <v>0</v>
      </c>
      <c r="E58" s="875" t="e">
        <f aca="false">E10</f>
        <v>#VALUE!</v>
      </c>
      <c r="F58" s="52"/>
      <c r="G58" s="876" t="e">
        <f aca="false">G10</f>
        <v>#VALUE!</v>
      </c>
      <c r="H58" s="48"/>
      <c r="I58" s="876" t="e">
        <f aca="false">I10</f>
        <v>#VALUE!</v>
      </c>
      <c r="J58" s="48"/>
      <c r="K58" s="876" t="e">
        <f aca="false">K10</f>
        <v>#VALUE!</v>
      </c>
      <c r="L58" s="48"/>
      <c r="M58" s="875" t="e">
        <f aca="false">M10</f>
        <v>#VALUE!</v>
      </c>
    </row>
    <row r="59" customFormat="false" ht="15" hidden="false" customHeight="false" outlineLevel="0" collapsed="false">
      <c r="A59" s="52" t="s">
        <v>929</v>
      </c>
      <c r="B59" s="48"/>
      <c r="C59" s="1172"/>
      <c r="D59" s="963" t="n">
        <f aca="false">D43</f>
        <v>400000</v>
      </c>
      <c r="E59" s="875" t="e">
        <f aca="false">E45</f>
        <v>#VALUE!</v>
      </c>
      <c r="F59" s="876"/>
      <c r="G59" s="876" t="e">
        <f aca="false">G45</f>
        <v>#VALUE!</v>
      </c>
      <c r="H59" s="876"/>
      <c r="I59" s="876" t="e">
        <f aca="false">I45</f>
        <v>#VALUE!</v>
      </c>
      <c r="J59" s="876"/>
      <c r="K59" s="876" t="e">
        <f aca="false">K45</f>
        <v>#VALUE!</v>
      </c>
      <c r="L59" s="876"/>
      <c r="M59" s="875" t="e">
        <f aca="false">M45</f>
        <v>#VALUE!</v>
      </c>
    </row>
    <row r="60" customFormat="false" ht="15" hidden="false" customHeight="false" outlineLevel="0" collapsed="false">
      <c r="A60" s="52" t="s">
        <v>930</v>
      </c>
      <c r="B60" s="48"/>
      <c r="C60" s="252"/>
      <c r="D60" s="1591" t="n">
        <v>0</v>
      </c>
      <c r="E60" s="926" t="n">
        <f aca="false">('7.5.1 Financial Requirements'!D38*'7.5.2 Fin. Income &amp; Expenses '!E52)+((('7.2.1 Turnover Vehicles'!C53+'7.2.1 Turnover Vehicles'!C54)/2)*E53)+('7.5.1 Financial Requirements'!D39*'7.5.2 Fin. Income &amp; Expenses '!E54)</f>
        <v>-1.33333333333333</v>
      </c>
      <c r="F60" s="876"/>
      <c r="G60" s="927" t="n">
        <f aca="false">'7.5.1 Financial Requirements'!F38*'7.5.2 Fin. Income &amp; Expenses '!G52+((('7.2.1 Turnover Vehicles'!E53+'7.2.1 Turnover Vehicles'!E54)/2)*G53)+'7.5.1 Financial Requirements'!F39*'7.5.2 Fin. Income &amp; Expenses '!G54</f>
        <v>0</v>
      </c>
      <c r="H60" s="925"/>
      <c r="I60" s="927" t="n">
        <f aca="false">'7.5.1 Financial Requirements'!H38*'7.5.2 Fin. Income &amp; Expenses '!I52+((('7.2.1 Turnover Vehicles'!G53+'7.2.1 Turnover Vehicles'!G54)/2)*I53)+'7.5.1 Financial Requirements'!H39*'7.5.2 Fin. Income &amp; Expenses '!I54</f>
        <v>0</v>
      </c>
      <c r="J60" s="925"/>
      <c r="K60" s="927" t="n">
        <f aca="false">'7.5.1 Financial Requirements'!J38*'7.5.2 Fin. Income &amp; Expenses '!K52+((('7.2.1 Turnover Vehicles'!I53+'7.2.1 Turnover Vehicles'!I54)/2)*K53)+'7.5.1 Financial Requirements'!J39*'7.5.2 Fin. Income &amp; Expenses '!K54</f>
        <v>0</v>
      </c>
      <c r="L60" s="925"/>
      <c r="M60" s="926" t="n">
        <f aca="false">'7.5.1 Financial Requirements'!L38*'7.5.2 Fin. Income &amp; Expenses '!M52+((('7.2.1 Turnover Vehicles'!K53+'7.2.1 Turnover Vehicles'!K54)/2)*M53)+'7.5.1 Financial Requirements'!L39*'7.5.2 Fin. Income &amp; Expenses '!M54</f>
        <v>0</v>
      </c>
    </row>
    <row r="61" customFormat="false" ht="15" hidden="false" customHeight="false" outlineLevel="0" collapsed="false">
      <c r="A61" s="52" t="s">
        <v>931</v>
      </c>
      <c r="B61" s="48"/>
      <c r="C61" s="961"/>
      <c r="D61" s="925" t="n">
        <f aca="false">IF(D58-D59-D60&lt;0,0,D58-D59-D60)</f>
        <v>0</v>
      </c>
      <c r="E61" s="1435" t="e">
        <f aca="false">IF(E58-E59-E60&lt;0,0,E58-E59-E60)</f>
        <v>#VALUE!</v>
      </c>
      <c r="F61" s="86"/>
      <c r="G61" s="925" t="e">
        <f aca="false">IF(G58-G59-G60&lt;0,0,G58-G59-G60)</f>
        <v>#VALUE!</v>
      </c>
      <c r="H61" s="86"/>
      <c r="I61" s="925" t="e">
        <f aca="false">IF(I58-I59-I60&lt;0,0,I58-I59-I60)</f>
        <v>#VALUE!</v>
      </c>
      <c r="J61" s="86"/>
      <c r="K61" s="925" t="e">
        <f aca="false">IF(K58-K59-K60&lt;0,0,K58-K59-K60)</f>
        <v>#VALUE!</v>
      </c>
      <c r="L61" s="86"/>
      <c r="M61" s="1435" t="e">
        <f aca="false">IF(M58-M59-M60&lt;0,0,M58-M59-M60)</f>
        <v>#VALUE!</v>
      </c>
    </row>
    <row r="62" customFormat="false" ht="15" hidden="false" customHeight="false" outlineLevel="0" collapsed="false">
      <c r="A62" s="52"/>
      <c r="B62" s="48"/>
      <c r="C62" s="961"/>
      <c r="D62" s="961"/>
      <c r="E62" s="924"/>
      <c r="F62" s="86"/>
      <c r="G62" s="925"/>
      <c r="H62" s="86"/>
      <c r="I62" s="925"/>
      <c r="J62" s="86"/>
      <c r="K62" s="925"/>
      <c r="L62" s="86"/>
      <c r="M62" s="924"/>
    </row>
    <row r="63" s="577" customFormat="true" ht="15" hidden="false" customHeight="false" outlineLevel="0" collapsed="false">
      <c r="A63" s="1592" t="s">
        <v>932</v>
      </c>
      <c r="B63" s="568"/>
      <c r="C63" s="1593"/>
      <c r="D63" s="1594" t="n">
        <f aca="false">IF(D58-D59-D60&lt;0,-1*(D58-D59-D60),0)</f>
        <v>400000</v>
      </c>
      <c r="E63" s="1595" t="e">
        <f aca="false">IF(E58-E59-E60&lt;0,-1*(E58-E59-E60),0)</f>
        <v>#VALUE!</v>
      </c>
      <c r="F63" s="568"/>
      <c r="G63" s="1594" t="e">
        <f aca="false">IF(G58-G59-G60&lt;0,-1*(G58-G59-G60),0)</f>
        <v>#VALUE!</v>
      </c>
      <c r="H63" s="568"/>
      <c r="I63" s="1594" t="e">
        <f aca="false">IF(I58-I59-I60&lt;0,-1*(I58-I59-I60),0)</f>
        <v>#VALUE!</v>
      </c>
      <c r="J63" s="568"/>
      <c r="K63" s="1594" t="e">
        <f aca="false">IF(K58-K59-K60&lt;0,-1*(K58-K59-K60),0)</f>
        <v>#VALUE!</v>
      </c>
      <c r="L63" s="568"/>
      <c r="M63" s="1595" t="e">
        <f aca="false">IF(M58-M59-M60&lt;0,-1*(M58-M59-M60),0)</f>
        <v>#VALUE!</v>
      </c>
      <c r="N63" s="22"/>
    </row>
    <row r="64" customFormat="false" ht="15" hidden="false" customHeight="false" outlineLevel="0" collapsed="false">
      <c r="A64" s="560"/>
      <c r="B64" s="941"/>
      <c r="C64" s="1203"/>
      <c r="D64" s="1203"/>
      <c r="E64" s="966"/>
      <c r="F64" s="107"/>
      <c r="G64" s="967"/>
      <c r="H64" s="107"/>
      <c r="I64" s="967"/>
      <c r="J64" s="107"/>
      <c r="K64" s="967"/>
      <c r="L64" s="107"/>
      <c r="M64" s="966"/>
    </row>
    <row r="65" customFormat="false" ht="15" hidden="false" customHeight="false" outlineLevel="0" collapsed="false">
      <c r="A65" s="48"/>
      <c r="B65" s="48"/>
      <c r="C65" s="48"/>
      <c r="D65" s="48"/>
      <c r="E65" s="48"/>
      <c r="F65" s="48"/>
      <c r="G65" s="48"/>
      <c r="H65" s="48"/>
      <c r="I65" s="48"/>
      <c r="J65" s="48"/>
      <c r="K65" s="48"/>
      <c r="L65" s="48"/>
      <c r="M65" s="48"/>
    </row>
    <row r="66" customFormat="false" ht="15" hidden="false" customHeight="false" outlineLevel="0" collapsed="false">
      <c r="A66" s="48"/>
      <c r="B66" s="48"/>
      <c r="C66" s="48"/>
      <c r="D66" s="48"/>
      <c r="E66" s="48"/>
      <c r="F66" s="48"/>
      <c r="G66" s="48"/>
      <c r="H66" s="48"/>
      <c r="I66" s="48"/>
      <c r="J66" s="48"/>
      <c r="K66" s="48"/>
      <c r="L66" s="48"/>
      <c r="M66" s="48"/>
    </row>
    <row r="67" customFormat="false" ht="18.75" hidden="false" customHeight="false" outlineLevel="0" collapsed="false">
      <c r="A67" s="839" t="s">
        <v>933</v>
      </c>
      <c r="B67" s="1558"/>
      <c r="C67" s="132"/>
      <c r="D67" s="132"/>
      <c r="E67" s="132"/>
      <c r="F67" s="132"/>
      <c r="G67" s="132"/>
      <c r="H67" s="132"/>
      <c r="I67" s="132"/>
      <c r="J67" s="132"/>
      <c r="K67" s="132"/>
      <c r="L67" s="132"/>
      <c r="M67" s="133"/>
    </row>
    <row r="68" customFormat="false" ht="15" hidden="false" customHeight="false" outlineLevel="0" collapsed="false">
      <c r="A68" s="52"/>
      <c r="B68" s="48"/>
      <c r="C68" s="1172" t="s">
        <v>934</v>
      </c>
      <c r="D68" s="1172"/>
      <c r="E68" s="664"/>
      <c r="F68" s="48"/>
      <c r="G68" s="1186"/>
      <c r="H68" s="858"/>
      <c r="I68" s="1186"/>
      <c r="J68" s="1186"/>
      <c r="K68" s="1186"/>
      <c r="L68" s="1186"/>
      <c r="M68" s="120"/>
    </row>
    <row r="69" customFormat="false" ht="15" hidden="false" customHeight="false" outlineLevel="0" collapsed="false">
      <c r="A69" s="52"/>
      <c r="B69" s="48"/>
      <c r="C69" s="1172" t="s">
        <v>935</v>
      </c>
      <c r="D69" s="1172"/>
      <c r="E69" s="1596"/>
      <c r="F69" s="1172" t="s">
        <v>936</v>
      </c>
      <c r="G69" s="1597"/>
      <c r="H69" s="1172" t="s">
        <v>936</v>
      </c>
      <c r="I69" s="48"/>
      <c r="J69" s="1172" t="s">
        <v>936</v>
      </c>
      <c r="K69" s="48"/>
      <c r="L69" s="1172" t="s">
        <v>936</v>
      </c>
      <c r="M69" s="54"/>
    </row>
    <row r="70" customFormat="false" ht="15" hidden="false" customHeight="false" outlineLevel="0" collapsed="false">
      <c r="A70" s="52" t="s">
        <v>937</v>
      </c>
      <c r="B70" s="48"/>
      <c r="C70" s="1598" t="n">
        <v>0.095</v>
      </c>
      <c r="D70" s="961"/>
      <c r="E70" s="924" t="e">
        <f aca="false">IF(E61&gt;0,E61*C70,0)</f>
        <v>#VALUE!</v>
      </c>
      <c r="F70" s="1598" t="n">
        <f aca="false">C70</f>
        <v>0.095</v>
      </c>
      <c r="G70" s="925" t="e">
        <f aca="false">IF(G61&gt;0,G61*F70,0)</f>
        <v>#VALUE!</v>
      </c>
      <c r="H70" s="1598" t="n">
        <f aca="false">F70</f>
        <v>0.095</v>
      </c>
      <c r="I70" s="925" t="e">
        <f aca="false">IF(I61&gt;0,I61*H70,0)</f>
        <v>#VALUE!</v>
      </c>
      <c r="J70" s="1598" t="n">
        <f aca="false">H70</f>
        <v>0.095</v>
      </c>
      <c r="K70" s="925" t="e">
        <f aca="false">IF(K61&gt;0,K61*J70,0)</f>
        <v>#VALUE!</v>
      </c>
      <c r="L70" s="1598" t="n">
        <f aca="false">J70</f>
        <v>0.095</v>
      </c>
      <c r="M70" s="924" t="e">
        <f aca="false">IF(M61&gt;0,M61*L70,0)</f>
        <v>#VALUE!</v>
      </c>
    </row>
    <row r="71" customFormat="false" ht="15" hidden="false" customHeight="false" outlineLevel="0" collapsed="false">
      <c r="A71" s="52" t="s">
        <v>938</v>
      </c>
      <c r="B71" s="48"/>
      <c r="C71" s="1598" t="n">
        <v>0.105</v>
      </c>
      <c r="D71" s="961"/>
      <c r="E71" s="875" t="n">
        <f aca="false">((D37+E37)/2)*C71</f>
        <v>39000</v>
      </c>
      <c r="F71" s="1598" t="n">
        <f aca="false">C71</f>
        <v>0.105</v>
      </c>
      <c r="G71" s="876" t="n">
        <f aca="false">((E37+G37)/2)*F71</f>
        <v>33000</v>
      </c>
      <c r="H71" s="1598" t="n">
        <f aca="false">F71</f>
        <v>0.105</v>
      </c>
      <c r="I71" s="876" t="n">
        <f aca="false">((G37+I37)/2)*H71</f>
        <v>27000</v>
      </c>
      <c r="J71" s="1598" t="n">
        <f aca="false">H71</f>
        <v>0.105</v>
      </c>
      <c r="K71" s="876" t="n">
        <f aca="false">((I37+K37)/2)*J71</f>
        <v>21000</v>
      </c>
      <c r="L71" s="1598" t="n">
        <f aca="false">J71</f>
        <v>0.105</v>
      </c>
      <c r="M71" s="875" t="n">
        <f aca="false">((K37+M37)/2)*L71</f>
        <v>15000</v>
      </c>
    </row>
    <row r="72" customFormat="false" ht="15" hidden="false" customHeight="false" outlineLevel="0" collapsed="false">
      <c r="A72" s="134" t="s">
        <v>939</v>
      </c>
      <c r="C72" s="1598" t="n">
        <v>0</v>
      </c>
      <c r="E72" s="875" t="n">
        <f aca="false">((D24+E24)/2)*C72</f>
        <v>0</v>
      </c>
      <c r="F72" s="1598" t="n">
        <f aca="false">C72</f>
        <v>0</v>
      </c>
      <c r="G72" s="876" t="n">
        <f aca="false">((E24+G24)/2)*F72</f>
        <v>0</v>
      </c>
      <c r="H72" s="1598" t="n">
        <f aca="false">F72</f>
        <v>0</v>
      </c>
      <c r="I72" s="876" t="n">
        <f aca="false">((G24+I24)/2)*H72</f>
        <v>0</v>
      </c>
      <c r="J72" s="1598" t="n">
        <f aca="false">H72</f>
        <v>0</v>
      </c>
      <c r="K72" s="876" t="n">
        <f aca="false">((I24+K24)/2)*J72</f>
        <v>0</v>
      </c>
      <c r="L72" s="1598" t="n">
        <f aca="false">J72</f>
        <v>0</v>
      </c>
      <c r="M72" s="875" t="n">
        <f aca="false">((K24+M24)/2)*L72</f>
        <v>0</v>
      </c>
    </row>
    <row r="73" customFormat="false" ht="15" hidden="false" customHeight="false" outlineLevel="0" collapsed="false">
      <c r="A73" s="52" t="s">
        <v>930</v>
      </c>
      <c r="B73" s="48"/>
      <c r="C73" s="1598" t="n">
        <v>0</v>
      </c>
      <c r="D73" s="46"/>
      <c r="E73" s="875" t="n">
        <f aca="false">E60*C73</f>
        <v>-0</v>
      </c>
      <c r="F73" s="1598" t="n">
        <f aca="false">C73</f>
        <v>0</v>
      </c>
      <c r="G73" s="876" t="n">
        <f aca="false">G60*F73</f>
        <v>0</v>
      </c>
      <c r="H73" s="1598" t="n">
        <f aca="false">F73</f>
        <v>0</v>
      </c>
      <c r="I73" s="876" t="n">
        <f aca="false">I60*H73</f>
        <v>0</v>
      </c>
      <c r="J73" s="1598" t="n">
        <f aca="false">H73</f>
        <v>0</v>
      </c>
      <c r="K73" s="876" t="n">
        <f aca="false">K60*J73</f>
        <v>0</v>
      </c>
      <c r="L73" s="1598" t="n">
        <f aca="false">J73</f>
        <v>0</v>
      </c>
      <c r="M73" s="875" t="n">
        <f aca="false">M60*L73</f>
        <v>0</v>
      </c>
    </row>
    <row r="74" customFormat="false" ht="15.75" hidden="false" customHeight="false" outlineLevel="0" collapsed="false">
      <c r="A74" s="82"/>
      <c r="B74" s="107"/>
      <c r="C74" s="1203"/>
      <c r="D74" s="1203"/>
      <c r="E74" s="966"/>
      <c r="F74" s="967"/>
      <c r="G74" s="967"/>
      <c r="H74" s="967"/>
      <c r="I74" s="967"/>
      <c r="J74" s="967"/>
      <c r="K74" s="967"/>
      <c r="L74" s="967"/>
      <c r="M74" s="966"/>
    </row>
    <row r="75" customFormat="false" ht="15" hidden="false" customHeight="false" outlineLevel="0" collapsed="false">
      <c r="A75" s="1023"/>
      <c r="B75" s="1024"/>
      <c r="C75" s="1599"/>
      <c r="D75" s="1599"/>
      <c r="E75" s="1025"/>
      <c r="F75" s="1026"/>
      <c r="G75" s="1026"/>
      <c r="H75" s="1026"/>
      <c r="I75" s="1026"/>
      <c r="J75" s="1026"/>
      <c r="K75" s="1026"/>
      <c r="L75" s="1026"/>
      <c r="M75" s="1027"/>
    </row>
    <row r="76" s="273" customFormat="true" ht="15" hidden="false" customHeight="false" outlineLevel="0" collapsed="false">
      <c r="A76" s="1600" t="s">
        <v>940</v>
      </c>
      <c r="B76" s="74"/>
      <c r="C76" s="1601"/>
      <c r="D76" s="1601"/>
      <c r="E76" s="1030" t="e">
        <f aca="false">SUM(E70:E73)</f>
        <v>#VALUE!</v>
      </c>
      <c r="F76" s="1269"/>
      <c r="G76" s="1269" t="e">
        <f aca="false">SUM(G70:G73)</f>
        <v>#VALUE!</v>
      </c>
      <c r="H76" s="1269"/>
      <c r="I76" s="1269" t="e">
        <f aca="false">SUM(I70:I73)</f>
        <v>#VALUE!</v>
      </c>
      <c r="J76" s="1269"/>
      <c r="K76" s="1269" t="e">
        <f aca="false">SUM(K70:K73)</f>
        <v>#VALUE!</v>
      </c>
      <c r="L76" s="1269"/>
      <c r="M76" s="1032" t="e">
        <f aca="false">SUM(M70:M73)</f>
        <v>#VALUE!</v>
      </c>
      <c r="N76" s="271"/>
    </row>
    <row r="77" customFormat="false" ht="15.75" hidden="false" customHeight="false" outlineLevel="0" collapsed="false">
      <c r="A77" s="1602"/>
      <c r="B77" s="1034"/>
      <c r="C77" s="1034"/>
      <c r="D77" s="1034"/>
      <c r="E77" s="1603"/>
      <c r="F77" s="1034"/>
      <c r="G77" s="1034"/>
      <c r="H77" s="1034"/>
      <c r="I77" s="1034"/>
      <c r="J77" s="1034"/>
      <c r="K77" s="1034"/>
      <c r="L77" s="1034"/>
      <c r="M77" s="1604"/>
    </row>
    <row r="78" customFormat="false" ht="15" hidden="false" customHeight="false" outlineLevel="0" collapsed="false"/>
    <row r="79" customFormat="false" ht="18.75" hidden="false" customHeight="false" outlineLevel="0" collapsed="false">
      <c r="A79" s="839" t="s">
        <v>941</v>
      </c>
      <c r="B79" s="1558"/>
      <c r="C79" s="132"/>
      <c r="D79" s="132"/>
      <c r="E79" s="132"/>
      <c r="F79" s="132"/>
      <c r="G79" s="132"/>
      <c r="H79" s="132"/>
      <c r="I79" s="132"/>
      <c r="J79" s="132"/>
      <c r="K79" s="132"/>
      <c r="L79" s="132"/>
      <c r="M79" s="133"/>
    </row>
    <row r="80" customFormat="false" ht="15" hidden="false" customHeight="false" outlineLevel="0" collapsed="false">
      <c r="A80" s="52"/>
      <c r="B80" s="48"/>
      <c r="C80" s="1172" t="s">
        <v>934</v>
      </c>
      <c r="D80" s="1172"/>
      <c r="E80" s="664"/>
      <c r="F80" s="48"/>
      <c r="G80" s="1186"/>
      <c r="H80" s="858"/>
      <c r="I80" s="1186"/>
      <c r="J80" s="1186"/>
      <c r="K80" s="1186"/>
      <c r="L80" s="1186"/>
      <c r="M80" s="120"/>
    </row>
    <row r="81" customFormat="false" ht="15" hidden="false" customHeight="false" outlineLevel="0" collapsed="false">
      <c r="A81" s="52"/>
      <c r="B81" s="48"/>
      <c r="C81" s="1172" t="s">
        <v>935</v>
      </c>
      <c r="D81" s="1172"/>
      <c r="E81" s="1596"/>
      <c r="F81" s="1172" t="s">
        <v>936</v>
      </c>
      <c r="G81" s="1597"/>
      <c r="H81" s="1172" t="s">
        <v>936</v>
      </c>
      <c r="I81" s="48"/>
      <c r="J81" s="1172" t="s">
        <v>936</v>
      </c>
      <c r="K81" s="48"/>
      <c r="L81" s="1172" t="s">
        <v>936</v>
      </c>
      <c r="M81" s="54"/>
    </row>
    <row r="82" customFormat="false" ht="15" hidden="false" customHeight="false" outlineLevel="0" collapsed="false">
      <c r="A82" s="52" t="s">
        <v>932</v>
      </c>
      <c r="B82" s="48"/>
      <c r="C82" s="1598" t="n">
        <v>0.1</v>
      </c>
      <c r="D82" s="961"/>
      <c r="E82" s="924" t="e">
        <f aca="false">E63*C82</f>
        <v>#VALUE!</v>
      </c>
      <c r="F82" s="1598" t="n">
        <f aca="false">C82</f>
        <v>0.1</v>
      </c>
      <c r="G82" s="925" t="e">
        <f aca="false">G63*F82</f>
        <v>#VALUE!</v>
      </c>
      <c r="H82" s="1598" t="n">
        <f aca="false">F82</f>
        <v>0.1</v>
      </c>
      <c r="I82" s="925" t="e">
        <f aca="false">I63*H82</f>
        <v>#VALUE!</v>
      </c>
      <c r="J82" s="1598" t="n">
        <f aca="false">H82</f>
        <v>0.1</v>
      </c>
      <c r="K82" s="925" t="e">
        <f aca="false">K63*J82</f>
        <v>#VALUE!</v>
      </c>
      <c r="L82" s="1598" t="n">
        <f aca="false">J82</f>
        <v>0.1</v>
      </c>
      <c r="M82" s="924" t="e">
        <f aca="false">M63*L82</f>
        <v>#VALUE!</v>
      </c>
    </row>
    <row r="83" customFormat="false" ht="15" hidden="false" customHeight="false" outlineLevel="0" collapsed="false">
      <c r="A83" s="52" t="s">
        <v>42</v>
      </c>
      <c r="B83" s="48"/>
      <c r="C83" s="1605"/>
      <c r="D83" s="961"/>
      <c r="E83" s="951"/>
      <c r="F83" s="1606"/>
      <c r="G83" s="997"/>
      <c r="H83" s="1605"/>
      <c r="I83" s="997"/>
      <c r="J83" s="1605"/>
      <c r="K83" s="997"/>
      <c r="L83" s="1605"/>
      <c r="M83" s="951"/>
    </row>
    <row r="84" customFormat="false" ht="15.75" hidden="false" customHeight="false" outlineLevel="0" collapsed="false">
      <c r="A84" s="82"/>
      <c r="B84" s="107"/>
      <c r="C84" s="1203"/>
      <c r="D84" s="1203"/>
      <c r="E84" s="966"/>
      <c r="F84" s="967"/>
      <c r="G84" s="967"/>
      <c r="H84" s="967"/>
      <c r="I84" s="967"/>
      <c r="J84" s="967"/>
      <c r="K84" s="967"/>
      <c r="L84" s="967"/>
      <c r="M84" s="926"/>
    </row>
    <row r="85" customFormat="false" ht="15" hidden="false" customHeight="false" outlineLevel="0" collapsed="false">
      <c r="A85" s="1023"/>
      <c r="B85" s="1024"/>
      <c r="C85" s="1599"/>
      <c r="D85" s="1599"/>
      <c r="E85" s="1025"/>
      <c r="F85" s="1026"/>
      <c r="G85" s="1026"/>
      <c r="H85" s="1026"/>
      <c r="I85" s="1026"/>
      <c r="J85" s="1026"/>
      <c r="K85" s="1026"/>
      <c r="L85" s="1026"/>
      <c r="M85" s="1027"/>
    </row>
    <row r="86" customFormat="false" ht="15" hidden="false" customHeight="false" outlineLevel="0" collapsed="false">
      <c r="A86" s="1600" t="s">
        <v>942</v>
      </c>
      <c r="B86" s="74"/>
      <c r="C86" s="1601"/>
      <c r="D86" s="1601"/>
      <c r="E86" s="1030" t="e">
        <f aca="false">SUM(E82:E83)</f>
        <v>#VALUE!</v>
      </c>
      <c r="F86" s="1269"/>
      <c r="G86" s="1269" t="e">
        <f aca="false">SUM(G82:G83)</f>
        <v>#VALUE!</v>
      </c>
      <c r="H86" s="1269"/>
      <c r="I86" s="1269" t="e">
        <f aca="false">SUM(I82:I83)</f>
        <v>#VALUE!</v>
      </c>
      <c r="J86" s="1269"/>
      <c r="K86" s="1269" t="e">
        <f aca="false">SUM(K82:K83)</f>
        <v>#VALUE!</v>
      </c>
      <c r="L86" s="1269"/>
      <c r="M86" s="1032" t="e">
        <f aca="false">SUM(M82:M83)</f>
        <v>#VALUE!</v>
      </c>
    </row>
    <row r="87" customFormat="false" ht="15.75" hidden="false" customHeight="false" outlineLevel="0" collapsed="false">
      <c r="A87" s="1602"/>
      <c r="B87" s="1034"/>
      <c r="C87" s="1034"/>
      <c r="D87" s="1034"/>
      <c r="E87" s="1603"/>
      <c r="F87" s="1034"/>
      <c r="G87" s="1034"/>
      <c r="H87" s="1034"/>
      <c r="I87" s="1034"/>
      <c r="J87" s="1034"/>
      <c r="K87" s="1034"/>
      <c r="L87" s="1034"/>
      <c r="M87" s="1604"/>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3.xml><?xml version="1.0" encoding="utf-8"?>
<worksheet xmlns="http://schemas.openxmlformats.org/spreadsheetml/2006/main" xmlns:r="http://schemas.openxmlformats.org/officeDocument/2006/relationships">
  <sheetPr filterMode="false">
    <tabColor rgb="FFC0C0C0"/>
    <pageSetUpPr fitToPage="true"/>
  </sheetPr>
  <dimension ref="A1:O63"/>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5" topLeftCell="A6" activePane="bottomLeft" state="frozen"/>
      <selection pane="topLeft" activeCell="A1" activeCellId="0" sqref="A1"/>
      <selection pane="bottomLeft" activeCell="C8" activeCellId="0" sqref="C8"/>
    </sheetView>
  </sheetViews>
  <sheetFormatPr defaultRowHeight="15" zeroHeight="true" outlineLevelRow="0" outlineLevelCol="0"/>
  <cols>
    <col collapsed="false" customWidth="true" hidden="false" outlineLevel="0" max="1" min="1" style="4" width="49.29"/>
    <col collapsed="false" customWidth="true" hidden="false" outlineLevel="0" max="2" min="2" style="577" width="7"/>
    <col collapsed="false" customWidth="true" hidden="false" outlineLevel="0" max="3" min="3" style="577" width="15.57"/>
    <col collapsed="false" customWidth="true" hidden="false" outlineLevel="0" max="4" min="4" style="577" width="9.14"/>
    <col collapsed="false" customWidth="true" hidden="false" outlineLevel="0" max="5" min="5" style="577" width="14.15"/>
    <col collapsed="false" customWidth="true" hidden="false" outlineLevel="0" max="6" min="6" style="577" width="9.14"/>
    <col collapsed="false" customWidth="true" hidden="false" outlineLevel="0" max="7" min="7" style="577" width="15.42"/>
    <col collapsed="false" customWidth="true" hidden="false" outlineLevel="0" max="8" min="8" style="577" width="13.14"/>
    <col collapsed="false" customWidth="true" hidden="false" outlineLevel="0" max="9" min="9" style="577" width="12.71"/>
    <col collapsed="false" customWidth="true" hidden="false" outlineLevel="0" max="10" min="10" style="577" width="11.86"/>
    <col collapsed="false" customWidth="true" hidden="false" outlineLevel="0" max="11" min="11" style="577" width="15.57"/>
    <col collapsed="false" customWidth="true" hidden="false" outlineLevel="0" max="12" min="12" style="4" width="2"/>
    <col collapsed="false" customWidth="false" hidden="true" outlineLevel="0" max="1025" min="13" style="4" width="11.52"/>
  </cols>
  <sheetData>
    <row r="1" customFormat="false" ht="28.5" hidden="false" customHeight="false" outlineLevel="0" collapsed="false">
      <c r="A1" s="113" t="s">
        <v>525</v>
      </c>
      <c r="B1" s="114"/>
      <c r="C1" s="114"/>
      <c r="D1" s="114"/>
      <c r="E1" s="114"/>
      <c r="F1" s="114"/>
      <c r="G1" s="114"/>
      <c r="H1" s="114"/>
      <c r="I1" s="114"/>
      <c r="J1" s="114"/>
      <c r="K1" s="115" t="s">
        <v>943</v>
      </c>
    </row>
    <row r="2" customFormat="false" ht="15" hidden="false" customHeight="false" outlineLevel="0" collapsed="false">
      <c r="A2" s="52"/>
      <c r="B2" s="48"/>
      <c r="C2" s="48"/>
      <c r="D2" s="48"/>
      <c r="E2" s="848"/>
      <c r="F2" s="48"/>
      <c r="G2" s="48"/>
      <c r="H2" s="48"/>
      <c r="I2" s="48"/>
      <c r="J2" s="48"/>
      <c r="K2" s="849"/>
    </row>
    <row r="3" s="4" customFormat="true" ht="18" hidden="false" customHeight="false" outlineLevel="0" collapsed="false">
      <c r="A3" s="850" t="s">
        <v>34</v>
      </c>
      <c r="B3" s="851"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'Reference sheet'!C21</f>
        <v>EUR</v>
      </c>
    </row>
    <row r="4" customFormat="false" ht="15" hidden="false" customHeight="false" outlineLevel="0" collapsed="false">
      <c r="A4" s="52"/>
      <c r="B4" s="129"/>
      <c r="C4" s="48"/>
      <c r="D4" s="48"/>
      <c r="E4" s="48"/>
      <c r="F4" s="48"/>
      <c r="G4" s="130"/>
      <c r="H4" s="48"/>
      <c r="I4" s="48"/>
      <c r="J4" s="48"/>
      <c r="K4" s="939"/>
    </row>
    <row r="5" customFormat="false" ht="15" hidden="false" customHeight="false" outlineLevel="0" collapsed="false">
      <c r="A5" s="562"/>
      <c r="B5" s="67"/>
      <c r="C5" s="1411" t="n">
        <f aca="false">'7.4.2 Selling &amp; Oper. expenses'!C5</f>
        <v>2019</v>
      </c>
      <c r="D5" s="67"/>
      <c r="E5" s="1411" t="n">
        <f aca="false">'7.4.3 Inv. &amp; Depr.'!F6</f>
        <v>2020</v>
      </c>
      <c r="F5" s="67"/>
      <c r="G5" s="1411" t="n">
        <f aca="false">'7.4.3 Inv. &amp; Depr.'!H6</f>
        <v>2021</v>
      </c>
      <c r="H5" s="67"/>
      <c r="I5" s="1411" t="n">
        <f aca="false">'7.4.3 Inv. &amp; Depr.'!J6</f>
        <v>2022</v>
      </c>
      <c r="J5" s="67"/>
      <c r="K5" s="1411" t="n">
        <f aca="false">'7.4.3 Inv. &amp; Depr.'!L6</f>
        <v>2023</v>
      </c>
    </row>
    <row r="6" customFormat="false" ht="18.75" hidden="false" customHeight="false" outlineLevel="0" collapsed="false">
      <c r="A6" s="839" t="s">
        <v>944</v>
      </c>
      <c r="B6" s="1559"/>
      <c r="C6" s="132"/>
      <c r="D6" s="132"/>
      <c r="E6" s="132"/>
      <c r="F6" s="132"/>
      <c r="G6" s="1560"/>
      <c r="H6" s="132"/>
      <c r="I6" s="132"/>
      <c r="J6" s="132"/>
      <c r="K6" s="1561"/>
    </row>
    <row r="7" customFormat="false" ht="15" hidden="false" customHeight="false" outlineLevel="0" collapsed="false">
      <c r="A7" s="256"/>
      <c r="B7" s="1607"/>
      <c r="C7" s="260"/>
      <c r="D7" s="257"/>
      <c r="E7" s="257"/>
      <c r="F7" s="257"/>
      <c r="G7" s="1608"/>
      <c r="H7" s="257"/>
      <c r="I7" s="257"/>
      <c r="J7" s="257"/>
      <c r="K7" s="1609"/>
    </row>
    <row r="8" customFormat="false" ht="15" hidden="false" customHeight="false" outlineLevel="0" collapsed="false">
      <c r="A8" s="52" t="s">
        <v>945</v>
      </c>
      <c r="B8" s="48"/>
      <c r="C8" s="956" t="n">
        <v>0.19</v>
      </c>
      <c r="D8" s="48"/>
      <c r="E8" s="1610"/>
      <c r="F8" s="48"/>
      <c r="G8" s="130"/>
      <c r="H8" s="48"/>
      <c r="I8" s="48"/>
      <c r="J8" s="48"/>
      <c r="K8" s="939"/>
    </row>
    <row r="9" customFormat="false" ht="15" hidden="false" customHeight="false" outlineLevel="0" collapsed="false">
      <c r="A9" s="52" t="s">
        <v>946</v>
      </c>
      <c r="B9" s="48"/>
      <c r="C9" s="1047" t="n">
        <v>30</v>
      </c>
      <c r="D9" s="67"/>
      <c r="E9" s="86"/>
      <c r="F9" s="67"/>
      <c r="G9" s="67"/>
      <c r="H9" s="67"/>
      <c r="I9" s="67"/>
      <c r="J9" s="67"/>
      <c r="K9" s="1611"/>
    </row>
    <row r="10" customFormat="false" ht="15" hidden="false" customHeight="false" outlineLevel="0" collapsed="false">
      <c r="A10" s="52" t="s">
        <v>947</v>
      </c>
      <c r="B10" s="48"/>
      <c r="C10" s="1612"/>
      <c r="D10" s="67"/>
      <c r="E10" s="86"/>
      <c r="F10" s="67"/>
      <c r="G10" s="67"/>
      <c r="H10" s="67"/>
      <c r="I10" s="67"/>
      <c r="J10" s="67"/>
      <c r="K10" s="1611"/>
    </row>
    <row r="11" customFormat="false" ht="15" hidden="false" customHeight="false" outlineLevel="0" collapsed="false">
      <c r="A11" s="52" t="s">
        <v>948</v>
      </c>
      <c r="B11" s="48"/>
      <c r="C11" s="1047" t="n">
        <v>1</v>
      </c>
      <c r="D11" s="67"/>
      <c r="E11" s="86"/>
      <c r="F11" s="67"/>
      <c r="G11" s="67"/>
      <c r="H11" s="67"/>
      <c r="I11" s="67"/>
      <c r="J11" s="67"/>
      <c r="K11" s="1611"/>
    </row>
    <row r="12" customFormat="false" ht="15" hidden="false" customHeight="false" outlineLevel="0" collapsed="false">
      <c r="A12" s="52" t="s">
        <v>949</v>
      </c>
      <c r="B12" s="48"/>
      <c r="C12" s="1047" t="n">
        <v>1</v>
      </c>
      <c r="D12" s="67"/>
      <c r="E12" s="86"/>
      <c r="F12" s="67"/>
      <c r="G12" s="67"/>
      <c r="H12" s="67"/>
      <c r="I12" s="67"/>
      <c r="J12" s="67"/>
      <c r="K12" s="1611"/>
    </row>
    <row r="13" customFormat="false" ht="15" hidden="false" customHeight="false" outlineLevel="0" collapsed="false">
      <c r="A13" s="560"/>
      <c r="B13" s="941"/>
      <c r="C13" s="1613"/>
      <c r="D13" s="941"/>
      <c r="E13" s="941"/>
      <c r="F13" s="941"/>
      <c r="G13" s="941"/>
      <c r="H13" s="941"/>
      <c r="I13" s="941"/>
      <c r="J13" s="941"/>
      <c r="K13" s="1613"/>
    </row>
    <row r="14" s="48" customFormat="true" ht="15" hidden="false" customHeight="false" outlineLevel="0" collapsed="false">
      <c r="A14" s="67"/>
      <c r="B14" s="67"/>
      <c r="C14" s="67"/>
      <c r="D14" s="67"/>
      <c r="E14" s="67"/>
      <c r="F14" s="67"/>
      <c r="G14" s="67"/>
      <c r="H14" s="67"/>
      <c r="I14" s="67"/>
      <c r="J14" s="67"/>
      <c r="K14" s="67"/>
    </row>
    <row r="15" customFormat="false" ht="18.75" hidden="false" customHeight="false" outlineLevel="0" collapsed="false">
      <c r="A15" s="839" t="s">
        <v>950</v>
      </c>
      <c r="B15" s="1559"/>
      <c r="C15" s="132"/>
      <c r="D15" s="132"/>
      <c r="E15" s="132"/>
      <c r="F15" s="132"/>
      <c r="G15" s="1560"/>
      <c r="H15" s="132"/>
      <c r="I15" s="132"/>
      <c r="J15" s="132"/>
      <c r="K15" s="1561"/>
    </row>
    <row r="16" customFormat="false" ht="15" hidden="false" customHeight="false" outlineLevel="0" collapsed="false">
      <c r="A16" s="506"/>
      <c r="B16" s="1614"/>
      <c r="C16" s="321"/>
      <c r="D16" s="320"/>
      <c r="E16" s="320"/>
      <c r="F16" s="320"/>
      <c r="G16" s="1615"/>
      <c r="H16" s="320"/>
      <c r="I16" s="320"/>
      <c r="J16" s="320"/>
      <c r="K16" s="1616"/>
    </row>
    <row r="17" customFormat="false" ht="15" hidden="false" customHeight="false" outlineLevel="0" collapsed="false">
      <c r="A17" s="52"/>
      <c r="B17" s="1617" t="s">
        <v>951</v>
      </c>
      <c r="C17" s="323"/>
      <c r="D17" s="71"/>
      <c r="E17" s="71"/>
      <c r="F17" s="71"/>
      <c r="G17" s="71"/>
      <c r="H17" s="71"/>
      <c r="I17" s="71"/>
      <c r="J17" s="71"/>
      <c r="K17" s="323"/>
    </row>
    <row r="18" customFormat="false" ht="15" hidden="false" customHeight="false" outlineLevel="0" collapsed="false">
      <c r="A18" s="52" t="s">
        <v>866</v>
      </c>
      <c r="B18" s="328" t="n">
        <f aca="false">C$9/2+C$11</f>
        <v>16</v>
      </c>
      <c r="C18" s="1618" t="n">
        <f aca="false">'7.2.1 Turnover Vehicles'!C36*'7.5.3 VAT'!$C$8*('7.5.3 VAT'!$B$18/360)</f>
        <v>0</v>
      </c>
      <c r="D18" s="1619"/>
      <c r="E18" s="1619" t="n">
        <f aca="false">'7.2.1 Turnover Vehicles'!E36*'7.5.3 VAT'!$C$8*('7.5.3 VAT'!$B$18/360)</f>
        <v>0</v>
      </c>
      <c r="F18" s="1619"/>
      <c r="G18" s="1619" t="n">
        <f aca="false">'7.2.1 Turnover Vehicles'!G36*'7.5.3 VAT'!$C$8*('7.5.3 VAT'!$B$18/360)</f>
        <v>0</v>
      </c>
      <c r="H18" s="1619"/>
      <c r="I18" s="1619" t="n">
        <f aca="false">'7.2.1 Turnover Vehicles'!I36*'7.5.3 VAT'!$C$8*('7.5.3 VAT'!$B$18/360)</f>
        <v>0</v>
      </c>
      <c r="J18" s="1619"/>
      <c r="K18" s="1618" t="n">
        <f aca="false">'7.2.1 Turnover Vehicles'!K36*'7.5.3 VAT'!$C$8*('7.5.3 VAT'!$B$18/360)</f>
        <v>0</v>
      </c>
    </row>
    <row r="19" customFormat="false" ht="15" hidden="false" customHeight="false" outlineLevel="0" collapsed="false">
      <c r="A19" s="52" t="s">
        <v>867</v>
      </c>
      <c r="B19" s="328" t="n">
        <f aca="false">C$9/2+C$11</f>
        <v>16</v>
      </c>
      <c r="C19" s="1618" t="n">
        <f aca="false">'7.2.1 Turnover Vehicles'!C48*'7.5.3 VAT'!$C$8*('7.5.3 VAT'!$B$19/360)</f>
        <v>0</v>
      </c>
      <c r="D19" s="1619"/>
      <c r="E19" s="1619" t="n">
        <f aca="false">'7.2.1 Turnover Vehicles'!E48*'7.5.3 VAT'!$C$8*('7.5.3 VAT'!$B$19/360)</f>
        <v>0</v>
      </c>
      <c r="F19" s="1619"/>
      <c r="G19" s="1619" t="n">
        <f aca="false">'7.2.1 Turnover Vehicles'!G48*'7.5.3 VAT'!$C$8*('7.5.3 VAT'!$B$19/360)</f>
        <v>0</v>
      </c>
      <c r="H19" s="1619"/>
      <c r="I19" s="1619" t="n">
        <f aca="false">'7.2.1 Turnover Vehicles'!I48*'7.5.3 VAT'!$C$8*('7.5.3 VAT'!$B$19/360)</f>
        <v>0</v>
      </c>
      <c r="J19" s="1619"/>
      <c r="K19" s="1618" t="n">
        <f aca="false">'7.2.1 Turnover Vehicles'!K48*'7.5.3 VAT'!$C$8*('7.5.3 VAT'!$B$19/360)</f>
        <v>0</v>
      </c>
    </row>
    <row r="20" customFormat="false" ht="15" hidden="false" customHeight="false" outlineLevel="0" collapsed="false">
      <c r="A20" s="52" t="s">
        <v>868</v>
      </c>
      <c r="B20" s="328" t="n">
        <f aca="false">C$9/2+C$11</f>
        <v>16</v>
      </c>
      <c r="C20" s="1618" t="n">
        <f aca="false">'7.2.1 Turnover Vehicles'!C72*'7.5.3 VAT'!$C$8*('7.5.3 VAT'!$B$20/360)</f>
        <v>0</v>
      </c>
      <c r="D20" s="1619"/>
      <c r="E20" s="1619" t="n">
        <f aca="false">'7.2.1 Turnover Vehicles'!E72*'7.5.3 VAT'!$C$8*('7.5.3 VAT'!$B$20/360)</f>
        <v>0</v>
      </c>
      <c r="F20" s="1619"/>
      <c r="G20" s="1619" t="n">
        <f aca="false">'7.2.1 Turnover Vehicles'!G72*'7.5.3 VAT'!$C$8*('7.5.3 VAT'!$B$20/360)</f>
        <v>0</v>
      </c>
      <c r="H20" s="1619"/>
      <c r="I20" s="1619" t="n">
        <f aca="false">'7.2.1 Turnover Vehicles'!I72*'7.5.3 VAT'!$C$8*('7.5.3 VAT'!$B$20/360)</f>
        <v>0</v>
      </c>
      <c r="J20" s="1619"/>
      <c r="K20" s="1618" t="n">
        <f aca="false">'7.2.1 Turnover Vehicles'!K72*'7.5.3 VAT'!$C$8*('7.5.3 VAT'!$B$20/360)</f>
        <v>0</v>
      </c>
    </row>
    <row r="21" customFormat="false" ht="15" hidden="false" customHeight="false" outlineLevel="0" collapsed="false">
      <c r="A21" s="52" t="s">
        <v>693</v>
      </c>
      <c r="B21" s="328" t="n">
        <f aca="false">C$9/2+C$11</f>
        <v>16</v>
      </c>
      <c r="C21" s="1618" t="e">
        <f aca="false">('7.2.3 Turnover Service &amp; Body'!C38+'7.2.2 Turnover Parts'!C36)*'7.5.3 VAT'!$C$8*('7.5.3 VAT'!$B$21/360)</f>
        <v>#VALUE!</v>
      </c>
      <c r="D21" s="1619"/>
      <c r="E21" s="1619" t="e">
        <f aca="false">('7.2.3 Turnover Service &amp; Body'!E38+'7.2.2 Turnover Parts'!E36)*'7.5.3 VAT'!$C$8*('7.5.3 VAT'!$B$21/360)</f>
        <v>#VALUE!</v>
      </c>
      <c r="F21" s="1619"/>
      <c r="G21" s="1619" t="e">
        <f aca="false">('7.2.3 Turnover Service &amp; Body'!G38+'7.2.2 Turnover Parts'!G36)*'7.5.3 VAT'!$C$8*('7.5.3 VAT'!$B$21/360)</f>
        <v>#VALUE!</v>
      </c>
      <c r="H21" s="1619"/>
      <c r="I21" s="1619" t="e">
        <f aca="false">('7.2.3 Turnover Service &amp; Body'!I38+'7.2.2 Turnover Parts'!I36)*'7.5.3 VAT'!$C$8*('7.5.3 VAT'!$B$21/360)</f>
        <v>#VALUE!</v>
      </c>
      <c r="J21" s="1619"/>
      <c r="K21" s="1618" t="e">
        <f aca="false">('7.2.3 Turnover Service &amp; Body'!K38+'7.2.2 Turnover Parts'!K36)*'7.5.3 VAT'!$C$8*('7.5.3 VAT'!$B$21/360)</f>
        <v>#VALUE!</v>
      </c>
    </row>
    <row r="22" customFormat="false" ht="15" hidden="false" customHeight="false" outlineLevel="0" collapsed="false">
      <c r="A22" s="52" t="s">
        <v>694</v>
      </c>
      <c r="B22" s="328" t="n">
        <f aca="false">C$9/2+C$11</f>
        <v>16</v>
      </c>
      <c r="C22" s="1618" t="n">
        <f aca="false">('7.2.3 Turnover Service &amp; Body'!C41+'7.2.2 Turnover Parts'!C37)*'7.5.3 VAT'!$C$8*('7.5.3 VAT'!$B$22/360)</f>
        <v>0</v>
      </c>
      <c r="D22" s="1619"/>
      <c r="E22" s="1619" t="n">
        <f aca="false">('7.2.3 Turnover Service &amp; Body'!E41+'7.2.2 Turnover Parts'!E37)*'7.5.3 VAT'!$C$8*('7.5.3 VAT'!$B$22/360)</f>
        <v>0</v>
      </c>
      <c r="F22" s="1619"/>
      <c r="G22" s="1619" t="n">
        <f aca="false">('7.2.3 Turnover Service &amp; Body'!G41+'7.2.2 Turnover Parts'!G37)*'7.5.3 VAT'!$C$8*('7.5.3 VAT'!$B$22/360)</f>
        <v>0</v>
      </c>
      <c r="H22" s="1619"/>
      <c r="I22" s="1619" t="n">
        <f aca="false">('7.2.3 Turnover Service &amp; Body'!I41+'7.2.2 Turnover Parts'!I37)*'7.5.3 VAT'!$C$8*('7.5.3 VAT'!$B$22/360)</f>
        <v>0</v>
      </c>
      <c r="J22" s="1619"/>
      <c r="K22" s="1618" t="n">
        <f aca="false">('7.2.3 Turnover Service &amp; Body'!K41+'7.2.2 Turnover Parts'!K37)*'7.5.3 VAT'!$C$8*('7.5.3 VAT'!$B$22/360)</f>
        <v>0</v>
      </c>
    </row>
    <row r="23" customFormat="false" ht="15" hidden="false" customHeight="false" outlineLevel="0" collapsed="false">
      <c r="A23" s="52" t="s">
        <v>952</v>
      </c>
      <c r="B23" s="328" t="n">
        <f aca="false">C$9/2+C$11</f>
        <v>16</v>
      </c>
      <c r="C23" s="1618" t="n">
        <f aca="false">'7.2.2 Turnover Parts'!C41*'7.5.3 VAT'!$C$8*('7.5.3 VAT'!$B$23/360)</f>
        <v>0</v>
      </c>
      <c r="D23" s="1619"/>
      <c r="E23" s="1619" t="e">
        <f aca="false">'7.2.2 Turnover Parts'!E41*'7.5.3 VAT'!$C$8*('7.5.3 VAT'!$B$23/360)</f>
        <v>#VALUE!</v>
      </c>
      <c r="F23" s="1619"/>
      <c r="G23" s="1619" t="e">
        <f aca="false">'7.2.2 Turnover Parts'!G41*'7.5.3 VAT'!$C$8*('7.5.3 VAT'!$B$23/360)</f>
        <v>#VALUE!</v>
      </c>
      <c r="H23" s="1619"/>
      <c r="I23" s="1619" t="e">
        <f aca="false">'7.2.2 Turnover Parts'!I41*'7.5.3 VAT'!$C$8*('7.5.3 VAT'!$B$23/360)</f>
        <v>#VALUE!</v>
      </c>
      <c r="J23" s="1619"/>
      <c r="K23" s="1618" t="e">
        <f aca="false">'7.2.2 Turnover Parts'!K41*'7.5.3 VAT'!$C$8*('7.5.3 VAT'!$B$23/360)</f>
        <v>#VALUE!</v>
      </c>
    </row>
    <row r="24" customFormat="false" ht="15" hidden="false" customHeight="false" outlineLevel="0" collapsed="false">
      <c r="A24" s="52" t="s">
        <v>953</v>
      </c>
      <c r="B24" s="328" t="n">
        <f aca="false">C$9/2+C$11</f>
        <v>16</v>
      </c>
      <c r="C24" s="1618" t="e">
        <f aca="false">'7.2.2 Turnover Parts'!C42*'7.5.3 VAT'!$C$8*('7.5.3 VAT'!$B$24/360)</f>
        <v>#VALUE!</v>
      </c>
      <c r="D24" s="1619"/>
      <c r="E24" s="1619" t="e">
        <f aca="false">'7.2.2 Turnover Parts'!E42*'7.5.3 VAT'!$C$8*('7.5.3 VAT'!$B$24/360)</f>
        <v>#VALUE!</v>
      </c>
      <c r="F24" s="1619"/>
      <c r="G24" s="1619" t="e">
        <f aca="false">'7.2.2 Turnover Parts'!G42*'7.5.3 VAT'!$C$8*('7.5.3 VAT'!$B$24/360)</f>
        <v>#VALUE!</v>
      </c>
      <c r="H24" s="1619"/>
      <c r="I24" s="1619" t="e">
        <f aca="false">'7.2.2 Turnover Parts'!I42*'7.5.3 VAT'!$C$8*('7.5.3 VAT'!$B$24/360)</f>
        <v>#VALUE!</v>
      </c>
      <c r="J24" s="1619"/>
      <c r="K24" s="1618" t="e">
        <f aca="false">'7.2.2 Turnover Parts'!K42*'7.5.3 VAT'!$C$8*('7.5.3 VAT'!$B$24/360)</f>
        <v>#VALUE!</v>
      </c>
    </row>
    <row r="25" customFormat="false" ht="15" hidden="false" customHeight="false" outlineLevel="0" collapsed="false">
      <c r="A25" s="52" t="s">
        <v>871</v>
      </c>
      <c r="B25" s="328" t="n">
        <f aca="false">C$9/2+C$11</f>
        <v>16</v>
      </c>
      <c r="C25" s="1618" t="n">
        <f aca="false">'7.2.2 Turnover Parts'!C43*'7.5.3 VAT'!$C$8*('7.5.3 VAT'!$B$25/360)</f>
        <v>0</v>
      </c>
      <c r="D25" s="1619"/>
      <c r="E25" s="1619" t="n">
        <f aca="false">'7.2.2 Turnover Parts'!E43*'7.5.3 VAT'!$C$8*('7.5.3 VAT'!$B$25/360)</f>
        <v>0</v>
      </c>
      <c r="F25" s="1619"/>
      <c r="G25" s="1619" t="n">
        <f aca="false">'7.2.2 Turnover Parts'!G43*'7.5.3 VAT'!$C$8*('7.5.3 VAT'!$B$25/360)</f>
        <v>0</v>
      </c>
      <c r="H25" s="1619"/>
      <c r="I25" s="1619" t="n">
        <f aca="false">'7.2.2 Turnover Parts'!I43*'7.5.3 VAT'!$C$8*('7.5.3 VAT'!$B$25/360)</f>
        <v>0</v>
      </c>
      <c r="J25" s="1619"/>
      <c r="K25" s="1618" t="n">
        <f aca="false">'7.2.2 Turnover Parts'!K43*'7.5.3 VAT'!$C$8*('7.5.3 VAT'!$B$25/360)</f>
        <v>0</v>
      </c>
    </row>
    <row r="26" customFormat="false" ht="15" hidden="false" customHeight="false" outlineLevel="0" collapsed="false">
      <c r="A26" s="52" t="s">
        <v>182</v>
      </c>
      <c r="B26" s="328" t="n">
        <f aca="false">C$9/2+C$11</f>
        <v>16</v>
      </c>
      <c r="C26" s="1618" t="n">
        <f aca="false">'7.2.2 Turnover Parts'!C19*'7.5.3 VAT'!$C$8*('7.5.3 VAT'!$B$27/360)</f>
        <v>0</v>
      </c>
      <c r="D26" s="1619"/>
      <c r="E26" s="1619" t="n">
        <f aca="false">'7.2.2 Turnover Parts'!E19*'7.5.3 VAT'!$C$8*('7.5.3 VAT'!$B$27/360)</f>
        <v>0</v>
      </c>
      <c r="F26" s="1619"/>
      <c r="G26" s="1619" t="n">
        <f aca="false">'7.2.2 Turnover Parts'!G19*'7.5.3 VAT'!$C$8*('7.5.3 VAT'!$B$27/360)</f>
        <v>0</v>
      </c>
      <c r="H26" s="1619"/>
      <c r="I26" s="1619" t="n">
        <f aca="false">'7.2.2 Turnover Parts'!I19*'7.5.3 VAT'!$C$8*('7.5.3 VAT'!$B$27/360)</f>
        <v>0</v>
      </c>
      <c r="J26" s="1619"/>
      <c r="K26" s="1618" t="n">
        <f aca="false">'7.2.2 Turnover Parts'!K19*'7.5.3 VAT'!$C$8*('7.5.3 VAT'!$B$27/360)</f>
        <v>0</v>
      </c>
    </row>
    <row r="27" customFormat="false" ht="15" hidden="false" customHeight="false" outlineLevel="0" collapsed="false">
      <c r="A27" s="52" t="s">
        <v>700</v>
      </c>
      <c r="B27" s="328" t="n">
        <f aca="false">C$9/2+C$11</f>
        <v>16</v>
      </c>
      <c r="C27" s="1620" t="e">
        <f aca="false">'7.2.2 Turnover Parts'!C20*'7.5.3 VAT'!$C$8*('7.5.3 VAT'!$B$27/360)</f>
        <v>#VALUE!</v>
      </c>
      <c r="D27" s="1619"/>
      <c r="E27" s="1621" t="n">
        <f aca="false">'7.2.2 Turnover Parts'!E20*'7.5.3 VAT'!$C$8*('7.5.3 VAT'!$B$27/360)</f>
        <v>0</v>
      </c>
      <c r="F27" s="1619"/>
      <c r="G27" s="1621" t="n">
        <f aca="false">'7.2.2 Turnover Parts'!G20*'7.5.3 VAT'!$C$8*('7.5.3 VAT'!$B$27/360)</f>
        <v>0</v>
      </c>
      <c r="H27" s="1619"/>
      <c r="I27" s="1621" t="n">
        <f aca="false">'7.2.2 Turnover Parts'!I20*'7.5.3 VAT'!$C$8*('7.5.3 VAT'!$B$27/360)</f>
        <v>0</v>
      </c>
      <c r="J27" s="1619"/>
      <c r="K27" s="1620" t="n">
        <f aca="false">'7.2.2 Turnover Parts'!K20*'7.5.3 VAT'!$C$8*('7.5.3 VAT'!$B$27/360)</f>
        <v>0</v>
      </c>
    </row>
    <row r="28" customFormat="false" ht="18" hidden="false" customHeight="false" outlineLevel="0" collapsed="false">
      <c r="A28" s="1622" t="s">
        <v>954</v>
      </c>
      <c r="B28" s="353"/>
      <c r="C28" s="1030" t="e">
        <f aca="false">SUM(C18:C27)</f>
        <v>#VALUE!</v>
      </c>
      <c r="D28" s="74"/>
      <c r="E28" s="1269" t="e">
        <f aca="false">SUM(E18:E27)</f>
        <v>#VALUE!</v>
      </c>
      <c r="F28" s="74"/>
      <c r="G28" s="1269" t="e">
        <f aca="false">SUM(G18:G27)</f>
        <v>#VALUE!</v>
      </c>
      <c r="H28" s="74"/>
      <c r="I28" s="1269" t="e">
        <f aca="false">SUM(I18:I27)</f>
        <v>#VALUE!</v>
      </c>
      <c r="J28" s="74"/>
      <c r="K28" s="1030" t="e">
        <f aca="false">SUM(K18:K27)</f>
        <v>#VALUE!</v>
      </c>
      <c r="O28" s="48"/>
    </row>
    <row r="29" customFormat="false" ht="18" hidden="false" customHeight="false" outlineLevel="0" collapsed="false">
      <c r="A29" s="1623"/>
      <c r="B29" s="1624"/>
      <c r="C29" s="1625"/>
      <c r="D29" s="1626"/>
      <c r="E29" s="1627"/>
      <c r="F29" s="1626"/>
      <c r="G29" s="1627"/>
      <c r="H29" s="1626"/>
      <c r="I29" s="1627"/>
      <c r="J29" s="1626"/>
      <c r="K29" s="1625"/>
      <c r="O29" s="48"/>
    </row>
    <row r="30" s="48" customFormat="true" ht="15" hidden="false" customHeight="false" outlineLevel="0" collapsed="false"/>
    <row r="31" customFormat="false" ht="18.75" hidden="false" customHeight="false" outlineLevel="0" collapsed="false">
      <c r="A31" s="839" t="s">
        <v>955</v>
      </c>
      <c r="B31" s="1559"/>
      <c r="C31" s="133"/>
      <c r="D31" s="132"/>
      <c r="E31" s="132"/>
      <c r="F31" s="132"/>
      <c r="G31" s="1560"/>
      <c r="H31" s="132"/>
      <c r="I31" s="132"/>
      <c r="J31" s="132"/>
      <c r="K31" s="1561"/>
    </row>
    <row r="32" customFormat="false" ht="15" hidden="false" customHeight="false" outlineLevel="0" collapsed="false">
      <c r="A32" s="506" t="s">
        <v>956</v>
      </c>
      <c r="B32" s="1628" t="s">
        <v>951</v>
      </c>
      <c r="C32" s="321"/>
      <c r="D32" s="320"/>
      <c r="E32" s="320"/>
      <c r="F32" s="320"/>
      <c r="G32" s="320"/>
      <c r="H32" s="320"/>
      <c r="I32" s="320"/>
      <c r="J32" s="320"/>
      <c r="K32" s="321"/>
    </row>
    <row r="33" customFormat="false" ht="15" hidden="false" customHeight="false" outlineLevel="0" collapsed="false">
      <c r="A33" s="52" t="s">
        <v>957</v>
      </c>
      <c r="B33" s="328" t="n">
        <f aca="false">(C$9/2+C$12)</f>
        <v>16</v>
      </c>
      <c r="C33" s="1618" t="n">
        <f aca="false">'7.4.3 Inv. &amp; Depr.'!D57*'7.5.3 VAT'!$C$8*('7.5.3 VAT'!$B$33/360)</f>
        <v>5488.88888888889</v>
      </c>
      <c r="D33" s="1619"/>
      <c r="E33" s="1619" t="n">
        <f aca="false">'7.4.3 Inv. &amp; Depr.'!F57*'7.5.3 VAT'!$C$8*('7.5.3 VAT'!$B$33/360)</f>
        <v>0</v>
      </c>
      <c r="F33" s="1619"/>
      <c r="G33" s="1619" t="n">
        <f aca="false">'7.4.3 Inv. &amp; Depr.'!H57*'7.5.3 VAT'!$C$8*('7.5.3 VAT'!$B$33/360)</f>
        <v>0</v>
      </c>
      <c r="H33" s="1619"/>
      <c r="I33" s="1619" t="n">
        <f aca="false">'7.4.3 Inv. &amp; Depr.'!J57*'7.5.3 VAT'!$C$8*('7.5.3 VAT'!$B$33/360)</f>
        <v>0</v>
      </c>
      <c r="J33" s="1619"/>
      <c r="K33" s="1618" t="n">
        <f aca="false">'7.4.3 Inv. &amp; Depr.'!L57*'7.5.3 VAT'!$C$8*('7.5.3 VAT'!$B$33/360)</f>
        <v>0</v>
      </c>
    </row>
    <row r="34" customFormat="false" ht="15" hidden="false" customHeight="false" outlineLevel="0" collapsed="false">
      <c r="A34" s="52" t="s">
        <v>958</v>
      </c>
      <c r="B34" s="328" t="n">
        <f aca="false">(C$9/2+C$12)</f>
        <v>16</v>
      </c>
      <c r="C34" s="1618" t="n">
        <f aca="false">'7.4.3 Inv. &amp; Depr.'!D58*'7.5.3 VAT'!$C$8*('7.5.3 VAT'!$B$34/360)</f>
        <v>2955.55555555556</v>
      </c>
      <c r="D34" s="1619"/>
      <c r="E34" s="1619" t="n">
        <f aca="false">'7.4.3 Inv. &amp; Depr.'!F58*'7.5.3 VAT'!$C$8*('7.5.3 VAT'!$B$34/360)</f>
        <v>84.4444444444444</v>
      </c>
      <c r="F34" s="1619"/>
      <c r="G34" s="1619" t="n">
        <f aca="false">'7.4.3 Inv. &amp; Depr.'!H58*'7.5.3 VAT'!$C$8*('7.5.3 VAT'!$B$34/360)</f>
        <v>84.4444444444444</v>
      </c>
      <c r="H34" s="1619"/>
      <c r="I34" s="1619" t="n">
        <f aca="false">'7.4.3 Inv. &amp; Depr.'!J58*'7.5.3 VAT'!$C$8*('7.5.3 VAT'!$B$34/360)</f>
        <v>84.4444444444444</v>
      </c>
      <c r="J34" s="1619"/>
      <c r="K34" s="1618" t="n">
        <f aca="false">'7.4.3 Inv. &amp; Depr.'!L58*'7.5.3 VAT'!$C$8*('7.5.3 VAT'!$B$34/360)</f>
        <v>84.4444444444444</v>
      </c>
    </row>
    <row r="35" customFormat="false" ht="15" hidden="false" customHeight="false" outlineLevel="0" collapsed="false">
      <c r="A35" s="52" t="s">
        <v>959</v>
      </c>
      <c r="B35" s="328" t="n">
        <f aca="false">(C$9/2+C$12)</f>
        <v>16</v>
      </c>
      <c r="C35" s="1618" t="n">
        <f aca="false">'7.4.3 Inv. &amp; Depr.'!D59*'7.5.3 VAT'!$C$8*('7.5.3 VAT'!$B$35/360)</f>
        <v>1688.88888888889</v>
      </c>
      <c r="D35" s="1619"/>
      <c r="E35" s="1619" t="n">
        <f aca="false">'7.4.3 Inv. &amp; Depr.'!F59*'7.5.3 VAT'!$C$8*('7.5.3 VAT'!$B$35/360)</f>
        <v>168.888888888889</v>
      </c>
      <c r="F35" s="1619"/>
      <c r="G35" s="1619" t="n">
        <f aca="false">'7.4.3 Inv. &amp; Depr.'!H59*'7.5.3 VAT'!$C$8*('7.5.3 VAT'!$B$35/360)</f>
        <v>168.888888888889</v>
      </c>
      <c r="H35" s="1619"/>
      <c r="I35" s="1619" t="n">
        <f aca="false">'7.4.3 Inv. &amp; Depr.'!J59*'7.5.3 VAT'!$C$8*('7.5.3 VAT'!$B$35/360)</f>
        <v>168.888888888889</v>
      </c>
      <c r="J35" s="1619"/>
      <c r="K35" s="1618" t="n">
        <f aca="false">'7.4.3 Inv. &amp; Depr.'!L59*'7.5.3 VAT'!$C$8*('7.5.3 VAT'!$B$35/360)</f>
        <v>168.888888888889</v>
      </c>
    </row>
    <row r="36" customFormat="false" ht="15" hidden="false" customHeight="false" outlineLevel="0" collapsed="false">
      <c r="A36" s="52" t="s">
        <v>960</v>
      </c>
      <c r="B36" s="328" t="n">
        <f aca="false">(C$9/2+C$12)</f>
        <v>16</v>
      </c>
      <c r="C36" s="1618" t="n">
        <f aca="false">'7.4.3 Inv. &amp; Depr.'!D60*'7.5.3 VAT'!$C$8*('7.5.3 VAT'!$B$35/360)</f>
        <v>380</v>
      </c>
      <c r="D36" s="1619"/>
      <c r="E36" s="1619" t="n">
        <f aca="false">'7.4.3 Inv. &amp; Depr.'!F60*'7.5.3 VAT'!$C$8*('7.5.3 VAT'!$B$35/360)</f>
        <v>16.8888888888889</v>
      </c>
      <c r="F36" s="1619"/>
      <c r="G36" s="1619" t="n">
        <f aca="false">'7.4.3 Inv. &amp; Depr.'!H60*'7.5.3 VAT'!$C$8*('7.5.3 VAT'!$B$35/360)</f>
        <v>16.8888888888889</v>
      </c>
      <c r="H36" s="1619"/>
      <c r="I36" s="1619" t="n">
        <f aca="false">'7.4.3 Inv. &amp; Depr.'!J60*'7.5.3 VAT'!$C$8*('7.5.3 VAT'!$B$35/360)</f>
        <v>16.8888888888889</v>
      </c>
      <c r="J36" s="1619"/>
      <c r="K36" s="1618" t="n">
        <f aca="false">'7.4.3 Inv. &amp; Depr.'!L60*'7.5.3 VAT'!$C$8*('7.5.3 VAT'!$B$35/360)</f>
        <v>16.8888888888889</v>
      </c>
    </row>
    <row r="37" customFormat="false" ht="15" hidden="false" customHeight="false" outlineLevel="0" collapsed="false">
      <c r="A37" s="52" t="s">
        <v>961</v>
      </c>
      <c r="B37" s="328" t="n">
        <f aca="false">(C$9/2+C$12)</f>
        <v>16</v>
      </c>
      <c r="C37" s="1618" t="n">
        <f aca="false">'7.4.3 Inv. &amp; Depr.'!D61*'7.5.3 VAT'!$C$8*('7.5.3 VAT'!$B$35/360)</f>
        <v>337.777777777778</v>
      </c>
      <c r="D37" s="1619"/>
      <c r="E37" s="1619" t="n">
        <f aca="false">'7.4.3 Inv. &amp; Depr.'!F61*'7.5.3 VAT'!$C$8*('7.5.3 VAT'!$B$35/360)</f>
        <v>13.6208888888889</v>
      </c>
      <c r="F37" s="1619"/>
      <c r="G37" s="1619" t="n">
        <f aca="false">'7.4.3 Inv. &amp; Depr.'!H61*'7.5.3 VAT'!$C$8*('7.5.3 VAT'!$B$35/360)</f>
        <v>16.34</v>
      </c>
      <c r="H37" s="1619"/>
      <c r="I37" s="1619" t="n">
        <f aca="false">'7.4.3 Inv. &amp; Depr.'!J61*'7.5.3 VAT'!$C$8*('7.5.3 VAT'!$B$35/360)</f>
        <v>21.7951111111111</v>
      </c>
      <c r="J37" s="1619"/>
      <c r="K37" s="1618" t="n">
        <f aca="false">'7.4.3 Inv. &amp; Depr.'!L61*'7.5.3 VAT'!$C$8*('7.5.3 VAT'!$B$35/360)</f>
        <v>27.2417777777778</v>
      </c>
    </row>
    <row r="38" customFormat="false" ht="15" hidden="false" customHeight="false" outlineLevel="0" collapsed="false">
      <c r="A38" s="52" t="s">
        <v>962</v>
      </c>
      <c r="B38" s="328" t="n">
        <f aca="false">(C$9/2+C$12)</f>
        <v>16</v>
      </c>
      <c r="C38" s="1618" t="n">
        <f aca="false">'7.4.3 Inv. &amp; Depr.'!D62*'7.5.3 VAT'!$C$8*('7.5.3 VAT'!$B$38/360)</f>
        <v>1097.77777777778</v>
      </c>
      <c r="D38" s="1619"/>
      <c r="E38" s="1619" t="n">
        <f aca="false">'7.4.3 Inv. &amp; Depr.'!F62*'7.5.3 VAT'!$C$8*('7.5.3 VAT'!$B$38/360)</f>
        <v>190.684</v>
      </c>
      <c r="F38" s="1619"/>
      <c r="G38" s="1619" t="n">
        <f aca="false">'7.4.3 Inv. &amp; Depr.'!H62*'7.5.3 VAT'!$C$8*('7.5.3 VAT'!$B$38/360)</f>
        <v>217.917333333333</v>
      </c>
      <c r="H38" s="1619"/>
      <c r="I38" s="1619" t="n">
        <f aca="false">'7.4.3 Inv. &amp; Depr.'!J62*'7.5.3 VAT'!$C$8*('7.5.3 VAT'!$B$38/360)</f>
        <v>272.400888888889</v>
      </c>
      <c r="J38" s="1619"/>
      <c r="K38" s="1618" t="n">
        <f aca="false">'7.4.3 Inv. &amp; Depr.'!L62*'7.5.3 VAT'!$C$8*('7.5.3 VAT'!$B$38/360)</f>
        <v>326.884444444444</v>
      </c>
    </row>
    <row r="39" customFormat="false" ht="15" hidden="false" customHeight="false" outlineLevel="0" collapsed="false">
      <c r="A39" s="52" t="s">
        <v>798</v>
      </c>
      <c r="B39" s="328" t="n">
        <f aca="false">(C$9/2+C$12)</f>
        <v>16</v>
      </c>
      <c r="C39" s="1618" t="n">
        <f aca="false">'7.4.3 Inv. &amp; Depr.'!D63*'7.5.3 VAT'!$C$8*('7.5.3 VAT'!$B$39/360)</f>
        <v>0</v>
      </c>
      <c r="D39" s="1619"/>
      <c r="E39" s="1619" t="n">
        <f aca="false">'7.4.3 Inv. &amp; Depr.'!F63*'7.5.3 VAT'!$C$8*('7.5.3 VAT'!$B$39/360)</f>
        <v>0</v>
      </c>
      <c r="F39" s="1619"/>
      <c r="G39" s="1619" t="n">
        <f aca="false">'7.4.3 Inv. &amp; Depr.'!H63*'7.5.3 VAT'!$C$8*('7.5.3 VAT'!$B$39/360)</f>
        <v>0</v>
      </c>
      <c r="H39" s="1619"/>
      <c r="I39" s="1619" t="n">
        <f aca="false">'7.4.3 Inv. &amp; Depr.'!J63*'7.5.3 VAT'!$C$8*('7.5.3 VAT'!$B$39/360)</f>
        <v>0</v>
      </c>
      <c r="J39" s="1619"/>
      <c r="K39" s="1618" t="n">
        <f aca="false">'7.4.3 Inv. &amp; Depr.'!L63*'7.5.3 VAT'!$C$8*('7.5.3 VAT'!$B$39/360)</f>
        <v>0</v>
      </c>
    </row>
    <row r="40" customFormat="false" ht="15" hidden="false" customHeight="false" outlineLevel="0" collapsed="false">
      <c r="A40" s="52" t="s">
        <v>963</v>
      </c>
      <c r="B40" s="328" t="n">
        <f aca="false">(C$9/2+C$12)</f>
        <v>16</v>
      </c>
      <c r="C40" s="1620" t="n">
        <f aca="false">'7.4.3 Inv. &amp; Depr.'!D64*'7.5.3 VAT'!$C$8*('7.5.3 VAT'!$B$40/360)</f>
        <v>0</v>
      </c>
      <c r="D40" s="1619"/>
      <c r="E40" s="1621" t="n">
        <f aca="false">'7.4.3 Inv. &amp; Depr.'!F64*'7.5.3 VAT'!$C$8*('7.5.3 VAT'!$B$40/360)</f>
        <v>0</v>
      </c>
      <c r="F40" s="1619"/>
      <c r="G40" s="1621" t="n">
        <f aca="false">'7.4.3 Inv. &amp; Depr.'!H64*'7.5.3 VAT'!$C$8*('7.5.3 VAT'!$B$40/360)</f>
        <v>0</v>
      </c>
      <c r="H40" s="1619"/>
      <c r="I40" s="1621" t="n">
        <f aca="false">'7.4.3 Inv. &amp; Depr.'!J64*'7.5.3 VAT'!$C$8*('7.5.3 VAT'!$B$40/360)</f>
        <v>0</v>
      </c>
      <c r="J40" s="1619"/>
      <c r="K40" s="1620" t="n">
        <f aca="false">'7.4.3 Inv. &amp; Depr.'!L64*'7.5.3 VAT'!$C$8*('7.5.3 VAT'!$B$40/360)</f>
        <v>0</v>
      </c>
    </row>
    <row r="41" s="273" customFormat="true" ht="15" hidden="false" customHeight="false" outlineLevel="0" collapsed="false">
      <c r="A41" s="562" t="s">
        <v>293</v>
      </c>
      <c r="B41" s="353"/>
      <c r="C41" s="1030" t="n">
        <f aca="false">SUM(C33:C40)</f>
        <v>11948.8888888889</v>
      </c>
      <c r="D41" s="1269"/>
      <c r="E41" s="1269" t="n">
        <f aca="false">SUM(E33:E40)</f>
        <v>474.527111111111</v>
      </c>
      <c r="F41" s="1269"/>
      <c r="G41" s="1269" t="n">
        <f aca="false">SUM(G33:G40)</f>
        <v>504.479555555556</v>
      </c>
      <c r="H41" s="1269"/>
      <c r="I41" s="1269" t="n">
        <f aca="false">SUM(I33:I40)</f>
        <v>564.418222222222</v>
      </c>
      <c r="J41" s="1269"/>
      <c r="K41" s="1030" t="n">
        <f aca="false">SUM(K33:K40)</f>
        <v>624.348444444444</v>
      </c>
    </row>
    <row r="42" customFormat="false" ht="15" hidden="false" customHeight="false" outlineLevel="0" collapsed="false">
      <c r="A42" s="52"/>
      <c r="B42" s="328"/>
      <c r="C42" s="323"/>
      <c r="D42" s="71"/>
      <c r="E42" s="71"/>
      <c r="F42" s="71"/>
      <c r="G42" s="71"/>
      <c r="H42" s="71"/>
      <c r="I42" s="71"/>
      <c r="J42" s="71"/>
      <c r="K42" s="323"/>
    </row>
    <row r="43" customFormat="false" ht="15" hidden="false" customHeight="false" outlineLevel="0" collapsed="false">
      <c r="A43" s="52" t="s">
        <v>964</v>
      </c>
      <c r="B43" s="328"/>
      <c r="C43" s="323"/>
      <c r="D43" s="71"/>
      <c r="E43" s="71"/>
      <c r="F43" s="71"/>
      <c r="G43" s="71"/>
      <c r="H43" s="71"/>
      <c r="I43" s="71"/>
      <c r="J43" s="71"/>
      <c r="K43" s="323"/>
    </row>
    <row r="44" customFormat="false" ht="15" hidden="false" customHeight="false" outlineLevel="0" collapsed="false">
      <c r="A44" s="52" t="s">
        <v>866</v>
      </c>
      <c r="B44" s="328" t="n">
        <f aca="false">(C$9/2+C$12)</f>
        <v>16</v>
      </c>
      <c r="C44" s="1618" t="n">
        <f aca="false">('7.3 Cost of sales'!C58+'7.3 Cost of sales'!C59)*$C$8*('7.5.3 VAT'!$B$44/360)</f>
        <v>-0.0844444444444444</v>
      </c>
      <c r="D44" s="1619"/>
      <c r="E44" s="1619" t="n">
        <f aca="false">('7.3 Cost of sales'!E58+'7.3 Cost of sales'!E59)*$C$8*('7.5.3 VAT'!$B$44/360)</f>
        <v>0</v>
      </c>
      <c r="F44" s="1619"/>
      <c r="G44" s="1619" t="n">
        <f aca="false">('7.3 Cost of sales'!G58+'7.3 Cost of sales'!G59)*$C$8*('7.5.3 VAT'!$B$44/360)</f>
        <v>0</v>
      </c>
      <c r="H44" s="1619"/>
      <c r="I44" s="1619" t="n">
        <f aca="false">('7.3 Cost of sales'!I58+'7.3 Cost of sales'!I59)*$C$8*('7.5.3 VAT'!$B$44/360)</f>
        <v>0</v>
      </c>
      <c r="J44" s="1619"/>
      <c r="K44" s="1618" t="n">
        <f aca="false">('7.3 Cost of sales'!K58+'7.3 Cost of sales'!K59)*$C$8*('7.5.3 VAT'!$B$44/360)</f>
        <v>0</v>
      </c>
    </row>
    <row r="45" customFormat="false" ht="15" hidden="false" customHeight="false" outlineLevel="0" collapsed="false">
      <c r="A45" s="52" t="s">
        <v>867</v>
      </c>
      <c r="B45" s="328" t="n">
        <f aca="false">(C$9/2+C$12)</f>
        <v>16</v>
      </c>
      <c r="C45" s="1618" t="n">
        <f aca="false">'7.3 Cost of sales'!C60*$C$8*('7.5.3 VAT'!$B45/360)</f>
        <v>0</v>
      </c>
      <c r="D45" s="1619"/>
      <c r="E45" s="1619" t="n">
        <f aca="false">'7.3 Cost of sales'!E60*$C$8*('7.5.3 VAT'!$B45/360)</f>
        <v>0</v>
      </c>
      <c r="F45" s="1619"/>
      <c r="G45" s="1619" t="n">
        <f aca="false">'7.3 Cost of sales'!G60*$C$8*('7.5.3 VAT'!$B45/360)</f>
        <v>0</v>
      </c>
      <c r="H45" s="1619"/>
      <c r="I45" s="1619" t="n">
        <f aca="false">'7.3 Cost of sales'!I60*$C$8*('7.5.3 VAT'!$B45/360)</f>
        <v>0</v>
      </c>
      <c r="J45" s="1619"/>
      <c r="K45" s="1618" t="n">
        <f aca="false">'7.3 Cost of sales'!K60*$C$8*('7.5.3 VAT'!$B45/360)</f>
        <v>0</v>
      </c>
    </row>
    <row r="46" customFormat="false" ht="15" hidden="false" customHeight="false" outlineLevel="0" collapsed="false">
      <c r="A46" s="52" t="s">
        <v>868</v>
      </c>
      <c r="B46" s="328" t="n">
        <f aca="false">(C$9/2+C$12)</f>
        <v>16</v>
      </c>
      <c r="C46" s="1618" t="n">
        <f aca="false">'7.3 Cost of sales'!C61*$C$8*('7.5.3 VAT'!$B46/360)</f>
        <v>0</v>
      </c>
      <c r="D46" s="1619"/>
      <c r="E46" s="1619" t="n">
        <f aca="false">'7.3 Cost of sales'!E61*$C$8*('7.5.3 VAT'!$B46/360)</f>
        <v>0</v>
      </c>
      <c r="F46" s="1619"/>
      <c r="G46" s="1619" t="n">
        <f aca="false">'7.3 Cost of sales'!G61*$C$8*('7.5.3 VAT'!$B46/360)</f>
        <v>0</v>
      </c>
      <c r="H46" s="1619"/>
      <c r="I46" s="1619" t="n">
        <f aca="false">'7.3 Cost of sales'!I61*$C$8*('7.5.3 VAT'!$B46/360)</f>
        <v>0</v>
      </c>
      <c r="J46" s="1619"/>
      <c r="K46" s="1618" t="n">
        <f aca="false">'7.3 Cost of sales'!K61*$C$8*('7.5.3 VAT'!$B46/360)</f>
        <v>0</v>
      </c>
    </row>
    <row r="47" customFormat="false" ht="15" hidden="false" customHeight="false" outlineLevel="0" collapsed="false">
      <c r="A47" s="52" t="s">
        <v>965</v>
      </c>
      <c r="B47" s="328" t="n">
        <f aca="false">(C$9/2+C$12)</f>
        <v>16</v>
      </c>
      <c r="C47" s="1618" t="e">
        <f aca="false">('7.3 Cost of sales'!C76+'7.3 Cost of sales'!C80)*$C$8*('7.5.3 VAT'!$B47/360)</f>
        <v>#VALUE!</v>
      </c>
      <c r="D47" s="1619"/>
      <c r="E47" s="1619" t="e">
        <f aca="false">('7.3 Cost of sales'!E76+'7.3 Cost of sales'!E80)*$C$8*('7.5.3 VAT'!$B$47/360)</f>
        <v>#VALUE!</v>
      </c>
      <c r="F47" s="1619"/>
      <c r="G47" s="1619" t="e">
        <f aca="false">('7.3 Cost of sales'!G76+'7.3 Cost of sales'!G80)*$C$8*('7.5.3 VAT'!$B$47/360)</f>
        <v>#VALUE!</v>
      </c>
      <c r="H47" s="1619"/>
      <c r="I47" s="1619" t="e">
        <f aca="false">('7.3 Cost of sales'!I76+'7.3 Cost of sales'!I80)*$C$8*('7.5.3 VAT'!$B$47/360)</f>
        <v>#VALUE!</v>
      </c>
      <c r="J47" s="1619"/>
      <c r="K47" s="1618" t="e">
        <f aca="false">('7.3 Cost of sales'!K76+'7.3 Cost of sales'!K80)*$C$8*('7.5.3 VAT'!$B$47/360)</f>
        <v>#VALUE!</v>
      </c>
    </row>
    <row r="48" customFormat="false" ht="15" hidden="false" customHeight="false" outlineLevel="0" collapsed="false">
      <c r="A48" s="52" t="s">
        <v>966</v>
      </c>
      <c r="B48" s="328" t="n">
        <f aca="false">(C$9/2+C$12)</f>
        <v>16</v>
      </c>
      <c r="C48" s="1618" t="n">
        <f aca="false">('7.3 Cost of sales'!C77+'7.3 Cost of sales'!C82)*$C$8*('7.5.3 VAT'!$B48/360)</f>
        <v>0</v>
      </c>
      <c r="D48" s="1619"/>
      <c r="E48" s="1619" t="n">
        <f aca="false">('7.3 Cost of sales'!E77+'7.3 Cost of sales'!E82)*$C$8*('7.5.3 VAT'!$B48/360)</f>
        <v>0</v>
      </c>
      <c r="F48" s="1619"/>
      <c r="G48" s="1619" t="n">
        <f aca="false">('7.3 Cost of sales'!G77+'7.3 Cost of sales'!G82)*$C$8*('7.5.3 VAT'!$B48/360)</f>
        <v>0</v>
      </c>
      <c r="H48" s="1619"/>
      <c r="I48" s="1619" t="n">
        <f aca="false">('7.3 Cost of sales'!I77+'7.3 Cost of sales'!I82)*$C$8*('7.5.3 VAT'!$B48/360)</f>
        <v>0</v>
      </c>
      <c r="J48" s="1619"/>
      <c r="K48" s="1618" t="n">
        <f aca="false">('7.3 Cost of sales'!K77+'7.3 Cost of sales'!K82)*$C$8*('7.5.3 VAT'!$B48/360)</f>
        <v>0</v>
      </c>
    </row>
    <row r="49" customFormat="false" ht="15" hidden="false" customHeight="false" outlineLevel="0" collapsed="false">
      <c r="A49" s="52" t="s">
        <v>182</v>
      </c>
      <c r="B49" s="328" t="n">
        <f aca="false">(C$9/2+C$12)</f>
        <v>16</v>
      </c>
      <c r="C49" s="1618" t="n">
        <f aca="false">'7.3 Cost of sales'!C83*$C$8*('7.5.3 VAT'!$B49/360)</f>
        <v>0</v>
      </c>
      <c r="D49" s="1619"/>
      <c r="E49" s="1619" t="n">
        <f aca="false">'7.3 Cost of sales'!E83*$C$8*('7.5.3 VAT'!$B49/360)</f>
        <v>0</v>
      </c>
      <c r="F49" s="1619"/>
      <c r="G49" s="1619" t="n">
        <f aca="false">'7.3 Cost of sales'!G83*$C$8*('7.5.3 VAT'!$B49/360)</f>
        <v>0</v>
      </c>
      <c r="H49" s="1619"/>
      <c r="I49" s="1619" t="n">
        <f aca="false">'7.3 Cost of sales'!I83*$C$8*('7.5.3 VAT'!$B49/360)</f>
        <v>0</v>
      </c>
      <c r="J49" s="1619"/>
      <c r="K49" s="1618" t="n">
        <f aca="false">'7.3 Cost of sales'!K83*$C$8*('7.5.3 VAT'!$B49/360)</f>
        <v>0</v>
      </c>
    </row>
    <row r="50" customFormat="false" ht="15" hidden="false" customHeight="false" outlineLevel="0" collapsed="false">
      <c r="A50" s="52" t="s">
        <v>700</v>
      </c>
      <c r="B50" s="328" t="n">
        <f aca="false">(C$9/2+C$12)</f>
        <v>16</v>
      </c>
      <c r="C50" s="1620" t="e">
        <f aca="false">'7.3 Cost of sales'!C84*$C$8*('7.5.3 VAT'!$B50/360)</f>
        <v>#VALUE!</v>
      </c>
      <c r="D50" s="1619"/>
      <c r="E50" s="1621" t="n">
        <f aca="false">'7.3 Cost of sales'!E84*$C$8*('7.5.3 VAT'!$B50/360)</f>
        <v>0</v>
      </c>
      <c r="F50" s="1619"/>
      <c r="G50" s="1621" t="n">
        <f aca="false">'7.3 Cost of sales'!G84*$C$8*('7.5.3 VAT'!$B50/360)</f>
        <v>0</v>
      </c>
      <c r="H50" s="1619"/>
      <c r="I50" s="1621" t="n">
        <f aca="false">'7.3 Cost of sales'!I84*$C$8*('7.5.3 VAT'!$B50/360)</f>
        <v>0</v>
      </c>
      <c r="J50" s="1619"/>
      <c r="K50" s="1620" t="n">
        <f aca="false">'7.3 Cost of sales'!K84*$C$8*('7.5.3 VAT'!$B50/360)</f>
        <v>0</v>
      </c>
    </row>
    <row r="51" s="273" customFormat="true" ht="15" hidden="false" customHeight="false" outlineLevel="0" collapsed="false">
      <c r="A51" s="562" t="s">
        <v>293</v>
      </c>
      <c r="B51" s="353"/>
      <c r="C51" s="1030" t="e">
        <f aca="false">SUM(C44:C50)</f>
        <v>#VALUE!</v>
      </c>
      <c r="D51" s="1269"/>
      <c r="E51" s="1269" t="e">
        <f aca="false">SUM(E44:E50)</f>
        <v>#VALUE!</v>
      </c>
      <c r="F51" s="1269"/>
      <c r="G51" s="1269" t="e">
        <f aca="false">SUM(G44:G50)</f>
        <v>#VALUE!</v>
      </c>
      <c r="H51" s="1269"/>
      <c r="I51" s="1269" t="e">
        <f aca="false">SUM(I44:I50)</f>
        <v>#VALUE!</v>
      </c>
      <c r="J51" s="1269"/>
      <c r="K51" s="1030" t="e">
        <f aca="false">SUM(K44:K50)</f>
        <v>#VALUE!</v>
      </c>
    </row>
    <row r="52" customFormat="false" ht="15" hidden="false" customHeight="false" outlineLevel="0" collapsed="false">
      <c r="A52" s="52"/>
      <c r="B52" s="328"/>
      <c r="C52" s="1618"/>
      <c r="D52" s="1619"/>
      <c r="E52" s="1619"/>
      <c r="F52" s="1619"/>
      <c r="G52" s="1619"/>
      <c r="H52" s="1619"/>
      <c r="I52" s="1619"/>
      <c r="J52" s="1619"/>
      <c r="K52" s="1618"/>
    </row>
    <row r="53" customFormat="false" ht="15" hidden="false" customHeight="false" outlineLevel="0" collapsed="false">
      <c r="A53" s="52" t="s">
        <v>967</v>
      </c>
      <c r="B53" s="328" t="n">
        <f aca="false">(C9/2+C12)</f>
        <v>16</v>
      </c>
      <c r="C53" s="1618" t="n">
        <f aca="false">('7.4.2 Selling &amp; Oper. expenses'!C57-'7.4.2 Selling &amp; Oper. expenses'!C51-'7.4.2 Selling &amp; Oper. expenses'!C52-'7.4.2 Selling &amp; Oper. expenses'!C53)*$C$8*('7.5.3 VAT'!$B53/360)</f>
        <v>2073.38133333333</v>
      </c>
      <c r="D53" s="1619"/>
      <c r="E53" s="1619" t="n">
        <f aca="false">('7.4.2 Selling &amp; Oper. expenses'!E57-'7.4.2 Selling &amp; Oper. expenses'!E51-'7.4.2 Selling &amp; Oper. expenses'!E52-'7.4.2 Selling &amp; Oper. expenses'!E53)*$C$8*('7.5.3 VAT'!$B53/360)</f>
        <v>1889.37688888889</v>
      </c>
      <c r="F53" s="1619"/>
      <c r="G53" s="1619" t="n">
        <f aca="false">('7.4.2 Selling &amp; Oper. expenses'!G57-'7.4.2 Selling &amp; Oper. expenses'!G51-'7.4.2 Selling &amp; Oper. expenses'!G52-'7.4.2 Selling &amp; Oper. expenses'!G53)*$C$8*('7.5.3 VAT'!$B53/360)</f>
        <v>1698.68444444444</v>
      </c>
      <c r="H53" s="1619"/>
      <c r="I53" s="1619" t="n">
        <f aca="false">('7.4.2 Selling &amp; Oper. expenses'!I57-'7.4.2 Selling &amp; Oper. expenses'!I51-'7.4.2 Selling &amp; Oper. expenses'!I52-'7.4.2 Selling &amp; Oper. expenses'!I53)*$C$8*('7.5.3 VAT'!$B53/360)</f>
        <v>1747.72977777778</v>
      </c>
      <c r="J53" s="1619"/>
      <c r="K53" s="1618" t="n">
        <f aca="false">('7.4.2 Selling &amp; Oper. expenses'!K57-'7.4.2 Selling &amp; Oper. expenses'!K51-'7.4.2 Selling &amp; Oper. expenses'!K52-'7.4.2 Selling &amp; Oper. expenses'!K53)*$C$8*('7.5.3 VAT'!$B53/360)</f>
        <v>1802.19644444444</v>
      </c>
    </row>
    <row r="54" customFormat="false" ht="15.75" hidden="false" customHeight="false" outlineLevel="0" collapsed="false">
      <c r="A54" s="1629" t="s">
        <v>968</v>
      </c>
      <c r="B54" s="328"/>
      <c r="C54" s="323"/>
      <c r="D54" s="71"/>
      <c r="E54" s="71"/>
      <c r="F54" s="71"/>
      <c r="G54" s="71"/>
      <c r="H54" s="71"/>
      <c r="I54" s="71"/>
      <c r="J54" s="71"/>
      <c r="K54" s="323"/>
    </row>
    <row r="55" customFormat="false" ht="15" hidden="false" customHeight="false" outlineLevel="0" collapsed="false">
      <c r="A55" s="52"/>
      <c r="B55" s="328"/>
      <c r="C55" s="323"/>
      <c r="D55" s="71"/>
      <c r="E55" s="71"/>
      <c r="F55" s="71"/>
      <c r="G55" s="71"/>
      <c r="H55" s="71"/>
      <c r="I55" s="71"/>
      <c r="J55" s="71"/>
      <c r="K55" s="323"/>
    </row>
    <row r="56" customFormat="false" ht="18" hidden="false" customHeight="false" outlineLevel="0" collapsed="false">
      <c r="A56" s="1622" t="s">
        <v>969</v>
      </c>
      <c r="B56" s="353"/>
      <c r="C56" s="1030" t="e">
        <f aca="false">C41+C51+C53</f>
        <v>#VALUE!</v>
      </c>
      <c r="D56" s="74"/>
      <c r="E56" s="1269" t="e">
        <f aca="false">+E41+E51+E53</f>
        <v>#VALUE!</v>
      </c>
      <c r="F56" s="74"/>
      <c r="G56" s="1269" t="e">
        <f aca="false">+G41+G51+G53</f>
        <v>#VALUE!</v>
      </c>
      <c r="H56" s="74"/>
      <c r="I56" s="1269" t="e">
        <f aca="false">+I41+I51+I53</f>
        <v>#VALUE!</v>
      </c>
      <c r="J56" s="74"/>
      <c r="K56" s="1030" t="e">
        <f aca="false">+K41+K51+K53</f>
        <v>#VALUE!</v>
      </c>
    </row>
    <row r="57" customFormat="false" ht="15" hidden="false" customHeight="false" outlineLevel="0" collapsed="false">
      <c r="A57" s="82"/>
      <c r="B57" s="329"/>
      <c r="C57" s="326"/>
      <c r="D57" s="325"/>
      <c r="E57" s="325"/>
      <c r="F57" s="325"/>
      <c r="G57" s="325"/>
      <c r="H57" s="325"/>
      <c r="I57" s="325"/>
      <c r="J57" s="325"/>
      <c r="K57" s="326"/>
    </row>
    <row r="58" customFormat="false" ht="15" hidden="false" customHeight="false" outlineLevel="0" collapsed="false">
      <c r="A58" s="48"/>
      <c r="B58" s="48"/>
      <c r="C58" s="48"/>
      <c r="D58" s="48"/>
      <c r="E58" s="48"/>
      <c r="F58" s="48"/>
      <c r="G58" s="48"/>
      <c r="H58" s="48"/>
      <c r="I58" s="48"/>
      <c r="J58" s="48"/>
      <c r="K58" s="48"/>
    </row>
    <row r="59" customFormat="false" ht="15.75" hidden="false" customHeight="false" outlineLevel="0" collapsed="false">
      <c r="A59" s="48"/>
      <c r="B59" s="48"/>
      <c r="C59" s="48"/>
      <c r="D59" s="48"/>
      <c r="E59" s="48"/>
      <c r="F59" s="48"/>
      <c r="G59" s="48"/>
      <c r="H59" s="48"/>
      <c r="I59" s="48"/>
      <c r="J59" s="48"/>
      <c r="K59" s="48"/>
    </row>
    <row r="60" customFormat="false" ht="19.5" hidden="false" customHeight="false" outlineLevel="0" collapsed="false">
      <c r="A60" s="1229" t="s">
        <v>970</v>
      </c>
      <c r="B60" s="1630"/>
      <c r="C60" s="1631"/>
      <c r="D60" s="1230"/>
      <c r="E60" s="1230"/>
      <c r="F60" s="1230"/>
      <c r="G60" s="1632"/>
      <c r="H60" s="1230"/>
      <c r="I60" s="1230"/>
      <c r="J60" s="1230"/>
      <c r="K60" s="1633"/>
    </row>
    <row r="61" customFormat="false" ht="15" hidden="false" customHeight="false" outlineLevel="0" collapsed="false">
      <c r="A61" s="1046"/>
      <c r="B61" s="328"/>
      <c r="C61" s="323"/>
      <c r="D61" s="71"/>
      <c r="E61" s="71"/>
      <c r="F61" s="71"/>
      <c r="G61" s="71"/>
      <c r="H61" s="71"/>
      <c r="I61" s="71"/>
      <c r="J61" s="71"/>
      <c r="K61" s="1634"/>
    </row>
    <row r="62" customFormat="false" ht="15" hidden="false" customHeight="false" outlineLevel="0" collapsed="false">
      <c r="A62" s="1046" t="s">
        <v>971</v>
      </c>
      <c r="B62" s="328"/>
      <c r="C62" s="1618" t="e">
        <f aca="false">C56-C28</f>
        <v>#VALUE!</v>
      </c>
      <c r="D62" s="71"/>
      <c r="E62" s="1619" t="e">
        <f aca="false">E56-E28</f>
        <v>#VALUE!</v>
      </c>
      <c r="F62" s="71"/>
      <c r="G62" s="1619" t="e">
        <f aca="false">G56-G28</f>
        <v>#VALUE!</v>
      </c>
      <c r="H62" s="71"/>
      <c r="I62" s="1619" t="e">
        <f aca="false">I56-I28</f>
        <v>#VALUE!</v>
      </c>
      <c r="J62" s="71"/>
      <c r="K62" s="1635" t="e">
        <f aca="false">K56-K28</f>
        <v>#VALUE!</v>
      </c>
    </row>
    <row r="63" customFormat="false" ht="15.75" hidden="false" customHeight="false" outlineLevel="0" collapsed="false">
      <c r="A63" s="1064"/>
      <c r="B63" s="1636"/>
      <c r="C63" s="1603"/>
      <c r="D63" s="1034"/>
      <c r="E63" s="1034"/>
      <c r="F63" s="1034"/>
      <c r="G63" s="1034"/>
      <c r="H63" s="1034"/>
      <c r="I63" s="1034"/>
      <c r="J63" s="1034"/>
      <c r="K63" s="1604"/>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4.xml><?xml version="1.0" encoding="utf-8"?>
<worksheet xmlns="http://schemas.openxmlformats.org/spreadsheetml/2006/main" xmlns:r="http://schemas.openxmlformats.org/officeDocument/2006/relationships">
  <sheetPr filterMode="false">
    <tabColor rgb="FFC0C0C0"/>
    <pageSetUpPr fitToPage="false"/>
  </sheetPr>
  <dimension ref="A1:Q384"/>
  <sheetViews>
    <sheetView showFormulas="false" showGridLines="false" showRowColHeaders="true" showZeros="true" rightToLeft="false" tabSelected="false" showOutlineSymbols="true" defaultGridColor="true" view="normal" topLeftCell="A1" colorId="64" zoomScale="60" zoomScaleNormal="60" zoomScalePageLayoutView="75" workbookViewId="0">
      <pane xSplit="0" ySplit="6" topLeftCell="A94" activePane="bottomLeft" state="frozen"/>
      <selection pane="topLeft" activeCell="A1" activeCellId="0" sqref="A1"/>
      <selection pane="bottomLeft" activeCell="B6" activeCellId="0" sqref="B6"/>
    </sheetView>
  </sheetViews>
  <sheetFormatPr defaultRowHeight="15" zeroHeight="true" outlineLevelRow="0" outlineLevelCol="0"/>
  <cols>
    <col collapsed="false" customWidth="true" hidden="false" outlineLevel="0" max="1" min="1" style="4" width="42.29"/>
    <col collapsed="false" customWidth="true" hidden="false" outlineLevel="0" max="2" min="2" style="669" width="16.42"/>
    <col collapsed="false" customWidth="true" hidden="false" outlineLevel="0" max="4" min="3" style="669" width="17"/>
    <col collapsed="false" customWidth="true" hidden="false" outlineLevel="0" max="5" min="5" style="669" width="18.85"/>
    <col collapsed="false" customWidth="true" hidden="false" outlineLevel="0" max="6" min="6" style="669" width="19"/>
    <col collapsed="false" customWidth="true" hidden="false" outlineLevel="0" max="7" min="7" style="669" width="20.14"/>
    <col collapsed="false" customWidth="true" hidden="false" outlineLevel="0" max="8" min="8" style="669" width="29.42"/>
    <col collapsed="false" customWidth="true" hidden="false" outlineLevel="0" max="9" min="9" style="669" width="30.01"/>
    <col collapsed="false" customWidth="true" hidden="false" outlineLevel="0" max="10" min="10" style="4" width="2.71"/>
    <col collapsed="false" customWidth="true" hidden="true" outlineLevel="0" max="11" min="11" style="4" width="9.14"/>
    <col collapsed="false" customWidth="true" hidden="true" outlineLevel="0" max="13" min="12" style="4" width="13.57"/>
    <col collapsed="false" customWidth="true" hidden="true" outlineLevel="0" max="1025" min="14" style="4" width="9.14"/>
  </cols>
  <sheetData>
    <row r="1" customFormat="false" ht="28.5" hidden="false" customHeight="false" outlineLevel="0" collapsed="false">
      <c r="A1" s="113" t="s">
        <v>525</v>
      </c>
      <c r="B1" s="114"/>
      <c r="C1" s="114"/>
      <c r="D1" s="114"/>
      <c r="E1" s="114"/>
      <c r="F1" s="114"/>
      <c r="G1" s="114"/>
      <c r="H1" s="114"/>
      <c r="I1" s="385" t="s">
        <v>972</v>
      </c>
    </row>
    <row r="2" customFormat="false" ht="15" hidden="false" customHeight="false" outlineLevel="0" collapsed="false">
      <c r="A2" s="52"/>
      <c r="B2" s="682"/>
      <c r="C2" s="1637"/>
      <c r="D2" s="682"/>
      <c r="E2" s="682"/>
      <c r="F2" s="682"/>
      <c r="G2" s="682"/>
      <c r="H2" s="682"/>
      <c r="I2" s="849"/>
    </row>
    <row r="3" customFormat="false" ht="18" hidden="false" customHeight="false" outlineLevel="0" collapsed="false">
      <c r="A3" s="850" t="s">
        <v>34</v>
      </c>
      <c r="B3" s="851" t="str">
        <f aca="false">'Reference sheet'!$C$12</f>
        <v>TEST</v>
      </c>
      <c r="D3" s="853" t="s">
        <v>46</v>
      </c>
      <c r="E3" s="853" t="s">
        <v>49</v>
      </c>
      <c r="F3" s="1638" t="str">
        <f aca="false">'Reference sheet'!$C$17</f>
        <v>July</v>
      </c>
      <c r="G3" s="854" t="n">
        <f aca="false">'Reference sheet'!$D$17</f>
        <v>2018</v>
      </c>
      <c r="H3" s="366" t="s">
        <v>527</v>
      </c>
      <c r="I3" s="1639" t="str">
        <f aca="false">'Reference sheet'!$C$21</f>
        <v>EUR</v>
      </c>
    </row>
    <row r="4" customFormat="false" ht="15" hidden="false" customHeight="false" outlineLevel="0" collapsed="false">
      <c r="A4" s="82"/>
      <c r="B4" s="1640"/>
      <c r="C4" s="1569"/>
      <c r="D4" s="1569"/>
      <c r="E4" s="1569"/>
      <c r="F4" s="1569"/>
      <c r="G4" s="1569"/>
      <c r="H4" s="1569"/>
      <c r="I4" s="1641"/>
    </row>
    <row r="5" s="312" customFormat="true" ht="21.75" hidden="false" customHeight="false" outlineLevel="0" collapsed="false">
      <c r="A5" s="1642" t="s">
        <v>973</v>
      </c>
      <c r="B5" s="1643" t="n">
        <f aca="false">'7.1 Dealer area'!C5</f>
        <v>2019</v>
      </c>
      <c r="C5" s="1644"/>
      <c r="D5" s="1643"/>
      <c r="E5" s="1645"/>
      <c r="F5" s="1645"/>
      <c r="G5" s="1645"/>
      <c r="H5" s="1645"/>
      <c r="I5" s="1646"/>
    </row>
    <row r="6" s="984" customFormat="true" ht="18.75" hidden="false" customHeight="false" outlineLevel="0" collapsed="false">
      <c r="A6" s="1647"/>
      <c r="B6" s="1648" t="s">
        <v>974</v>
      </c>
      <c r="C6" s="1649" t="s">
        <v>684</v>
      </c>
      <c r="D6" s="1649" t="s">
        <v>42</v>
      </c>
      <c r="E6" s="1649" t="s">
        <v>173</v>
      </c>
      <c r="F6" s="1649" t="s">
        <v>184</v>
      </c>
      <c r="G6" s="1650" t="s">
        <v>975</v>
      </c>
      <c r="H6" s="1648" t="s">
        <v>976</v>
      </c>
      <c r="I6" s="1651" t="s">
        <v>977</v>
      </c>
    </row>
    <row r="7" customFormat="false" ht="15" hidden="false" customHeight="false" outlineLevel="0" collapsed="false">
      <c r="A7" s="506"/>
      <c r="B7" s="1652"/>
      <c r="C7" s="1653"/>
      <c r="D7" s="1653"/>
      <c r="E7" s="1653"/>
      <c r="F7" s="1653"/>
      <c r="G7" s="1654"/>
      <c r="H7" s="1652"/>
      <c r="I7" s="1655"/>
    </row>
    <row r="8" customFormat="false" ht="15" hidden="false" customHeight="false" outlineLevel="0" collapsed="false">
      <c r="A8" s="562" t="s">
        <v>604</v>
      </c>
      <c r="B8" s="1656"/>
      <c r="C8" s="1657"/>
      <c r="D8" s="1657"/>
      <c r="E8" s="1657"/>
      <c r="F8" s="1657"/>
      <c r="G8" s="1658"/>
      <c r="H8" s="1656"/>
      <c r="I8" s="1659"/>
    </row>
    <row r="9" customFormat="false" ht="15" hidden="false" customHeight="false" outlineLevel="0" collapsed="false">
      <c r="A9" s="1046" t="s">
        <v>978</v>
      </c>
      <c r="B9" s="1660"/>
      <c r="C9" s="1657"/>
      <c r="D9" s="1657"/>
      <c r="E9" s="1657"/>
      <c r="F9" s="1657"/>
      <c r="G9" s="1658"/>
      <c r="H9" s="1656"/>
      <c r="I9" s="1659"/>
    </row>
    <row r="10" customFormat="false" ht="15" hidden="false" customHeight="false" outlineLevel="0" collapsed="false">
      <c r="A10" s="1046" t="s">
        <v>979</v>
      </c>
      <c r="B10" s="1660" t="n">
        <f aca="false">'7.2.1 Turnover Vehicles'!C36</f>
        <v>0</v>
      </c>
      <c r="C10" s="1657"/>
      <c r="D10" s="1657"/>
      <c r="E10" s="1661" t="e">
        <f aca="false">'7.2.2 Turnover Parts'!C17-'7.2.2 Turnover Parts'!C26</f>
        <v>#VALUE!</v>
      </c>
      <c r="F10" s="1661" t="n">
        <f aca="false">'7.2.3 Turnover Service &amp; Body'!C38</f>
        <v>0</v>
      </c>
      <c r="G10" s="1658"/>
      <c r="H10" s="1660" t="e">
        <f aca="false">SUM(B10:F10)</f>
        <v>#VALUE!</v>
      </c>
      <c r="I10" s="1662" t="e">
        <f aca="false">SUM(B10:F10)</f>
        <v>#VALUE!</v>
      </c>
    </row>
    <row r="11" customFormat="false" ht="15" hidden="false" customHeight="false" outlineLevel="0" collapsed="false">
      <c r="A11" s="1046" t="s">
        <v>980</v>
      </c>
      <c r="B11" s="1656"/>
      <c r="C11" s="1661" t="n">
        <f aca="false">'7.2.1 Turnover Vehicles'!C48</f>
        <v>0</v>
      </c>
      <c r="D11" s="1661" t="n">
        <f aca="false">'7.2.1 Turnover Vehicles'!C72</f>
        <v>0</v>
      </c>
      <c r="E11" s="1661" t="n">
        <f aca="false">'7.2.2 Turnover Parts'!C18-'7.2.2 Turnover Parts'!C27</f>
        <v>0</v>
      </c>
      <c r="F11" s="1661" t="n">
        <f aca="false">'7.2.3 Turnover Service &amp; Body'!C41</f>
        <v>0</v>
      </c>
      <c r="G11" s="1658"/>
      <c r="H11" s="1660" t="n">
        <f aca="false">SUM(B11:F11)</f>
        <v>0</v>
      </c>
      <c r="I11" s="1662" t="n">
        <f aca="false">SUM(B11:F11)</f>
        <v>0</v>
      </c>
    </row>
    <row r="12" customFormat="false" ht="15" hidden="false" customHeight="false" outlineLevel="0" collapsed="false">
      <c r="A12" s="1046" t="s">
        <v>981</v>
      </c>
      <c r="B12" s="1656"/>
      <c r="C12" s="1661"/>
      <c r="D12" s="1661"/>
      <c r="E12" s="1661" t="n">
        <f aca="false">'7.2.2 Turnover Parts'!C19</f>
        <v>0</v>
      </c>
      <c r="F12" s="1661"/>
      <c r="G12" s="1658"/>
      <c r="H12" s="1660" t="n">
        <f aca="false">SUM(B12:F12)</f>
        <v>0</v>
      </c>
      <c r="I12" s="1662" t="n">
        <f aca="false">SUM(B12:F12)</f>
        <v>0</v>
      </c>
    </row>
    <row r="13" customFormat="false" ht="15" hidden="false" customHeight="false" outlineLevel="0" collapsed="false">
      <c r="A13" s="1046" t="s">
        <v>982</v>
      </c>
      <c r="B13" s="1660"/>
      <c r="C13" s="1657"/>
      <c r="D13" s="1657"/>
      <c r="E13" s="1661" t="e">
        <f aca="false">'7.2.2 Turnover Parts'!C20</f>
        <v>#VALUE!</v>
      </c>
      <c r="F13" s="1661"/>
      <c r="G13" s="1658"/>
      <c r="H13" s="1660" t="e">
        <f aca="false">SUM(B13:F13)</f>
        <v>#VALUE!</v>
      </c>
      <c r="I13" s="1662" t="e">
        <f aca="false">SUM(B13:F13)</f>
        <v>#VALUE!</v>
      </c>
    </row>
    <row r="14" customFormat="false" ht="15" hidden="false" customHeight="false" outlineLevel="0" collapsed="false">
      <c r="A14" s="1046" t="s">
        <v>708</v>
      </c>
      <c r="B14" s="1660"/>
      <c r="C14" s="1657"/>
      <c r="D14" s="1657"/>
      <c r="E14" s="1661"/>
      <c r="F14" s="1661" t="n">
        <f aca="false">'7.2.3 Turnover Service &amp; Body'!C52</f>
        <v>3000</v>
      </c>
      <c r="G14" s="1658"/>
      <c r="H14" s="1660" t="n">
        <f aca="false">SUM(B14:F14)</f>
        <v>3000</v>
      </c>
      <c r="I14" s="1662" t="n">
        <f aca="false">SUM(B14:F14)</f>
        <v>3000</v>
      </c>
    </row>
    <row r="15" customFormat="false" ht="15" hidden="false" customHeight="false" outlineLevel="0" collapsed="false">
      <c r="A15" s="1046" t="s">
        <v>983</v>
      </c>
      <c r="B15" s="1663"/>
      <c r="C15" s="1664"/>
      <c r="D15" s="1664"/>
      <c r="E15" s="1665" t="n">
        <f aca="false">'7.2.2 Turnover Parts'!C28</f>
        <v>10</v>
      </c>
      <c r="F15" s="1665" t="n">
        <f aca="false">'7.2.3 Turnover Service &amp; Body'!C39+'7.2.3 Turnover Service &amp; Body'!C40</f>
        <v>0</v>
      </c>
      <c r="G15" s="1666"/>
      <c r="H15" s="1663" t="n">
        <f aca="false">SUM(B15:F15)</f>
        <v>10</v>
      </c>
      <c r="I15" s="1667" t="n">
        <v>0</v>
      </c>
    </row>
    <row r="16" s="273" customFormat="true" ht="15" hidden="false" customHeight="false" outlineLevel="0" collapsed="false">
      <c r="A16" s="1060" t="s">
        <v>984</v>
      </c>
      <c r="B16" s="1668" t="n">
        <f aca="false">SUM(B10:B15)</f>
        <v>0</v>
      </c>
      <c r="C16" s="1669" t="n">
        <f aca="false">SUM(C11:C15)</f>
        <v>0</v>
      </c>
      <c r="D16" s="1669" t="n">
        <f aca="false">SUM(D10:D15)</f>
        <v>0</v>
      </c>
      <c r="E16" s="1669" t="e">
        <f aca="false">SUM(E10:E15)</f>
        <v>#VALUE!</v>
      </c>
      <c r="F16" s="1669" t="n">
        <f aca="false">SUM(F10:F15)</f>
        <v>3000</v>
      </c>
      <c r="G16" s="1670"/>
      <c r="H16" s="1668" t="e">
        <f aca="false">SUM(H10:H15)</f>
        <v>#VALUE!</v>
      </c>
      <c r="I16" s="1671" t="e">
        <f aca="false">SUM(I10:I15)</f>
        <v>#VALUE!</v>
      </c>
      <c r="J16" s="1018"/>
    </row>
    <row r="17" s="273" customFormat="true" ht="15" hidden="false" customHeight="false" outlineLevel="0" collapsed="false">
      <c r="A17" s="1672"/>
      <c r="B17" s="1673"/>
      <c r="C17" s="1674"/>
      <c r="D17" s="1674"/>
      <c r="E17" s="1674"/>
      <c r="F17" s="1674"/>
      <c r="G17" s="1675"/>
      <c r="H17" s="1673"/>
      <c r="I17" s="1676"/>
    </row>
    <row r="18" customFormat="false" ht="15" hidden="false" customHeight="false" outlineLevel="0" collapsed="false">
      <c r="A18" s="1677"/>
      <c r="B18" s="1652"/>
      <c r="C18" s="1653"/>
      <c r="D18" s="1653"/>
      <c r="E18" s="1653"/>
      <c r="F18" s="1653"/>
      <c r="G18" s="1654"/>
      <c r="H18" s="1652"/>
      <c r="I18" s="1655"/>
    </row>
    <row r="19" customFormat="false" ht="15" hidden="false" customHeight="false" outlineLevel="0" collapsed="false">
      <c r="A19" s="1060" t="s">
        <v>985</v>
      </c>
      <c r="B19" s="1656"/>
      <c r="C19" s="1657"/>
      <c r="D19" s="1657"/>
      <c r="E19" s="1657"/>
      <c r="F19" s="1657"/>
      <c r="G19" s="1658"/>
      <c r="H19" s="1656"/>
      <c r="I19" s="1659"/>
    </row>
    <row r="20" customFormat="false" ht="15" hidden="false" customHeight="false" outlineLevel="0" collapsed="false">
      <c r="A20" s="1046" t="s">
        <v>978</v>
      </c>
      <c r="B20" s="1656"/>
      <c r="C20" s="1657"/>
      <c r="D20" s="1657"/>
      <c r="E20" s="1657"/>
      <c r="F20" s="1657"/>
      <c r="G20" s="1658"/>
      <c r="H20" s="1656"/>
      <c r="I20" s="1659"/>
    </row>
    <row r="21" customFormat="false" ht="15" hidden="false" customHeight="false" outlineLevel="0" collapsed="false">
      <c r="A21" s="1046" t="s">
        <v>979</v>
      </c>
      <c r="B21" s="1660" t="n">
        <f aca="false">'7.3 Cost of sales'!C58+'7.3 Cost of sales'!C59</f>
        <v>-10</v>
      </c>
      <c r="C21" s="1657"/>
      <c r="D21" s="1657"/>
      <c r="E21" s="1661" t="e">
        <f aca="false">'7.3 Cost of sales'!C76+'7.3 Cost of sales'!C78+'7.3 Cost of sales'!C80+'7.3 Cost of sales'!C81</f>
        <v>#VALUE!</v>
      </c>
      <c r="F21" s="1657"/>
      <c r="G21" s="1658"/>
      <c r="H21" s="1660" t="e">
        <f aca="false">SUM(B21:F21)</f>
        <v>#VALUE!</v>
      </c>
      <c r="I21" s="1662" t="e">
        <f aca="false">SUM(B21:F21)</f>
        <v>#VALUE!</v>
      </c>
    </row>
    <row r="22" customFormat="false" ht="15" hidden="false" customHeight="false" outlineLevel="0" collapsed="false">
      <c r="A22" s="1046" t="s">
        <v>980</v>
      </c>
      <c r="B22" s="1656"/>
      <c r="C22" s="1661" t="n">
        <f aca="false">'7.3 Cost of sales'!C60</f>
        <v>0</v>
      </c>
      <c r="D22" s="1661" t="n">
        <f aca="false">'7.3 Cost of sales'!C61</f>
        <v>0</v>
      </c>
      <c r="E22" s="1661" t="n">
        <f aca="false">'7.3 Cost of sales'!C77+'7.3 Cost of sales'!C79+'7.3 Cost of sales'!C82</f>
        <v>0</v>
      </c>
      <c r="F22" s="1657"/>
      <c r="G22" s="1658"/>
      <c r="H22" s="1660" t="n">
        <f aca="false">SUM(B22:F22)</f>
        <v>0</v>
      </c>
      <c r="I22" s="1662" t="n">
        <f aca="false">SUM(B22:F22)</f>
        <v>0</v>
      </c>
    </row>
    <row r="23" customFormat="false" ht="15" hidden="false" customHeight="false" outlineLevel="0" collapsed="false">
      <c r="A23" s="1046" t="s">
        <v>981</v>
      </c>
      <c r="B23" s="1656"/>
      <c r="C23" s="1661"/>
      <c r="D23" s="1661"/>
      <c r="E23" s="1661" t="n">
        <f aca="false">'7.3 Cost of sales'!C83</f>
        <v>0</v>
      </c>
      <c r="F23" s="1657"/>
      <c r="G23" s="1658"/>
      <c r="H23" s="1660" t="n">
        <f aca="false">SUM(B23:F23)</f>
        <v>0</v>
      </c>
      <c r="I23" s="1662" t="n">
        <f aca="false">SUM(B23:F23)</f>
        <v>0</v>
      </c>
    </row>
    <row r="24" customFormat="false" ht="15" hidden="false" customHeight="false" outlineLevel="0" collapsed="false">
      <c r="A24" s="1046" t="s">
        <v>982</v>
      </c>
      <c r="B24" s="1656"/>
      <c r="C24" s="1657"/>
      <c r="D24" s="1657"/>
      <c r="E24" s="1661" t="e">
        <f aca="false">'7.3 Cost of sales'!C84</f>
        <v>#VALUE!</v>
      </c>
      <c r="F24" s="1657"/>
      <c r="G24" s="1658"/>
      <c r="H24" s="1660" t="e">
        <f aca="false">SUM(B24:F24)</f>
        <v>#VALUE!</v>
      </c>
      <c r="I24" s="1662" t="e">
        <f aca="false">SUM(B24:F24)</f>
        <v>#VALUE!</v>
      </c>
    </row>
    <row r="25" customFormat="false" ht="15" hidden="false" customHeight="false" outlineLevel="0" collapsed="false">
      <c r="A25" s="1046" t="s">
        <v>986</v>
      </c>
      <c r="B25" s="1656"/>
      <c r="C25" s="1657"/>
      <c r="D25" s="1657"/>
      <c r="E25" s="1661" t="n">
        <v>0</v>
      </c>
      <c r="F25" s="1661" t="n">
        <f aca="false">'7.4.1 Salaries &amp; Wages'!C105+'7.4.1 Salaries &amp; Wages'!C114</f>
        <v>0</v>
      </c>
      <c r="G25" s="1658"/>
      <c r="H25" s="1660" t="n">
        <f aca="false">SUM(B25:F25)</f>
        <v>0</v>
      </c>
      <c r="I25" s="1662" t="n">
        <f aca="false">SUM(B25:F25)</f>
        <v>0</v>
      </c>
    </row>
    <row r="26" customFormat="false" ht="15" hidden="false" customHeight="false" outlineLevel="0" collapsed="false">
      <c r="A26" s="1046" t="s">
        <v>987</v>
      </c>
      <c r="B26" s="1660" t="n">
        <f aca="false">-'7.3 Cost of sales'!C67</f>
        <v>0</v>
      </c>
      <c r="C26" s="1657" t="n">
        <v>0</v>
      </c>
      <c r="D26" s="1661" t="n">
        <f aca="false">-'7.3 Cost of sales'!C68</f>
        <v>-0</v>
      </c>
      <c r="E26" s="1661" t="e">
        <f aca="false">-'7.3 Cost of sales'!C93</f>
        <v>#VALUE!</v>
      </c>
      <c r="F26" s="1657"/>
      <c r="G26" s="1658"/>
      <c r="H26" s="1660" t="e">
        <f aca="false">SUM(B26:F26)</f>
        <v>#VALUE!</v>
      </c>
      <c r="I26" s="1662" t="e">
        <f aca="false">SUM(B26:F26)</f>
        <v>#VALUE!</v>
      </c>
    </row>
    <row r="27" customFormat="false" ht="15" hidden="false" customHeight="false" outlineLevel="0" collapsed="false">
      <c r="A27" s="1046" t="s">
        <v>708</v>
      </c>
      <c r="B27" s="1660"/>
      <c r="C27" s="1657" t="n">
        <v>0</v>
      </c>
      <c r="D27" s="1661" t="n">
        <v>0</v>
      </c>
      <c r="E27" s="1661"/>
      <c r="F27" s="1661" t="n">
        <f aca="false">'7.3 Cost of sales'!C102</f>
        <v>3000</v>
      </c>
      <c r="G27" s="1658"/>
      <c r="H27" s="1660" t="n">
        <f aca="false">SUM(B27:F27)</f>
        <v>3000</v>
      </c>
      <c r="I27" s="1662" t="n">
        <f aca="false">SUM(B27:F27)</f>
        <v>3000</v>
      </c>
    </row>
    <row r="28" customFormat="false" ht="15" hidden="false" customHeight="false" outlineLevel="0" collapsed="false">
      <c r="A28" s="1046" t="s">
        <v>983</v>
      </c>
      <c r="B28" s="1663" t="n">
        <f aca="false">'7.2.3 Turnover Service &amp; Body'!C39+'7.2.2 Turnover Parts'!C26</f>
        <v>10</v>
      </c>
      <c r="C28" s="1665" t="n">
        <f aca="false">'7.2.3 Turnover Service &amp; Body'!C40+'7.2.2 Turnover Parts'!C27</f>
        <v>0</v>
      </c>
      <c r="D28" s="1664" t="n">
        <v>0</v>
      </c>
      <c r="E28" s="1664"/>
      <c r="F28" s="1664"/>
      <c r="G28" s="1666"/>
      <c r="H28" s="1663" t="n">
        <f aca="false">SUM(B28:F28)</f>
        <v>10</v>
      </c>
      <c r="I28" s="1667" t="n">
        <v>0</v>
      </c>
    </row>
    <row r="29" s="273" customFormat="true" ht="15" hidden="false" customHeight="false" outlineLevel="0" collapsed="false">
      <c r="A29" s="1060" t="s">
        <v>988</v>
      </c>
      <c r="B29" s="1668" t="n">
        <f aca="false">SUM(B21:B28)</f>
        <v>0</v>
      </c>
      <c r="C29" s="1669" t="n">
        <f aca="false">SUM(C21:C28)</f>
        <v>0</v>
      </c>
      <c r="D29" s="1669" t="n">
        <f aca="false">SUM(D21:D28)</f>
        <v>0</v>
      </c>
      <c r="E29" s="1669" t="e">
        <f aca="false">SUM(E21:E28)</f>
        <v>#VALUE!</v>
      </c>
      <c r="F29" s="1669" t="n">
        <f aca="false">SUM(F21:F28)</f>
        <v>3000</v>
      </c>
      <c r="G29" s="1678" t="n">
        <v>0</v>
      </c>
      <c r="H29" s="1668" t="e">
        <f aca="false">SUM(H21:H28)</f>
        <v>#VALUE!</v>
      </c>
      <c r="I29" s="1671" t="e">
        <f aca="false">SUM(I21:I28)</f>
        <v>#VALUE!</v>
      </c>
      <c r="J29" s="1018"/>
    </row>
    <row r="30" s="273" customFormat="true" ht="15" hidden="false" customHeight="false" outlineLevel="0" collapsed="false">
      <c r="A30" s="1672"/>
      <c r="B30" s="1673"/>
      <c r="C30" s="1674"/>
      <c r="D30" s="1674"/>
      <c r="E30" s="1674"/>
      <c r="F30" s="1674"/>
      <c r="G30" s="1679"/>
      <c r="H30" s="1680"/>
      <c r="I30" s="1676"/>
    </row>
    <row r="31" customFormat="false" ht="15" hidden="false" customHeight="false" outlineLevel="0" collapsed="false">
      <c r="A31" s="1677"/>
      <c r="B31" s="1652"/>
      <c r="C31" s="1653"/>
      <c r="D31" s="1653"/>
      <c r="E31" s="1653"/>
      <c r="F31" s="1653"/>
      <c r="G31" s="1654"/>
      <c r="H31" s="1652"/>
      <c r="I31" s="1655"/>
    </row>
    <row r="32" s="273" customFormat="true" ht="15" hidden="false" customHeight="false" outlineLevel="0" collapsed="false">
      <c r="A32" s="1060" t="s">
        <v>989</v>
      </c>
      <c r="B32" s="1668" t="n">
        <f aca="false">B16-B29</f>
        <v>0</v>
      </c>
      <c r="C32" s="1669" t="n">
        <f aca="false">C16-C29</f>
        <v>0</v>
      </c>
      <c r="D32" s="1669" t="n">
        <f aca="false">D16-D29</f>
        <v>0</v>
      </c>
      <c r="E32" s="1669" t="e">
        <f aca="false">E16-E29</f>
        <v>#VALUE!</v>
      </c>
      <c r="F32" s="1669" t="n">
        <f aca="false">F16-F29</f>
        <v>0</v>
      </c>
      <c r="G32" s="1670" t="n">
        <v>0</v>
      </c>
      <c r="H32" s="1668" t="e">
        <f aca="false">H16-H29</f>
        <v>#VALUE!</v>
      </c>
      <c r="I32" s="1671" t="e">
        <f aca="false">I16-I29</f>
        <v>#VALUE!</v>
      </c>
      <c r="J32" s="1018"/>
    </row>
    <row r="33" s="273" customFormat="true" ht="15" hidden="false" customHeight="false" outlineLevel="0" collapsed="false">
      <c r="A33" s="1672"/>
      <c r="B33" s="1673"/>
      <c r="C33" s="1674"/>
      <c r="D33" s="1674"/>
      <c r="E33" s="1674"/>
      <c r="F33" s="1674"/>
      <c r="G33" s="1675"/>
      <c r="H33" s="1673"/>
      <c r="I33" s="1676"/>
    </row>
    <row r="34" customFormat="false" ht="15" hidden="false" customHeight="false" outlineLevel="0" collapsed="false">
      <c r="A34" s="1677"/>
      <c r="B34" s="1652"/>
      <c r="C34" s="1653"/>
      <c r="D34" s="1653"/>
      <c r="E34" s="1653"/>
      <c r="F34" s="1653"/>
      <c r="G34" s="1654"/>
      <c r="H34" s="1652"/>
      <c r="I34" s="1655"/>
    </row>
    <row r="35" s="273" customFormat="true" ht="13.15" hidden="false" customHeight="true" outlineLevel="0" collapsed="false">
      <c r="A35" s="1060" t="s">
        <v>990</v>
      </c>
      <c r="B35" s="1668" t="n">
        <f aca="false">'7.2.1 Turnover Vehicles'!C84*'7.4.1 Salaries &amp; Wages'!C77*(1+'7.4.1 Salaries &amp; Wages'!B78)+'7.4.2 Selling &amp; Oper. expenses'!C9*'7.4.2 Selling &amp; Oper. expenses'!E63</f>
        <v>650</v>
      </c>
      <c r="C35" s="1669" t="n">
        <f aca="false">'7.2.1 Turnover Vehicles'!C85*'7.4.1 Salaries &amp; Wages'!C77*(1+'7.4.1 Salaries &amp; Wages'!B78)+'7.4.2 Selling &amp; Oper. expenses'!C9*'7.4.2 Selling &amp; Oper. expenses'!F63</f>
        <v>0</v>
      </c>
      <c r="D35" s="1669" t="n">
        <f aca="false">'7.2.1 Turnover Vehicles'!C86*'7.4.1 Salaries &amp; Wages'!C77*(1+'7.4.1 Salaries &amp; Wages'!B78)+'7.4.2 Selling &amp; Oper. expenses'!C9*'7.4.2 Selling &amp; Oper. expenses'!G63</f>
        <v>0</v>
      </c>
      <c r="E35" s="1669" t="n">
        <f aca="false">('7.4.2 Selling &amp; Oper. expenses'!C9*'7.4.2 Selling &amp; Oper. expenses'!I63)</f>
        <v>0</v>
      </c>
      <c r="F35" s="1669" t="n">
        <f aca="false">'7.4.2 Selling &amp; Oper. expenses'!C9*'7.4.2 Selling &amp; Oper. expenses'!H63</f>
        <v>0</v>
      </c>
      <c r="G35" s="1670" t="n">
        <f aca="false">'7.4.2 Selling &amp; Oper. expenses'!C9*'7.4.2 Selling &amp; Oper. expenses'!J63</f>
        <v>0</v>
      </c>
      <c r="H35" s="1668" t="n">
        <f aca="false">SUM(B35:G35)</f>
        <v>650</v>
      </c>
      <c r="I35" s="1671" t="n">
        <f aca="false">B35+C35+D35+F35+E35+G35</f>
        <v>650</v>
      </c>
    </row>
    <row r="36" s="273" customFormat="true" ht="13.15" hidden="false" customHeight="true" outlineLevel="0" collapsed="false">
      <c r="A36" s="1060"/>
      <c r="B36" s="1660"/>
      <c r="C36" s="1661"/>
      <c r="D36" s="1661"/>
      <c r="E36" s="1661"/>
      <c r="F36" s="1661"/>
      <c r="G36" s="1681"/>
      <c r="H36" s="1660"/>
      <c r="I36" s="1662"/>
    </row>
    <row r="37" s="273" customFormat="true" ht="15" hidden="false" customHeight="false" outlineLevel="0" collapsed="false">
      <c r="A37" s="1060" t="s">
        <v>986</v>
      </c>
      <c r="B37" s="1668" t="n">
        <f aca="false">'7.2.1 Turnover Vehicles'!C84*'7.4.1 Salaries &amp; Wages'!C80+(B16/(B16+C16+D16+0.00001)*('7.4.1 Salaries &amp; Wages'!C71+'7.4.1 Salaries &amp; Wages'!C91))-('7.2.1 Turnover Vehicles'!$C$84*'7.4.1 Salaries &amp; Wages'!$C$77*(1+'7.4.1 Salaries &amp; Wages'!$B$78))</f>
        <v>30192</v>
      </c>
      <c r="C37" s="1668" t="n">
        <f aca="false">'7.2.1 Turnover Vehicles'!C85*'7.4.1 Salaries &amp; Wages'!C80+(C16/(B16+C16+D16+0.00001)*('7.4.1 Salaries &amp; Wages'!C71+'7.4.1 Salaries &amp; Wages'!C91))-('7.2.1 Turnover Vehicles'!$C$85*'7.4.1 Salaries &amp; Wages'!$C$77*(1+'7.4.1 Salaries &amp; Wages'!$B$78))</f>
        <v>0</v>
      </c>
      <c r="D37" s="1668" t="n">
        <f aca="false">'7.2.1 Turnover Vehicles'!C86*'7.4.1 Salaries &amp; Wages'!C80+(D16/(B16+C16+D16+0.00001)*('7.4.1 Salaries &amp; Wages'!C71+'7.4.1 Salaries &amp; Wages'!C91))-('7.2.1 Turnover Vehicles'!$C$86*'7.4.1 Salaries &amp; Wages'!$C$77*(1+'7.4.1 Salaries &amp; Wages'!$B$78))</f>
        <v>0</v>
      </c>
      <c r="E37" s="1669" t="n">
        <f aca="false">'7.4.1 Salaries &amp; Wages'!C141+'7.4.1 Salaries &amp; Wages'!C150+'7.4.1 Salaries &amp; Wages'!C159+'7.4.1 Salaries &amp; Wages'!C168</f>
        <v>0</v>
      </c>
      <c r="F37" s="1669" t="n">
        <f aca="false">'7.4.1 Salaries &amp; Wages'!C123+'7.4.1 Salaries &amp; Wages'!C132</f>
        <v>0</v>
      </c>
      <c r="G37" s="1670" t="n">
        <f aca="false">'7.4.1 Salaries &amp; Wages'!C35+'7.4.1 Salaries &amp; Wages'!C44+'7.4.1 Salaries &amp; Wages'!C53+'7.4.1 Salaries &amp; Wages'!C62</f>
        <v>0</v>
      </c>
      <c r="H37" s="1668" t="n">
        <f aca="false">SUM(B37:G37)</f>
        <v>30192</v>
      </c>
      <c r="I37" s="1671" t="n">
        <f aca="false">B37+C37+D37+F37+E37+G37</f>
        <v>30192</v>
      </c>
      <c r="L37" s="1018"/>
      <c r="M37" s="1018"/>
    </row>
    <row r="38" customFormat="false" ht="15" hidden="false" customHeight="false" outlineLevel="0" collapsed="false">
      <c r="A38" s="1046"/>
      <c r="B38" s="1656"/>
      <c r="C38" s="1657"/>
      <c r="D38" s="1657"/>
      <c r="E38" s="1657"/>
      <c r="F38" s="1661"/>
      <c r="G38" s="1658"/>
      <c r="H38" s="1656"/>
      <c r="I38" s="1658"/>
    </row>
    <row r="39" customFormat="false" ht="15" hidden="false" customHeight="false" outlineLevel="0" collapsed="false">
      <c r="A39" s="1060" t="s">
        <v>991</v>
      </c>
      <c r="B39" s="1656"/>
      <c r="C39" s="1657"/>
      <c r="D39" s="1657"/>
      <c r="E39" s="1657"/>
      <c r="F39" s="1661"/>
      <c r="G39" s="1658"/>
      <c r="H39" s="1656"/>
      <c r="I39" s="1658"/>
    </row>
    <row r="40" customFormat="false" ht="15" hidden="false" customHeight="false" outlineLevel="0" collapsed="false">
      <c r="A40" s="1046" t="s">
        <v>760</v>
      </c>
      <c r="B40" s="1660" t="n">
        <f aca="false">'7.4.2 Selling &amp; Oper. expenses'!C37*'7.4.2 Selling &amp; Oper. expenses'!E68</f>
        <v>2258</v>
      </c>
      <c r="C40" s="1661" t="n">
        <f aca="false">'7.4.2 Selling &amp; Oper. expenses'!C37*'7.4.2 Selling &amp; Oper. expenses'!F68</f>
        <v>0</v>
      </c>
      <c r="D40" s="1661" t="n">
        <f aca="false">'7.4.2 Selling &amp; Oper. expenses'!C37*'7.4.2 Selling &amp; Oper. expenses'!G68</f>
        <v>0</v>
      </c>
      <c r="E40" s="1661" t="n">
        <f aca="false">'7.4.2 Selling &amp; Oper. expenses'!C37*'7.4.2 Selling &amp; Oper. expenses'!H68</f>
        <v>0</v>
      </c>
      <c r="F40" s="1661" t="n">
        <f aca="false">'7.4.2 Selling &amp; Oper. expenses'!C37*'7.4.2 Selling &amp; Oper. expenses'!I68</f>
        <v>0</v>
      </c>
      <c r="G40" s="1681" t="n">
        <f aca="false">'7.4.2 Selling &amp; Oper. expenses'!C37*'7.4.2 Selling &amp; Oper. expenses'!J68</f>
        <v>0</v>
      </c>
      <c r="H40" s="1660" t="n">
        <f aca="false">SUM(B40:G40)</f>
        <v>2258</v>
      </c>
      <c r="I40" s="1681" t="n">
        <f aca="false">SUM(B40:G40)</f>
        <v>2258</v>
      </c>
    </row>
    <row r="41" customFormat="false" ht="15" hidden="false" customHeight="false" outlineLevel="0" collapsed="false">
      <c r="A41" s="1046" t="s">
        <v>761</v>
      </c>
      <c r="B41" s="1660" t="n">
        <f aca="false">'7.4.2 Selling &amp; Oper. expenses'!C38*'7.4.2 Selling &amp; Oper. expenses'!E69</f>
        <v>5806</v>
      </c>
      <c r="C41" s="1661" t="n">
        <f aca="false">'7.4.2 Selling &amp; Oper. expenses'!C38*'7.4.2 Selling &amp; Oper. expenses'!F69</f>
        <v>0</v>
      </c>
      <c r="D41" s="1661" t="n">
        <f aca="false">'7.4.2 Selling &amp; Oper. expenses'!C38*'7.4.2 Selling &amp; Oper. expenses'!G69</f>
        <v>0</v>
      </c>
      <c r="E41" s="1661" t="n">
        <f aca="false">'7.4.2 Selling &amp; Oper. expenses'!C38*'7.4.2 Selling &amp; Oper. expenses'!H69</f>
        <v>0</v>
      </c>
      <c r="F41" s="1661" t="n">
        <f aca="false">'7.4.2 Selling &amp; Oper. expenses'!C38*'7.4.2 Selling &amp; Oper. expenses'!I69</f>
        <v>0</v>
      </c>
      <c r="G41" s="1681" t="n">
        <f aca="false">'7.4.2 Selling &amp; Oper. expenses'!C38*'7.4.2 Selling &amp; Oper. expenses'!J69</f>
        <v>0</v>
      </c>
      <c r="H41" s="1660" t="n">
        <f aca="false">SUM(B41:G41)</f>
        <v>5806</v>
      </c>
      <c r="I41" s="1681" t="n">
        <f aca="false">SUM(B41:G41)</f>
        <v>5806</v>
      </c>
    </row>
    <row r="42" customFormat="false" ht="15" hidden="false" customHeight="false" outlineLevel="0" collapsed="false">
      <c r="A42" s="1046" t="s">
        <v>762</v>
      </c>
      <c r="B42" s="1660" t="n">
        <f aca="false">'7.4.2 Selling &amp; Oper. expenses'!C39*'7.4.2 Selling &amp; Oper. expenses'!E70</f>
        <v>5000</v>
      </c>
      <c r="C42" s="1661" t="n">
        <f aca="false">'7.4.2 Selling &amp; Oper. expenses'!C39*'7.4.2 Selling &amp; Oper. expenses'!F70</f>
        <v>0</v>
      </c>
      <c r="D42" s="1661" t="n">
        <f aca="false">'7.4.2 Selling &amp; Oper. expenses'!C39*'7.4.2 Selling &amp; Oper. expenses'!G70</f>
        <v>0</v>
      </c>
      <c r="E42" s="1661" t="n">
        <f aca="false">'7.4.2 Selling &amp; Oper. expenses'!C39*'7.4.2 Selling &amp; Oper. expenses'!H70</f>
        <v>0</v>
      </c>
      <c r="F42" s="1661" t="n">
        <f aca="false">'7.4.2 Selling &amp; Oper. expenses'!C39*'7.4.2 Selling &amp; Oper. expenses'!I70</f>
        <v>0</v>
      </c>
      <c r="G42" s="1681" t="n">
        <f aca="false">'7.4.2 Selling &amp; Oper. expenses'!C39*'7.4.2 Selling &amp; Oper. expenses'!J70</f>
        <v>0</v>
      </c>
      <c r="H42" s="1660" t="n">
        <f aca="false">SUM(B42:G42)</f>
        <v>5000</v>
      </c>
      <c r="I42" s="1681" t="n">
        <f aca="false">SUM(B42:G42)</f>
        <v>5000</v>
      </c>
    </row>
    <row r="43" customFormat="false" ht="15" hidden="false" customHeight="false" outlineLevel="0" collapsed="false">
      <c r="A43" s="1046" t="s">
        <v>763</v>
      </c>
      <c r="B43" s="1660" t="n">
        <f aca="false">'7.4.2 Selling &amp; Oper. expenses'!C40*'7.4.2 Selling &amp; Oper. expenses'!E71</f>
        <v>6000</v>
      </c>
      <c r="C43" s="1661" t="n">
        <f aca="false">'7.4.2 Selling &amp; Oper. expenses'!C40*'7.4.2 Selling &amp; Oper. expenses'!F71</f>
        <v>0</v>
      </c>
      <c r="D43" s="1661" t="n">
        <f aca="false">'7.4.2 Selling &amp; Oper. expenses'!C40*'7.4.2 Selling &amp; Oper. expenses'!G71</f>
        <v>0</v>
      </c>
      <c r="E43" s="1661" t="n">
        <f aca="false">'7.4.2 Selling &amp; Oper. expenses'!C40*'7.4.2 Selling &amp; Oper. expenses'!H71</f>
        <v>0</v>
      </c>
      <c r="F43" s="1661" t="n">
        <f aca="false">'7.4.2 Selling &amp; Oper. expenses'!C40*'7.4.2 Selling &amp; Oper. expenses'!I71</f>
        <v>0</v>
      </c>
      <c r="G43" s="1681" t="n">
        <f aca="false">'7.4.2 Selling &amp; Oper. expenses'!C40*'7.4.2 Selling &amp; Oper. expenses'!J71</f>
        <v>0</v>
      </c>
      <c r="H43" s="1660" t="n">
        <f aca="false">SUM(B43:G43)</f>
        <v>6000</v>
      </c>
      <c r="I43" s="1681" t="n">
        <f aca="false">SUM(B43:G43)</f>
        <v>6000</v>
      </c>
    </row>
    <row r="44" customFormat="false" ht="15" hidden="false" customHeight="false" outlineLevel="0" collapsed="false">
      <c r="A44" s="1046" t="s">
        <v>764</v>
      </c>
      <c r="B44" s="1660" t="n">
        <f aca="false">'7.4.2 Selling &amp; Oper. expenses'!C41*'7.4.2 Selling &amp; Oper. expenses'!E72</f>
        <v>20000</v>
      </c>
      <c r="C44" s="1661" t="n">
        <f aca="false">'7.4.2 Selling &amp; Oper. expenses'!C41*'7.4.2 Selling &amp; Oper. expenses'!F72</f>
        <v>0</v>
      </c>
      <c r="D44" s="1661" t="n">
        <f aca="false">'7.4.2 Selling &amp; Oper. expenses'!C41*'7.4.2 Selling &amp; Oper. expenses'!G72</f>
        <v>0</v>
      </c>
      <c r="E44" s="1661" t="n">
        <f aca="false">'7.4.2 Selling &amp; Oper. expenses'!C41*'7.4.2 Selling &amp; Oper. expenses'!H72</f>
        <v>0</v>
      </c>
      <c r="F44" s="1661" t="n">
        <f aca="false">'7.4.2 Selling &amp; Oper. expenses'!C41*'7.4.2 Selling &amp; Oper. expenses'!I72</f>
        <v>0</v>
      </c>
      <c r="G44" s="1681" t="n">
        <f aca="false">'7.4.2 Selling &amp; Oper. expenses'!C41*'7.4.2 Selling &amp; Oper. expenses'!J72</f>
        <v>0</v>
      </c>
      <c r="H44" s="1660" t="n">
        <f aca="false">SUM(B44:G44)</f>
        <v>20000</v>
      </c>
      <c r="I44" s="1681" t="n">
        <f aca="false">SUM(B44:G44)</f>
        <v>20000</v>
      </c>
    </row>
    <row r="45" customFormat="false" ht="15" hidden="false" customHeight="false" outlineLevel="0" collapsed="false">
      <c r="A45" s="1046" t="s">
        <v>992</v>
      </c>
      <c r="B45" s="1660" t="n">
        <f aca="false">'7.4.2 Selling &amp; Oper. expenses'!C42*'7.4.2 Selling &amp; Oper. expenses'!E73</f>
        <v>120000</v>
      </c>
      <c r="C45" s="1661" t="n">
        <f aca="false">'7.4.2 Selling &amp; Oper. expenses'!C42*'7.4.2 Selling &amp; Oper. expenses'!F73</f>
        <v>0</v>
      </c>
      <c r="D45" s="1661" t="n">
        <f aca="false">'7.4.2 Selling &amp; Oper. expenses'!C42*'7.4.2 Selling &amp; Oper. expenses'!G73</f>
        <v>0</v>
      </c>
      <c r="E45" s="1661" t="n">
        <f aca="false">'7.4.2 Selling &amp; Oper. expenses'!C42*'7.4.2 Selling &amp; Oper. expenses'!H73</f>
        <v>0</v>
      </c>
      <c r="F45" s="1661" t="n">
        <f aca="false">'7.4.2 Selling &amp; Oper. expenses'!C42*'7.4.2 Selling &amp; Oper. expenses'!I73</f>
        <v>0</v>
      </c>
      <c r="G45" s="1681" t="n">
        <f aca="false">'7.4.2 Selling &amp; Oper. expenses'!C42*'7.4.2 Selling &amp; Oper. expenses'!J73</f>
        <v>0</v>
      </c>
      <c r="H45" s="1660" t="n">
        <f aca="false">SUM(B45:G45)</f>
        <v>120000</v>
      </c>
      <c r="I45" s="1681" t="n">
        <f aca="false">SUM(B45:G45)</f>
        <v>120000</v>
      </c>
    </row>
    <row r="46" customFormat="false" ht="15" hidden="false" customHeight="false" outlineLevel="0" collapsed="false">
      <c r="A46" s="1046" t="s">
        <v>766</v>
      </c>
      <c r="B46" s="1660" t="n">
        <f aca="false">'7.4.2 Selling &amp; Oper. expenses'!C43*'7.4.2 Selling &amp; Oper. expenses'!E74</f>
        <v>25000</v>
      </c>
      <c r="C46" s="1661" t="n">
        <f aca="false">'7.4.2 Selling &amp; Oper. expenses'!C43*'7.4.2 Selling &amp; Oper. expenses'!F74</f>
        <v>0</v>
      </c>
      <c r="D46" s="1661" t="n">
        <f aca="false">'7.4.2 Selling &amp; Oper. expenses'!C43*'7.4.2 Selling &amp; Oper. expenses'!G74</f>
        <v>0</v>
      </c>
      <c r="E46" s="1661" t="n">
        <f aca="false">'7.4.2 Selling &amp; Oper. expenses'!C43*'7.4.2 Selling &amp; Oper. expenses'!H74</f>
        <v>0</v>
      </c>
      <c r="F46" s="1661" t="n">
        <f aca="false">'7.4.2 Selling &amp; Oper. expenses'!C43*'7.4.2 Selling &amp; Oper. expenses'!I74</f>
        <v>0</v>
      </c>
      <c r="G46" s="1681" t="n">
        <f aca="false">'7.4.2 Selling &amp; Oper. expenses'!C43*'7.4.2 Selling &amp; Oper. expenses'!J74</f>
        <v>0</v>
      </c>
      <c r="H46" s="1660" t="n">
        <f aca="false">SUM(B46:G46)</f>
        <v>25000</v>
      </c>
      <c r="I46" s="1681" t="n">
        <f aca="false">SUM(B46:G46)</f>
        <v>25000</v>
      </c>
    </row>
    <row r="47" customFormat="false" ht="15" hidden="false" customHeight="false" outlineLevel="0" collapsed="false">
      <c r="A47" s="1046" t="s">
        <v>993</v>
      </c>
      <c r="B47" s="1660" t="n">
        <f aca="false">'7.4.2 Selling &amp; Oper. expenses'!C44*'7.4.2 Selling &amp; Oper. expenses'!E75</f>
        <v>9677</v>
      </c>
      <c r="C47" s="1661" t="n">
        <f aca="false">'7.4.2 Selling &amp; Oper. expenses'!C44*'7.4.2 Selling &amp; Oper. expenses'!F75</f>
        <v>0</v>
      </c>
      <c r="D47" s="1661" t="n">
        <f aca="false">'7.4.2 Selling &amp; Oper. expenses'!C44*'7.4.2 Selling &amp; Oper. expenses'!G75</f>
        <v>0</v>
      </c>
      <c r="E47" s="1661" t="n">
        <f aca="false">'7.4.2 Selling &amp; Oper. expenses'!C44*'7.4.2 Selling &amp; Oper. expenses'!H75</f>
        <v>0</v>
      </c>
      <c r="F47" s="1661" t="n">
        <f aca="false">'7.4.2 Selling &amp; Oper. expenses'!C44*'7.4.2 Selling &amp; Oper. expenses'!I75</f>
        <v>0</v>
      </c>
      <c r="G47" s="1681" t="n">
        <f aca="false">'7.4.2 Selling &amp; Oper. expenses'!C44*'7.4.2 Selling &amp; Oper. expenses'!J75</f>
        <v>0</v>
      </c>
      <c r="H47" s="1660" t="n">
        <f aca="false">SUM(B47:G47)</f>
        <v>9677</v>
      </c>
      <c r="I47" s="1681" t="n">
        <f aca="false">SUM(B47:G47)</f>
        <v>9677</v>
      </c>
    </row>
    <row r="48" customFormat="false" ht="15" hidden="false" customHeight="false" outlineLevel="0" collapsed="false">
      <c r="A48" s="1046" t="s">
        <v>994</v>
      </c>
      <c r="B48" s="1660" t="n">
        <f aca="false">'7.4.2 Selling &amp; Oper. expenses'!C45*'7.4.2 Selling &amp; Oper. expenses'!E76</f>
        <v>1290</v>
      </c>
      <c r="C48" s="1661" t="n">
        <f aca="false">'7.4.2 Selling &amp; Oper. expenses'!C45*'7.4.2 Selling &amp; Oper. expenses'!F76</f>
        <v>0</v>
      </c>
      <c r="D48" s="1661" t="n">
        <f aca="false">'7.4.2 Selling &amp; Oper. expenses'!C45*'7.4.2 Selling &amp; Oper. expenses'!G76</f>
        <v>0</v>
      </c>
      <c r="E48" s="1661" t="n">
        <f aca="false">'7.4.2 Selling &amp; Oper. expenses'!C45*'7.4.2 Selling &amp; Oper. expenses'!H76</f>
        <v>0</v>
      </c>
      <c r="F48" s="1661" t="n">
        <f aca="false">'7.4.2 Selling &amp; Oper. expenses'!C45*'7.4.2 Selling &amp; Oper. expenses'!I76</f>
        <v>0</v>
      </c>
      <c r="G48" s="1681" t="n">
        <f aca="false">'7.4.2 Selling &amp; Oper. expenses'!C45*'7.4.2 Selling &amp; Oper. expenses'!J76</f>
        <v>0</v>
      </c>
      <c r="H48" s="1660" t="n">
        <f aca="false">SUM(B48:G48)</f>
        <v>1290</v>
      </c>
      <c r="I48" s="1681" t="n">
        <f aca="false">SUM(B48:G48)</f>
        <v>1290</v>
      </c>
    </row>
    <row r="49" customFormat="false" ht="15" hidden="false" customHeight="false" outlineLevel="0" collapsed="false">
      <c r="A49" s="1046" t="s">
        <v>769</v>
      </c>
      <c r="B49" s="1660" t="n">
        <f aca="false">'7.4.2 Selling &amp; Oper. expenses'!C46*'7.4.2 Selling &amp; Oper. expenses'!E77</f>
        <v>16219</v>
      </c>
      <c r="C49" s="1661" t="n">
        <f aca="false">'7.4.2 Selling &amp; Oper. expenses'!C46*'7.4.2 Selling &amp; Oper. expenses'!F77</f>
        <v>0</v>
      </c>
      <c r="D49" s="1661" t="n">
        <f aca="false">'7.4.2 Selling &amp; Oper. expenses'!C46*'7.4.2 Selling &amp; Oper. expenses'!G77</f>
        <v>0</v>
      </c>
      <c r="E49" s="1661" t="n">
        <f aca="false">'7.4.2 Selling &amp; Oper. expenses'!C46*'7.4.2 Selling &amp; Oper. expenses'!H77</f>
        <v>0</v>
      </c>
      <c r="F49" s="1661" t="n">
        <f aca="false">'7.4.2 Selling &amp; Oper. expenses'!C46*'7.4.2 Selling &amp; Oper. expenses'!I77</f>
        <v>0</v>
      </c>
      <c r="G49" s="1681" t="n">
        <f aca="false">'7.4.2 Selling &amp; Oper. expenses'!C46*'7.4.2 Selling &amp; Oper. expenses'!J77</f>
        <v>0</v>
      </c>
      <c r="H49" s="1660" t="n">
        <f aca="false">SUM(B49:G49)</f>
        <v>16219</v>
      </c>
      <c r="I49" s="1681" t="n">
        <f aca="false">SUM(B49:G49)</f>
        <v>16219</v>
      </c>
    </row>
    <row r="50" customFormat="false" ht="15" hidden="false" customHeight="false" outlineLevel="0" collapsed="false">
      <c r="A50" s="1046" t="s">
        <v>252</v>
      </c>
      <c r="B50" s="1660" t="n">
        <f aca="false">'7.4.2 Selling &amp; Oper. expenses'!C47*'7.4.2 Selling &amp; Oper. expenses'!E78</f>
        <v>16219</v>
      </c>
      <c r="C50" s="1661" t="n">
        <f aca="false">'7.4.2 Selling &amp; Oper. expenses'!C47*'7.4.2 Selling &amp; Oper. expenses'!F78</f>
        <v>0</v>
      </c>
      <c r="D50" s="1661" t="n">
        <f aca="false">'7.4.2 Selling &amp; Oper. expenses'!C47*'7.4.2 Selling &amp; Oper. expenses'!G78</f>
        <v>0</v>
      </c>
      <c r="E50" s="1661" t="n">
        <f aca="false">'7.4.2 Selling &amp; Oper. expenses'!C47*'7.4.2 Selling &amp; Oper. expenses'!H78</f>
        <v>0</v>
      </c>
      <c r="F50" s="1661" t="n">
        <f aca="false">'7.4.2 Selling &amp; Oper. expenses'!C47*'7.4.2 Selling &amp; Oper. expenses'!I78</f>
        <v>0</v>
      </c>
      <c r="G50" s="1681" t="n">
        <f aca="false">'7.4.2 Selling &amp; Oper. expenses'!C47*'7.4.2 Selling &amp; Oper. expenses'!J78</f>
        <v>0</v>
      </c>
      <c r="H50" s="1660" t="n">
        <f aca="false">SUM(B50:G50)</f>
        <v>16219</v>
      </c>
      <c r="I50" s="1681" t="n">
        <f aca="false">SUM(B50:G50)</f>
        <v>16219</v>
      </c>
    </row>
    <row r="51" customFormat="false" ht="15" hidden="false" customHeight="false" outlineLevel="0" collapsed="false">
      <c r="A51" s="1046" t="s">
        <v>995</v>
      </c>
      <c r="B51" s="1660" t="n">
        <f aca="false">'7.4.2 Selling &amp; Oper. expenses'!C48*'7.4.2 Selling &amp; Oper. expenses'!E79</f>
        <v>12903</v>
      </c>
      <c r="C51" s="1661" t="n">
        <f aca="false">'7.4.2 Selling &amp; Oper. expenses'!C48*'7.4.2 Selling &amp; Oper. expenses'!F79</f>
        <v>0</v>
      </c>
      <c r="D51" s="1661" t="n">
        <f aca="false">'7.4.2 Selling &amp; Oper. expenses'!C48*'7.4.2 Selling &amp; Oper. expenses'!G79</f>
        <v>0</v>
      </c>
      <c r="E51" s="1661" t="n">
        <f aca="false">'7.4.2 Selling &amp; Oper. expenses'!C48*'7.4.2 Selling &amp; Oper. expenses'!H79</f>
        <v>0</v>
      </c>
      <c r="F51" s="1661" t="n">
        <f aca="false">'7.4.2 Selling &amp; Oper. expenses'!C48*'7.4.2 Selling &amp; Oper. expenses'!I79</f>
        <v>0</v>
      </c>
      <c r="G51" s="1681" t="n">
        <f aca="false">'7.4.2 Selling &amp; Oper. expenses'!C48*'7.4.2 Selling &amp; Oper. expenses'!J79</f>
        <v>0</v>
      </c>
      <c r="H51" s="1660" t="n">
        <f aca="false">SUM(B51:G51)</f>
        <v>12903</v>
      </c>
      <c r="I51" s="1681" t="n">
        <f aca="false">SUM(B51:G51)</f>
        <v>12903</v>
      </c>
    </row>
    <row r="52" customFormat="false" ht="15" hidden="false" customHeight="false" outlineLevel="0" collapsed="false">
      <c r="A52" s="1046" t="s">
        <v>798</v>
      </c>
      <c r="B52" s="1660" t="n">
        <f aca="false">'7.4.2 Selling &amp; Oper. expenses'!C49*'7.4.2 Selling &amp; Oper. expenses'!E80</f>
        <v>1290</v>
      </c>
      <c r="C52" s="1661" t="n">
        <v>0</v>
      </c>
      <c r="D52" s="1661" t="n">
        <v>0</v>
      </c>
      <c r="E52" s="1661" t="n">
        <v>0</v>
      </c>
      <c r="F52" s="1661" t="n">
        <v>0</v>
      </c>
      <c r="G52" s="1681" t="n">
        <f aca="false">'7.4.2 Selling &amp; Oper. expenses'!C49*'7.4.2 Selling &amp; Oper. expenses'!J80</f>
        <v>0</v>
      </c>
      <c r="H52" s="1660" t="n">
        <f aca="false">SUM(B52:G52)</f>
        <v>1290</v>
      </c>
      <c r="I52" s="1681" t="n">
        <f aca="false">SUM(B52:G52)</f>
        <v>1290</v>
      </c>
    </row>
    <row r="53" customFormat="false" ht="15" hidden="false" customHeight="false" outlineLevel="0" collapsed="false">
      <c r="A53" s="1046" t="s">
        <v>772</v>
      </c>
      <c r="B53" s="1660" t="n">
        <f aca="false">'7.4.2 Selling &amp; Oper. expenses'!C50*'7.4.2 Selling &amp; Oper. expenses'!E81</f>
        <v>3870</v>
      </c>
      <c r="C53" s="1661" t="n">
        <f aca="false">'7.4.2 Selling &amp; Oper. expenses'!C50*'7.4.2 Selling &amp; Oper. expenses'!F81</f>
        <v>0</v>
      </c>
      <c r="D53" s="1661" t="n">
        <f aca="false">'7.4.2 Selling &amp; Oper. expenses'!C50*'7.4.2 Selling &amp; Oper. expenses'!G81</f>
        <v>0</v>
      </c>
      <c r="E53" s="1661" t="n">
        <f aca="false">'7.4.2 Selling &amp; Oper. expenses'!C50*'7.4.2 Selling &amp; Oper. expenses'!H81</f>
        <v>0</v>
      </c>
      <c r="F53" s="1661" t="n">
        <f aca="false">'7.4.2 Selling &amp; Oper. expenses'!C50*'7.4.2 Selling &amp; Oper. expenses'!I81</f>
        <v>0</v>
      </c>
      <c r="G53" s="1681" t="n">
        <f aca="false">'7.4.2 Selling &amp; Oper. expenses'!C50*'7.4.2 Selling &amp; Oper. expenses'!J81</f>
        <v>0</v>
      </c>
      <c r="H53" s="1660" t="n">
        <f aca="false">SUM(B53:G53)</f>
        <v>3870</v>
      </c>
      <c r="I53" s="1681" t="n">
        <f aca="false">SUM(B53:G53)</f>
        <v>3870</v>
      </c>
    </row>
    <row r="54" customFormat="false" ht="15" hidden="false" customHeight="false" outlineLevel="0" collapsed="false">
      <c r="A54" s="1046" t="s">
        <v>773</v>
      </c>
      <c r="B54" s="1660" t="n">
        <f aca="false">'7.4.2 Selling &amp; Oper. expenses'!C51*'7.4.2 Selling &amp; Oper. expenses'!E82</f>
        <v>130000</v>
      </c>
      <c r="C54" s="1661" t="n">
        <f aca="false">'7.4.2 Selling &amp; Oper. expenses'!C51*'7.4.2 Selling &amp; Oper. expenses'!F82</f>
        <v>0</v>
      </c>
      <c r="D54" s="1661" t="n">
        <f aca="false">'7.4.2 Selling &amp; Oper. expenses'!C51*'7.4.2 Selling &amp; Oper. expenses'!G82</f>
        <v>0</v>
      </c>
      <c r="E54" s="1661" t="n">
        <f aca="false">'7.4.2 Selling &amp; Oper. expenses'!C51*'7.4.2 Selling &amp; Oper. expenses'!H82</f>
        <v>0</v>
      </c>
      <c r="F54" s="1661" t="n">
        <f aca="false">'7.4.2 Selling &amp; Oper. expenses'!C51*'7.4.2 Selling &amp; Oper. expenses'!I82</f>
        <v>0</v>
      </c>
      <c r="G54" s="1681" t="n">
        <f aca="false">'7.4.2 Selling &amp; Oper. expenses'!C51*'7.4.2 Selling &amp; Oper. expenses'!J82</f>
        <v>0</v>
      </c>
      <c r="H54" s="1660" t="n">
        <f aca="false">SUM(B54:G54)</f>
        <v>130000</v>
      </c>
      <c r="I54" s="1681" t="n">
        <f aca="false">SUM(B54:G54)</f>
        <v>130000</v>
      </c>
    </row>
    <row r="55" customFormat="false" ht="15" hidden="false" customHeight="false" outlineLevel="0" collapsed="false">
      <c r="A55" s="1046" t="s">
        <v>996</v>
      </c>
      <c r="B55" s="1660" t="n">
        <f aca="false">'7.4.2 Selling &amp; Oper. expenses'!C52*'7.4.2 Selling &amp; Oper. expenses'!E83</f>
        <v>0</v>
      </c>
      <c r="C55" s="1661" t="n">
        <f aca="false">'7.4.2 Selling &amp; Oper. expenses'!C52*'7.4.2 Selling &amp; Oper. expenses'!F83</f>
        <v>0</v>
      </c>
      <c r="D55" s="1661" t="n">
        <f aca="false">'7.4.2 Selling &amp; Oper. expenses'!C52*'7.4.2 Selling &amp; Oper. expenses'!G83</f>
        <v>0</v>
      </c>
      <c r="E55" s="1661" t="n">
        <f aca="false">'7.4.2 Selling &amp; Oper. expenses'!C52*'7.4.2 Selling &amp; Oper. expenses'!H83</f>
        <v>0</v>
      </c>
      <c r="F55" s="1661" t="n">
        <f aca="false">'7.4.2 Selling &amp; Oper. expenses'!C52*'7.4.2 Selling &amp; Oper. expenses'!I83</f>
        <v>0</v>
      </c>
      <c r="G55" s="1681" t="n">
        <f aca="false">'7.4.2 Selling &amp; Oper. expenses'!C52*'7.4.2 Selling &amp; Oper. expenses'!J83</f>
        <v>0</v>
      </c>
      <c r="H55" s="1660" t="n">
        <f aca="false">SUM(B55:G55)</f>
        <v>0</v>
      </c>
      <c r="I55" s="1681" t="n">
        <f aca="false">SUM(B55:G55)</f>
        <v>0</v>
      </c>
    </row>
    <row r="56" customFormat="false" ht="15" hidden="false" customHeight="false" outlineLevel="0" collapsed="false">
      <c r="A56" s="1046" t="s">
        <v>775</v>
      </c>
      <c r="B56" s="1660" t="n">
        <f aca="false">'7.4.2 Selling &amp; Oper. expenses'!C53*'7.4.2 Selling &amp; Oper. expenses'!E84</f>
        <v>10000</v>
      </c>
      <c r="C56" s="1661" t="n">
        <f aca="false">'7.4.2 Selling &amp; Oper. expenses'!C53*'7.4.2 Selling &amp; Oper. expenses'!F84</f>
        <v>0</v>
      </c>
      <c r="D56" s="1661" t="n">
        <f aca="false">'7.4.2 Selling &amp; Oper. expenses'!C53*'7.4.2 Selling &amp; Oper. expenses'!G84</f>
        <v>0</v>
      </c>
      <c r="E56" s="1661" t="n">
        <f aca="false">'7.4.2 Selling &amp; Oper. expenses'!C53*'7.4.2 Selling &amp; Oper. expenses'!H84</f>
        <v>0</v>
      </c>
      <c r="F56" s="1661" t="n">
        <f aca="false">'7.4.2 Selling &amp; Oper. expenses'!C53*'7.4.2 Selling &amp; Oper. expenses'!I84</f>
        <v>0</v>
      </c>
      <c r="G56" s="1681" t="n">
        <f aca="false">'7.4.2 Selling &amp; Oper. expenses'!C53*'7.4.2 Selling &amp; Oper. expenses'!J84</f>
        <v>0</v>
      </c>
      <c r="H56" s="1660" t="n">
        <f aca="false">SUM(B56:G56)</f>
        <v>10000</v>
      </c>
      <c r="I56" s="1681" t="n">
        <f aca="false">SUM(B56:G56)</f>
        <v>10000</v>
      </c>
    </row>
    <row r="57" customFormat="false" ht="15" hidden="false" customHeight="false" outlineLevel="0" collapsed="false">
      <c r="A57" s="1046" t="s">
        <v>776</v>
      </c>
      <c r="B57" s="1663" t="n">
        <f aca="false">'7.4.2 Selling &amp; Oper. expenses'!C54*'7.4.2 Selling &amp; Oper. expenses'!E85</f>
        <v>0</v>
      </c>
      <c r="C57" s="1665" t="n">
        <f aca="false">'7.4.2 Selling &amp; Oper. expenses'!C54*'7.4.2 Selling &amp; Oper. expenses'!F85</f>
        <v>0</v>
      </c>
      <c r="D57" s="1665" t="n">
        <f aca="false">'7.4.2 Selling &amp; Oper. expenses'!C54*'7.4.2 Selling &amp; Oper. expenses'!G85</f>
        <v>0</v>
      </c>
      <c r="E57" s="1665" t="n">
        <f aca="false">'7.4.2 Selling &amp; Oper. expenses'!C54*'7.4.2 Selling &amp; Oper. expenses'!H85</f>
        <v>0</v>
      </c>
      <c r="F57" s="1665" t="n">
        <f aca="false">'7.4.2 Selling &amp; Oper. expenses'!C54*'7.4.2 Selling &amp; Oper. expenses'!I85</f>
        <v>0</v>
      </c>
      <c r="G57" s="1682" t="n">
        <f aca="false">'7.4.2 Selling &amp; Oper. expenses'!C54*'7.4.2 Selling &amp; Oper. expenses'!J85</f>
        <v>0</v>
      </c>
      <c r="H57" s="1663" t="n">
        <f aca="false">SUM(B57:G57)</f>
        <v>0</v>
      </c>
      <c r="I57" s="1682" t="n">
        <f aca="false">SUM(B57:G57)</f>
        <v>0</v>
      </c>
    </row>
    <row r="58" s="273" customFormat="true" ht="15" hidden="false" customHeight="false" outlineLevel="0" collapsed="false">
      <c r="A58" s="1060" t="s">
        <v>997</v>
      </c>
      <c r="B58" s="1683" t="n">
        <f aca="false">SUM(B40:B57)</f>
        <v>385532</v>
      </c>
      <c r="C58" s="1684" t="n">
        <f aca="false">SUM(C40:C57)</f>
        <v>0</v>
      </c>
      <c r="D58" s="1684" t="n">
        <f aca="false">SUM(D40:D57)</f>
        <v>0</v>
      </c>
      <c r="E58" s="1684" t="n">
        <f aca="false">SUM(E40:E57)</f>
        <v>0</v>
      </c>
      <c r="F58" s="1684" t="n">
        <f aca="false">SUM(F40:F57)</f>
        <v>0</v>
      </c>
      <c r="G58" s="1685" t="n">
        <f aca="false">SUM(G40:G57)</f>
        <v>0</v>
      </c>
      <c r="H58" s="1683" t="n">
        <f aca="false">SUM(H40:H57)</f>
        <v>385532</v>
      </c>
      <c r="I58" s="1671" t="n">
        <f aca="false">SUM(I40:I57)</f>
        <v>385532</v>
      </c>
    </row>
    <row r="59" customFormat="false" ht="15" hidden="false" customHeight="false" outlineLevel="0" collapsed="false">
      <c r="A59" s="1046"/>
      <c r="B59" s="1656"/>
      <c r="C59" s="1657"/>
      <c r="D59" s="1657"/>
      <c r="E59" s="1657"/>
      <c r="F59" s="1657"/>
      <c r="G59" s="1658"/>
      <c r="H59" s="1656"/>
      <c r="I59" s="1658"/>
    </row>
    <row r="60" s="273" customFormat="true" ht="15" hidden="false" customHeight="false" outlineLevel="0" collapsed="false">
      <c r="A60" s="1060" t="s">
        <v>998</v>
      </c>
      <c r="B60" s="1668" t="n">
        <f aca="false">'7.4.3 Inv. &amp; Depr.'!D126</f>
        <v>0</v>
      </c>
      <c r="C60" s="1669" t="n">
        <f aca="false">'7.4.3 Inv. &amp; Depr.'!D127</f>
        <v>0</v>
      </c>
      <c r="D60" s="1669" t="n">
        <f aca="false">'7.4.3 Inv. &amp; Depr.'!D128</f>
        <v>0</v>
      </c>
      <c r="E60" s="1669" t="n">
        <f aca="false">'7.4.3 Inv. &amp; Depr.'!D129</f>
        <v>16129</v>
      </c>
      <c r="F60" s="1669" t="n">
        <v>0</v>
      </c>
      <c r="G60" s="1670" t="n">
        <f aca="false">'7.4.3 Inv. &amp; Depr.'!D121+'7.4.3 Inv. &amp; Depr.'!D130</f>
        <v>111919.333333333</v>
      </c>
      <c r="H60" s="1668" t="n">
        <f aca="false">SUM(B60:G60)</f>
        <v>128048.333333333</v>
      </c>
      <c r="I60" s="1670" t="n">
        <f aca="false">SUM(B60:G60)</f>
        <v>128048.333333333</v>
      </c>
    </row>
    <row r="61" s="273" customFormat="true" ht="15" hidden="false" customHeight="false" outlineLevel="0" collapsed="false">
      <c r="A61" s="1046"/>
      <c r="B61" s="1673"/>
      <c r="C61" s="1674"/>
      <c r="D61" s="1674"/>
      <c r="E61" s="1674"/>
      <c r="F61" s="1674"/>
      <c r="G61" s="1679"/>
      <c r="H61" s="1680"/>
      <c r="I61" s="1676"/>
    </row>
    <row r="62" customFormat="false" ht="15" hidden="false" customHeight="false" outlineLevel="0" collapsed="false">
      <c r="A62" s="1677"/>
      <c r="B62" s="1652"/>
      <c r="C62" s="1653"/>
      <c r="D62" s="1653"/>
      <c r="E62" s="1653"/>
      <c r="F62" s="1653"/>
      <c r="G62" s="1654"/>
      <c r="H62" s="1652"/>
      <c r="I62" s="1655"/>
    </row>
    <row r="63" s="273" customFormat="true" ht="15" hidden="false" customHeight="false" outlineLevel="0" collapsed="false">
      <c r="A63" s="1060" t="s">
        <v>999</v>
      </c>
      <c r="B63" s="1668" t="n">
        <f aca="false">B32-B35-B37-B58-B60</f>
        <v>-416374</v>
      </c>
      <c r="C63" s="1669" t="n">
        <f aca="false">C32-C35-C37-C58-C60</f>
        <v>0</v>
      </c>
      <c r="D63" s="1669" t="n">
        <f aca="false">D32-D35-D37-D58-D60</f>
        <v>0</v>
      </c>
      <c r="E63" s="1669" t="e">
        <f aca="false">E32-E35-E37-E58-E60</f>
        <v>#VALUE!</v>
      </c>
      <c r="F63" s="1669" t="n">
        <f aca="false">F32-F35-F37-F58-F60</f>
        <v>0</v>
      </c>
      <c r="G63" s="1670" t="n">
        <f aca="false">G32-G35-G37-G58-G60</f>
        <v>-111919.333333333</v>
      </c>
      <c r="H63" s="1668" t="e">
        <f aca="false">H32-H35-H37-H58-H60</f>
        <v>#VALUE!</v>
      </c>
      <c r="I63" s="1671" t="e">
        <f aca="false">I32-I35-I37-I58-I60</f>
        <v>#VALUE!</v>
      </c>
      <c r="J63" s="1018"/>
    </row>
    <row r="64" s="273" customFormat="true" ht="15" hidden="false" customHeight="false" outlineLevel="0" collapsed="false">
      <c r="A64" s="1686"/>
      <c r="B64" s="1673"/>
      <c r="C64" s="1674"/>
      <c r="D64" s="1674"/>
      <c r="E64" s="1674"/>
      <c r="F64" s="1674"/>
      <c r="G64" s="1675"/>
      <c r="H64" s="1673"/>
      <c r="I64" s="1676"/>
    </row>
    <row r="65" customFormat="false" ht="15" hidden="false" customHeight="false" outlineLevel="0" collapsed="false">
      <c r="A65" s="1046"/>
      <c r="B65" s="1652"/>
      <c r="C65" s="1653"/>
      <c r="D65" s="1653"/>
      <c r="E65" s="1653"/>
      <c r="F65" s="1653"/>
      <c r="G65" s="1654"/>
      <c r="H65" s="1652"/>
      <c r="I65" s="1655"/>
    </row>
    <row r="66" customFormat="false" ht="15" hidden="false" customHeight="false" outlineLevel="0" collapsed="false">
      <c r="A66" s="1046" t="s">
        <v>1000</v>
      </c>
      <c r="B66" s="1660" t="n">
        <v>0</v>
      </c>
      <c r="C66" s="1661" t="n">
        <v>0</v>
      </c>
      <c r="D66" s="1661" t="n">
        <v>0</v>
      </c>
      <c r="E66" s="1661" t="n">
        <v>0</v>
      </c>
      <c r="F66" s="1661" t="n">
        <v>0</v>
      </c>
      <c r="G66" s="1681" t="e">
        <f aca="false">-'7.5.2 Fin. Income &amp; Expenses '!E70</f>
        <v>#VALUE!</v>
      </c>
      <c r="H66" s="1660" t="e">
        <f aca="false">SUM(B66:G66)</f>
        <v>#VALUE!</v>
      </c>
      <c r="I66" s="1681" t="e">
        <f aca="false">SUM(B66:G66)</f>
        <v>#VALUE!</v>
      </c>
    </row>
    <row r="67" customFormat="false" ht="15" hidden="false" customHeight="false" outlineLevel="0" collapsed="false">
      <c r="A67" s="1046" t="s">
        <v>1001</v>
      </c>
      <c r="B67" s="1660" t="n">
        <v>0</v>
      </c>
      <c r="C67" s="1661" t="n">
        <v>0</v>
      </c>
      <c r="D67" s="1661" t="n">
        <v>0</v>
      </c>
      <c r="E67" s="1661" t="n">
        <v>0</v>
      </c>
      <c r="F67" s="1661" t="n">
        <v>0</v>
      </c>
      <c r="G67" s="1681" t="n">
        <f aca="false">-'7.5.2 Fin. Income &amp; Expenses '!E71</f>
        <v>-39000</v>
      </c>
      <c r="H67" s="1660" t="n">
        <f aca="false">SUM(B67:G67)</f>
        <v>-39000</v>
      </c>
      <c r="I67" s="1681" t="n">
        <f aca="false">SUM(B67:G67)</f>
        <v>-39000</v>
      </c>
    </row>
    <row r="68" customFormat="false" ht="15" hidden="false" customHeight="false" outlineLevel="0" collapsed="false">
      <c r="A68" s="1046" t="s">
        <v>1002</v>
      </c>
      <c r="B68" s="1660" t="n">
        <v>0</v>
      </c>
      <c r="C68" s="1661" t="n">
        <v>0</v>
      </c>
      <c r="D68" s="1661" t="n">
        <v>0</v>
      </c>
      <c r="E68" s="1661" t="n">
        <v>0</v>
      </c>
      <c r="F68" s="1661" t="n">
        <v>0</v>
      </c>
      <c r="G68" s="1681" t="n">
        <f aca="false">-'7.5.2 Fin. Income &amp; Expenses '!E72</f>
        <v>-0</v>
      </c>
      <c r="H68" s="1660" t="n">
        <f aca="false">SUM(B68:G68)</f>
        <v>0</v>
      </c>
      <c r="I68" s="1681" t="n">
        <f aca="false">SUM(B68:G68)</f>
        <v>0</v>
      </c>
    </row>
    <row r="69" s="273" customFormat="true" ht="13.15" hidden="false" customHeight="true" outlineLevel="0" collapsed="false">
      <c r="A69" s="1046" t="s">
        <v>930</v>
      </c>
      <c r="B69" s="1660" t="n">
        <f aca="false">'7.5.1 Financial Requirements'!D38*'7.5.2 Fin. Income &amp; Expenses '!E52*'7.5.2 Fin. Income &amp; Expenses '!C73</f>
        <v>-0</v>
      </c>
      <c r="C69" s="1661" t="n">
        <f aca="false">(('7.2.1 Turnover Vehicles'!C53+'7.2.1 Turnover Vehicles'!C54)/2)*'7.5.2 Fin. Income &amp; Expenses '!E53*'7.5.2 Fin. Income &amp; Expenses '!C73</f>
        <v>0</v>
      </c>
      <c r="D69" s="1661" t="n">
        <f aca="false">'7.5.1 Financial Requirements'!D39*'7.5.2 Fin. Income &amp; Expenses '!E54*'7.5.2 Fin. Income &amp; Expenses '!C73</f>
        <v>0</v>
      </c>
      <c r="E69" s="1661" t="n">
        <v>0</v>
      </c>
      <c r="F69" s="1661" t="n">
        <v>0</v>
      </c>
      <c r="G69" s="1681" t="n">
        <v>0</v>
      </c>
      <c r="H69" s="1660" t="n">
        <f aca="false">SUM(B69:G69)</f>
        <v>0</v>
      </c>
      <c r="I69" s="1662" t="n">
        <f aca="false">SUM(B69:G69)</f>
        <v>0</v>
      </c>
      <c r="J69" s="362"/>
      <c r="K69" s="48"/>
      <c r="L69" s="362"/>
      <c r="M69" s="48"/>
      <c r="N69" s="48"/>
      <c r="O69" s="48"/>
      <c r="P69" s="48"/>
      <c r="Q69" s="48"/>
    </row>
    <row r="70" s="258" customFormat="true" ht="12.75" hidden="false" customHeight="true" outlineLevel="0" collapsed="false">
      <c r="A70" s="1687" t="s">
        <v>1003</v>
      </c>
      <c r="B70" s="1683" t="n">
        <f aca="false">SUM(B66:B69)</f>
        <v>0</v>
      </c>
      <c r="C70" s="1684" t="n">
        <f aca="false">SUM(C66:C69)</f>
        <v>0</v>
      </c>
      <c r="D70" s="1684" t="n">
        <f aca="false">SUM(D66:D69)</f>
        <v>0</v>
      </c>
      <c r="E70" s="1684" t="n">
        <f aca="false">SUM(E66:E69)</f>
        <v>0</v>
      </c>
      <c r="F70" s="1684" t="n">
        <f aca="false">SUM(F66:F69)</f>
        <v>0</v>
      </c>
      <c r="G70" s="1685" t="e">
        <f aca="false">SUM(G66:G69)</f>
        <v>#VALUE!</v>
      </c>
      <c r="H70" s="1683" t="e">
        <f aca="false">SUM(H66:H69)</f>
        <v>#VALUE!</v>
      </c>
      <c r="I70" s="1685" t="e">
        <f aca="false">SUM(I66:I69)</f>
        <v>#VALUE!</v>
      </c>
      <c r="J70" s="1688"/>
      <c r="L70" s="1688"/>
    </row>
    <row r="71" s="67" customFormat="true" ht="12.75" hidden="false" customHeight="true" outlineLevel="0" collapsed="false">
      <c r="A71" s="1060"/>
      <c r="B71" s="1668"/>
      <c r="C71" s="1689"/>
      <c r="D71" s="1689"/>
      <c r="E71" s="1689"/>
      <c r="F71" s="1689"/>
      <c r="G71" s="1690"/>
      <c r="H71" s="1668"/>
      <c r="I71" s="1671"/>
      <c r="J71" s="362"/>
      <c r="L71" s="362"/>
    </row>
    <row r="72" s="67" customFormat="true" ht="12.75" hidden="false" customHeight="true" outlineLevel="0" collapsed="false">
      <c r="A72" s="1060" t="s">
        <v>1004</v>
      </c>
      <c r="B72" s="1668" t="n">
        <v>0</v>
      </c>
      <c r="C72" s="1669" t="n">
        <v>0</v>
      </c>
      <c r="D72" s="1669" t="n">
        <v>0</v>
      </c>
      <c r="E72" s="1669" t="n">
        <v>0</v>
      </c>
      <c r="F72" s="1669" t="n">
        <v>0</v>
      </c>
      <c r="G72" s="1670" t="e">
        <f aca="false">'7.5.2 Fin. Income &amp; Expenses '!E86</f>
        <v>#VALUE!</v>
      </c>
      <c r="H72" s="1668" t="e">
        <f aca="false">SUM(B72:G72)</f>
        <v>#VALUE!</v>
      </c>
      <c r="I72" s="1670" t="e">
        <f aca="false">SUM(B72:G72)</f>
        <v>#VALUE!</v>
      </c>
      <c r="J72" s="362"/>
      <c r="L72" s="362"/>
    </row>
    <row r="73" customFormat="false" ht="15" hidden="false" customHeight="false" outlineLevel="0" collapsed="false">
      <c r="A73" s="1046"/>
      <c r="B73" s="1673"/>
      <c r="C73" s="1674"/>
      <c r="D73" s="1674"/>
      <c r="E73" s="1674"/>
      <c r="F73" s="1674"/>
      <c r="G73" s="1679"/>
      <c r="H73" s="1680"/>
      <c r="I73" s="1676"/>
    </row>
    <row r="74" customFormat="false" ht="15" hidden="false" customHeight="false" outlineLevel="0" collapsed="false">
      <c r="A74" s="1677"/>
      <c r="B74" s="1652"/>
      <c r="C74" s="1653"/>
      <c r="D74" s="1653"/>
      <c r="E74" s="1653"/>
      <c r="F74" s="1653"/>
      <c r="G74" s="1654"/>
      <c r="H74" s="1652"/>
      <c r="I74" s="1655"/>
    </row>
    <row r="75" customFormat="false" ht="15" hidden="false" customHeight="false" outlineLevel="0" collapsed="false">
      <c r="A75" s="1060" t="s">
        <v>1005</v>
      </c>
      <c r="B75" s="1668" t="n">
        <f aca="false">B63+B72+B70</f>
        <v>-416374</v>
      </c>
      <c r="C75" s="1669" t="n">
        <f aca="false">C63+C72+C70</f>
        <v>0</v>
      </c>
      <c r="D75" s="1669" t="n">
        <f aca="false">D63+D72+D70</f>
        <v>0</v>
      </c>
      <c r="E75" s="1669" t="e">
        <f aca="false">E63+E72+E70</f>
        <v>#VALUE!</v>
      </c>
      <c r="F75" s="1669" t="n">
        <f aca="false">F63+F72+F70</f>
        <v>0</v>
      </c>
      <c r="G75" s="1670" t="e">
        <f aca="false">G63+G72+G70</f>
        <v>#VALUE!</v>
      </c>
      <c r="H75" s="1668" t="e">
        <f aca="false">H63+H72+H70</f>
        <v>#VALUE!</v>
      </c>
      <c r="I75" s="1670" t="e">
        <f aca="false">I63+I72+I70</f>
        <v>#VALUE!</v>
      </c>
    </row>
    <row r="76" customFormat="false" ht="15" hidden="false" customHeight="false" outlineLevel="0" collapsed="false">
      <c r="A76" s="1686"/>
      <c r="B76" s="1673"/>
      <c r="C76" s="1674"/>
      <c r="D76" s="1674"/>
      <c r="E76" s="1674"/>
      <c r="F76" s="1674"/>
      <c r="G76" s="1675"/>
      <c r="H76" s="1673"/>
      <c r="I76" s="1676"/>
    </row>
    <row r="77" customFormat="false" ht="15" hidden="false" customHeight="false" outlineLevel="0" collapsed="false">
      <c r="A77" s="314"/>
      <c r="B77" s="1691"/>
      <c r="C77" s="1691"/>
      <c r="D77" s="1691"/>
      <c r="E77" s="1691"/>
      <c r="F77" s="1691"/>
      <c r="G77" s="1691"/>
      <c r="H77" s="1691"/>
      <c r="I77" s="1691"/>
    </row>
    <row r="78" customFormat="false" ht="28.5" hidden="false" customHeight="false" outlineLevel="0" collapsed="false">
      <c r="A78" s="113" t="s">
        <v>525</v>
      </c>
      <c r="B78" s="114"/>
      <c r="C78" s="114"/>
      <c r="D78" s="114"/>
      <c r="E78" s="114"/>
      <c r="F78" s="114"/>
      <c r="G78" s="114"/>
      <c r="H78" s="114"/>
      <c r="I78" s="385" t="str">
        <f aca="false">I1</f>
        <v>7.6.1 Activity Contribution</v>
      </c>
    </row>
    <row r="79" customFormat="false" ht="15" hidden="false" customHeight="false" outlineLevel="0" collapsed="false">
      <c r="A79" s="1046"/>
      <c r="B79" s="682"/>
      <c r="C79" s="1637"/>
      <c r="D79" s="682"/>
      <c r="E79" s="682"/>
      <c r="F79" s="682"/>
      <c r="G79" s="682"/>
      <c r="H79" s="682"/>
      <c r="I79" s="1692"/>
    </row>
    <row r="80" customFormat="false" ht="18" hidden="false" customHeight="false" outlineLevel="0" collapsed="false">
      <c r="A80" s="1693" t="s">
        <v>34</v>
      </c>
      <c r="B80" s="1694" t="str">
        <f aca="false">'Reference sheet'!$C$12</f>
        <v>TEST</v>
      </c>
      <c r="D80" s="853" t="s">
        <v>46</v>
      </c>
      <c r="E80" s="853" t="s">
        <v>49</v>
      </c>
      <c r="F80" s="852" t="n">
        <f aca="false">'Reference sheet'!$C$15</f>
        <v>1</v>
      </c>
      <c r="G80" s="1307" t="str">
        <f aca="false">'Reference sheet'!$C$17</f>
        <v>July</v>
      </c>
      <c r="H80" s="366" t="s">
        <v>527</v>
      </c>
      <c r="I80" s="1695" t="str">
        <f aca="false">'Reference sheet'!$C$21</f>
        <v>EUR</v>
      </c>
    </row>
    <row r="81" customFormat="false" ht="15" hidden="false" customHeight="false" outlineLevel="0" collapsed="false">
      <c r="A81" s="1686"/>
      <c r="B81" s="1640"/>
      <c r="C81" s="1569"/>
      <c r="D81" s="1569"/>
      <c r="E81" s="1569"/>
      <c r="F81" s="1569"/>
      <c r="G81" s="1569"/>
      <c r="H81" s="1569"/>
      <c r="I81" s="1696"/>
    </row>
    <row r="82" customFormat="false" ht="21.75" hidden="false" customHeight="false" outlineLevel="0" collapsed="false">
      <c r="A82" s="1697" t="s">
        <v>1006</v>
      </c>
      <c r="B82" s="1643" t="n">
        <f aca="false">'7.5.2 Fin. Income &amp; Expenses '!G6</f>
        <v>2020</v>
      </c>
      <c r="C82" s="1644"/>
      <c r="D82" s="1643"/>
      <c r="E82" s="1645"/>
      <c r="F82" s="1645"/>
      <c r="G82" s="1645"/>
      <c r="H82" s="1645"/>
      <c r="I82" s="1698"/>
    </row>
    <row r="83" s="312" customFormat="true" ht="21" hidden="false" customHeight="false" outlineLevel="0" collapsed="false">
      <c r="A83" s="1699"/>
      <c r="B83" s="1648" t="s">
        <v>974</v>
      </c>
      <c r="C83" s="1649" t="s">
        <v>684</v>
      </c>
      <c r="D83" s="1649" t="s">
        <v>42</v>
      </c>
      <c r="E83" s="1649" t="str">
        <f aca="false">E6</f>
        <v>Parts</v>
      </c>
      <c r="F83" s="1649" t="str">
        <f aca="false">F6</f>
        <v>Service</v>
      </c>
      <c r="G83" s="1650" t="s">
        <v>975</v>
      </c>
      <c r="H83" s="1648" t="s">
        <v>976</v>
      </c>
      <c r="I83" s="1651" t="s">
        <v>977</v>
      </c>
    </row>
    <row r="84" customFormat="false" ht="15" hidden="false" customHeight="false" outlineLevel="0" collapsed="false">
      <c r="A84" s="1677"/>
      <c r="B84" s="1652"/>
      <c r="C84" s="1653"/>
      <c r="D84" s="1653"/>
      <c r="E84" s="1653"/>
      <c r="F84" s="1653"/>
      <c r="G84" s="1654"/>
      <c r="H84" s="1652"/>
      <c r="I84" s="1655"/>
    </row>
    <row r="85" customFormat="false" ht="15" hidden="false" customHeight="false" outlineLevel="0" collapsed="false">
      <c r="A85" s="1060" t="s">
        <v>604</v>
      </c>
      <c r="B85" s="1656"/>
      <c r="C85" s="1657"/>
      <c r="D85" s="1657"/>
      <c r="E85" s="1657"/>
      <c r="F85" s="1657"/>
      <c r="G85" s="1658"/>
      <c r="H85" s="1656"/>
      <c r="I85" s="1659"/>
    </row>
    <row r="86" customFormat="false" ht="15" hidden="false" customHeight="false" outlineLevel="0" collapsed="false">
      <c r="A86" s="1046" t="s">
        <v>978</v>
      </c>
      <c r="B86" s="1660"/>
      <c r="C86" s="1657"/>
      <c r="D86" s="1657"/>
      <c r="E86" s="1657"/>
      <c r="F86" s="1657"/>
      <c r="G86" s="1658"/>
      <c r="H86" s="1656"/>
      <c r="I86" s="1659"/>
    </row>
    <row r="87" customFormat="false" ht="15" hidden="false" customHeight="false" outlineLevel="0" collapsed="false">
      <c r="A87" s="1046" t="s">
        <v>979</v>
      </c>
      <c r="B87" s="1660" t="n">
        <f aca="false">'7.2.1 Turnover Vehicles'!E36</f>
        <v>0</v>
      </c>
      <c r="C87" s="1657" t="n">
        <v>0</v>
      </c>
      <c r="D87" s="1657" t="n">
        <v>0</v>
      </c>
      <c r="E87" s="1661" t="e">
        <f aca="false">'7.2.2 Turnover Parts'!E17-'7.2.2 Turnover Parts'!E26</f>
        <v>#VALUE!</v>
      </c>
      <c r="F87" s="1661" t="n">
        <f aca="false">'7.2.3 Turnover Service &amp; Body'!E38</f>
        <v>0</v>
      </c>
      <c r="G87" s="1658" t="n">
        <v>0</v>
      </c>
      <c r="H87" s="1660" t="e">
        <f aca="false">SUM(B87:F87)</f>
        <v>#VALUE!</v>
      </c>
      <c r="I87" s="1662" t="e">
        <f aca="false">SUM(B87:F87)</f>
        <v>#VALUE!</v>
      </c>
    </row>
    <row r="88" customFormat="false" ht="15" hidden="false" customHeight="false" outlineLevel="0" collapsed="false">
      <c r="A88" s="1046" t="s">
        <v>980</v>
      </c>
      <c r="B88" s="1656" t="n">
        <v>0</v>
      </c>
      <c r="C88" s="1661" t="n">
        <f aca="false">'7.2.1 Turnover Vehicles'!E48</f>
        <v>0</v>
      </c>
      <c r="D88" s="1661" t="n">
        <f aca="false">'7.2.1 Turnover Vehicles'!E72</f>
        <v>0</v>
      </c>
      <c r="E88" s="1661" t="n">
        <f aca="false">'7.2.2 Turnover Parts'!E18-'7.2.2 Turnover Parts'!E27</f>
        <v>0</v>
      </c>
      <c r="F88" s="1661" t="n">
        <f aca="false">'7.2.3 Turnover Service &amp; Body'!E41</f>
        <v>0</v>
      </c>
      <c r="G88" s="1658" t="n">
        <v>0</v>
      </c>
      <c r="H88" s="1660" t="n">
        <f aca="false">SUM(B88:F88)</f>
        <v>0</v>
      </c>
      <c r="I88" s="1662" t="n">
        <f aca="false">SUM(B88:F88)</f>
        <v>0</v>
      </c>
    </row>
    <row r="89" customFormat="false" ht="15" hidden="false" customHeight="false" outlineLevel="0" collapsed="false">
      <c r="A89" s="1046" t="s">
        <v>981</v>
      </c>
      <c r="B89" s="1656" t="n">
        <v>0</v>
      </c>
      <c r="C89" s="1661" t="n">
        <v>0</v>
      </c>
      <c r="D89" s="1661" t="n">
        <v>0</v>
      </c>
      <c r="E89" s="1661" t="n">
        <f aca="false">'7.2.2 Turnover Parts'!E19</f>
        <v>0</v>
      </c>
      <c r="F89" s="1661" t="n">
        <v>0</v>
      </c>
      <c r="G89" s="1658" t="n">
        <v>0</v>
      </c>
      <c r="H89" s="1660" t="n">
        <f aca="false">SUM(B89:F89)</f>
        <v>0</v>
      </c>
      <c r="I89" s="1662" t="n">
        <f aca="false">SUM(B89:F89)</f>
        <v>0</v>
      </c>
    </row>
    <row r="90" customFormat="false" ht="15" hidden="false" customHeight="false" outlineLevel="0" collapsed="false">
      <c r="A90" s="1046" t="s">
        <v>982</v>
      </c>
      <c r="B90" s="1660" t="n">
        <v>0</v>
      </c>
      <c r="C90" s="1657" t="n">
        <v>0</v>
      </c>
      <c r="D90" s="1657" t="n">
        <v>0</v>
      </c>
      <c r="E90" s="1661" t="n">
        <f aca="false">'7.2.2 Turnover Parts'!E20</f>
        <v>0</v>
      </c>
      <c r="F90" s="1661" t="n">
        <v>0</v>
      </c>
      <c r="G90" s="1658" t="n">
        <v>0</v>
      </c>
      <c r="H90" s="1660" t="n">
        <f aca="false">SUM(B90:F90)</f>
        <v>0</v>
      </c>
      <c r="I90" s="1662" t="n">
        <f aca="false">SUM(B90:F90)</f>
        <v>0</v>
      </c>
    </row>
    <row r="91" customFormat="false" ht="15" hidden="false" customHeight="false" outlineLevel="0" collapsed="false">
      <c r="A91" s="1046" t="s">
        <v>708</v>
      </c>
      <c r="B91" s="1660" t="n">
        <v>0</v>
      </c>
      <c r="C91" s="1657" t="n">
        <v>0</v>
      </c>
      <c r="D91" s="1657" t="n">
        <v>0</v>
      </c>
      <c r="E91" s="1661" t="n">
        <v>0</v>
      </c>
      <c r="F91" s="1661" t="n">
        <f aca="false">'7.2.3 Turnover Service &amp; Body'!E52</f>
        <v>5000</v>
      </c>
      <c r="G91" s="1658" t="n">
        <v>0</v>
      </c>
      <c r="H91" s="1660" t="n">
        <f aca="false">SUM(B91:F91)</f>
        <v>5000</v>
      </c>
      <c r="I91" s="1662" t="n">
        <f aca="false">SUM(B91:F91)</f>
        <v>5000</v>
      </c>
    </row>
    <row r="92" customFormat="false" ht="15" hidden="false" customHeight="false" outlineLevel="0" collapsed="false">
      <c r="A92" s="1046" t="s">
        <v>983</v>
      </c>
      <c r="B92" s="1663" t="n">
        <v>0</v>
      </c>
      <c r="C92" s="1664" t="n">
        <v>0</v>
      </c>
      <c r="D92" s="1664" t="n">
        <v>0</v>
      </c>
      <c r="E92" s="1665" t="n">
        <f aca="false">'7.2.2 Turnover Parts'!E28</f>
        <v>0</v>
      </c>
      <c r="F92" s="1665" t="n">
        <f aca="false">'7.2.3 Turnover Service &amp; Body'!E39+'7.2.3 Turnover Service &amp; Body'!E40</f>
        <v>0</v>
      </c>
      <c r="G92" s="1666" t="n">
        <v>0</v>
      </c>
      <c r="H92" s="1663" t="n">
        <f aca="false">SUM(B92:F92)</f>
        <v>0</v>
      </c>
      <c r="I92" s="1682" t="n">
        <v>0</v>
      </c>
    </row>
    <row r="93" customFormat="false" ht="15" hidden="false" customHeight="false" outlineLevel="0" collapsed="false">
      <c r="A93" s="1060" t="s">
        <v>984</v>
      </c>
      <c r="B93" s="1668" t="n">
        <f aca="false">SUM(B87:B92)</f>
        <v>0</v>
      </c>
      <c r="C93" s="1669" t="n">
        <f aca="false">SUM(C88:C92)</f>
        <v>0</v>
      </c>
      <c r="D93" s="1669" t="n">
        <f aca="false">SUM(D87:D92)</f>
        <v>0</v>
      </c>
      <c r="E93" s="1669" t="e">
        <f aca="false">SUM(E87:E92)</f>
        <v>#VALUE!</v>
      </c>
      <c r="F93" s="1669" t="n">
        <f aca="false">SUM(F87:F92)</f>
        <v>5000</v>
      </c>
      <c r="G93" s="1670" t="n">
        <v>0</v>
      </c>
      <c r="H93" s="1668" t="e">
        <f aca="false">SUM(H87:H92)</f>
        <v>#VALUE!</v>
      </c>
      <c r="I93" s="1671" t="e">
        <f aca="false">SUM(I87:I92)</f>
        <v>#VALUE!</v>
      </c>
    </row>
    <row r="94" customFormat="false" ht="15" hidden="false" customHeight="false" outlineLevel="0" collapsed="false">
      <c r="A94" s="1672"/>
      <c r="B94" s="1673"/>
      <c r="C94" s="1674"/>
      <c r="D94" s="1674"/>
      <c r="E94" s="1674"/>
      <c r="F94" s="1674"/>
      <c r="G94" s="1675"/>
      <c r="H94" s="1673"/>
      <c r="I94" s="1676"/>
    </row>
    <row r="95" customFormat="false" ht="15" hidden="false" customHeight="false" outlineLevel="0" collapsed="false">
      <c r="A95" s="1677"/>
      <c r="B95" s="1652"/>
      <c r="C95" s="1653"/>
      <c r="D95" s="1653"/>
      <c r="E95" s="1653"/>
      <c r="F95" s="1653"/>
      <c r="G95" s="1654"/>
      <c r="H95" s="1652"/>
      <c r="I95" s="1655"/>
    </row>
    <row r="96" customFormat="false" ht="15" hidden="false" customHeight="false" outlineLevel="0" collapsed="false">
      <c r="A96" s="1060" t="s">
        <v>985</v>
      </c>
      <c r="B96" s="1656"/>
      <c r="C96" s="1657"/>
      <c r="D96" s="1657"/>
      <c r="E96" s="1657"/>
      <c r="F96" s="1657"/>
      <c r="G96" s="1658"/>
      <c r="H96" s="1656"/>
      <c r="I96" s="1659"/>
    </row>
    <row r="97" customFormat="false" ht="15" hidden="false" customHeight="false" outlineLevel="0" collapsed="false">
      <c r="A97" s="1046" t="s">
        <v>978</v>
      </c>
      <c r="B97" s="1656"/>
      <c r="C97" s="1657"/>
      <c r="D97" s="1657"/>
      <c r="E97" s="1657"/>
      <c r="F97" s="1657"/>
      <c r="G97" s="1658"/>
      <c r="H97" s="1656"/>
      <c r="I97" s="1659"/>
    </row>
    <row r="98" customFormat="false" ht="15" hidden="false" customHeight="false" outlineLevel="0" collapsed="false">
      <c r="A98" s="1046" t="s">
        <v>979</v>
      </c>
      <c r="B98" s="1660" t="n">
        <f aca="false">'7.3 Cost of sales'!E58+'7.3 Cost of sales'!E59</f>
        <v>0</v>
      </c>
      <c r="C98" s="1657" t="n">
        <v>0</v>
      </c>
      <c r="D98" s="1657" t="n">
        <v>0</v>
      </c>
      <c r="E98" s="1661" t="e">
        <f aca="false">'7.3 Cost of sales'!E76+'7.3 Cost of sales'!E78+'7.3 Cost of sales'!E80+'7.3 Cost of sales'!E81</f>
        <v>#VALUE!</v>
      </c>
      <c r="F98" s="1657" t="n">
        <v>0</v>
      </c>
      <c r="G98" s="1658" t="n">
        <v>0</v>
      </c>
      <c r="H98" s="1660" t="e">
        <f aca="false">SUM(B98:F98)</f>
        <v>#VALUE!</v>
      </c>
      <c r="I98" s="1662" t="e">
        <f aca="false">SUM(B98:F98)</f>
        <v>#VALUE!</v>
      </c>
    </row>
    <row r="99" customFormat="false" ht="15" hidden="false" customHeight="false" outlineLevel="0" collapsed="false">
      <c r="A99" s="1046" t="s">
        <v>980</v>
      </c>
      <c r="B99" s="1656" t="n">
        <v>0</v>
      </c>
      <c r="C99" s="1661" t="n">
        <f aca="false">'7.3 Cost of sales'!E60</f>
        <v>0</v>
      </c>
      <c r="D99" s="1661" t="n">
        <f aca="false">'7.3 Cost of sales'!E61</f>
        <v>0</v>
      </c>
      <c r="E99" s="1661" t="n">
        <f aca="false">'7.3 Cost of sales'!E77+'7.3 Cost of sales'!E79+'7.3 Cost of sales'!E82</f>
        <v>0</v>
      </c>
      <c r="F99" s="1657" t="n">
        <v>0</v>
      </c>
      <c r="G99" s="1658" t="n">
        <v>0</v>
      </c>
      <c r="H99" s="1660" t="n">
        <f aca="false">SUM(B99:F99)</f>
        <v>0</v>
      </c>
      <c r="I99" s="1662" t="n">
        <f aca="false">SUM(B99:F99)</f>
        <v>0</v>
      </c>
    </row>
    <row r="100" customFormat="false" ht="15" hidden="false" customHeight="false" outlineLevel="0" collapsed="false">
      <c r="A100" s="1046" t="s">
        <v>981</v>
      </c>
      <c r="B100" s="1656" t="n">
        <v>0</v>
      </c>
      <c r="C100" s="1661" t="n">
        <v>0</v>
      </c>
      <c r="D100" s="1661" t="n">
        <v>0</v>
      </c>
      <c r="E100" s="1661" t="n">
        <f aca="false">'7.3 Cost of sales'!E83</f>
        <v>0</v>
      </c>
      <c r="F100" s="1657" t="n">
        <v>0</v>
      </c>
      <c r="G100" s="1658" t="n">
        <v>0</v>
      </c>
      <c r="H100" s="1660" t="n">
        <f aca="false">SUM(B100:F100)</f>
        <v>0</v>
      </c>
      <c r="I100" s="1662" t="n">
        <f aca="false">SUM(B100:F100)</f>
        <v>0</v>
      </c>
    </row>
    <row r="101" customFormat="false" ht="15" hidden="false" customHeight="false" outlineLevel="0" collapsed="false">
      <c r="A101" s="1046" t="s">
        <v>982</v>
      </c>
      <c r="B101" s="1656" t="n">
        <v>0</v>
      </c>
      <c r="C101" s="1657" t="n">
        <v>0</v>
      </c>
      <c r="D101" s="1657" t="n">
        <v>0</v>
      </c>
      <c r="E101" s="1661" t="n">
        <f aca="false">'7.3 Cost of sales'!E84</f>
        <v>0</v>
      </c>
      <c r="F101" s="1657" t="n">
        <v>0</v>
      </c>
      <c r="G101" s="1658" t="n">
        <v>0</v>
      </c>
      <c r="H101" s="1660" t="n">
        <f aca="false">SUM(B101:F101)</f>
        <v>0</v>
      </c>
      <c r="I101" s="1662" t="n">
        <f aca="false">SUM(B101:F101)</f>
        <v>0</v>
      </c>
    </row>
    <row r="102" customFormat="false" ht="15" hidden="false" customHeight="false" outlineLevel="0" collapsed="false">
      <c r="A102" s="1046" t="s">
        <v>986</v>
      </c>
      <c r="B102" s="1660" t="n">
        <v>0</v>
      </c>
      <c r="C102" s="1661" t="n">
        <v>0</v>
      </c>
      <c r="D102" s="1661" t="n">
        <v>0</v>
      </c>
      <c r="E102" s="1661" t="n">
        <v>0</v>
      </c>
      <c r="F102" s="1661" t="n">
        <f aca="false">'7.4.1 Salaries &amp; Wages'!E105+'7.4.1 Salaries &amp; Wages'!E114</f>
        <v>0</v>
      </c>
      <c r="G102" s="1658" t="n">
        <v>0</v>
      </c>
      <c r="H102" s="1660" t="n">
        <f aca="false">SUM(B102:F102)</f>
        <v>0</v>
      </c>
      <c r="I102" s="1662" t="n">
        <f aca="false">SUM(B102:F102)</f>
        <v>0</v>
      </c>
    </row>
    <row r="103" customFormat="false" ht="15" hidden="false" customHeight="false" outlineLevel="0" collapsed="false">
      <c r="A103" s="1046" t="s">
        <v>987</v>
      </c>
      <c r="B103" s="1660" t="n">
        <f aca="false">-'7.3 Cost of sales'!E67</f>
        <v>-0</v>
      </c>
      <c r="C103" s="1657" t="n">
        <v>0</v>
      </c>
      <c r="D103" s="1661" t="n">
        <f aca="false">-'7.3 Cost of sales'!E68</f>
        <v>-0</v>
      </c>
      <c r="E103" s="1661" t="e">
        <f aca="false">-'7.3 Cost of sales'!E93</f>
        <v>#VALUE!</v>
      </c>
      <c r="F103" s="1657" t="n">
        <v>0</v>
      </c>
      <c r="G103" s="1658" t="n">
        <v>0</v>
      </c>
      <c r="H103" s="1660" t="e">
        <f aca="false">SUM(B103:F103)</f>
        <v>#VALUE!</v>
      </c>
      <c r="I103" s="1662" t="e">
        <f aca="false">SUM(B103:F103)</f>
        <v>#VALUE!</v>
      </c>
    </row>
    <row r="104" customFormat="false" ht="15" hidden="false" customHeight="false" outlineLevel="0" collapsed="false">
      <c r="A104" s="1046" t="s">
        <v>708</v>
      </c>
      <c r="B104" s="1660" t="n">
        <v>0</v>
      </c>
      <c r="C104" s="1657" t="n">
        <v>0</v>
      </c>
      <c r="D104" s="1661" t="n">
        <v>0</v>
      </c>
      <c r="E104" s="1661" t="n">
        <v>0</v>
      </c>
      <c r="F104" s="1661" t="n">
        <f aca="false">'7.3 Cost of sales'!E102</f>
        <v>5000</v>
      </c>
      <c r="G104" s="1658" t="n">
        <v>0</v>
      </c>
      <c r="H104" s="1660" t="n">
        <f aca="false">SUM(B104:F104)</f>
        <v>5000</v>
      </c>
      <c r="I104" s="1662" t="n">
        <f aca="false">SUM(B104:F104)</f>
        <v>5000</v>
      </c>
    </row>
    <row r="105" customFormat="false" ht="15" hidden="false" customHeight="false" outlineLevel="0" collapsed="false">
      <c r="A105" s="1046" t="s">
        <v>983</v>
      </c>
      <c r="B105" s="1663" t="n">
        <f aca="false">'7.2.3 Turnover Service &amp; Body'!E39+'7.2.2 Turnover Parts'!E26</f>
        <v>0</v>
      </c>
      <c r="C105" s="1665" t="n">
        <f aca="false">'7.2.3 Turnover Service &amp; Body'!E40+'7.2.2 Turnover Parts'!E27</f>
        <v>0</v>
      </c>
      <c r="D105" s="1664" t="n">
        <v>0</v>
      </c>
      <c r="E105" s="1664" t="n">
        <v>0</v>
      </c>
      <c r="F105" s="1664" t="n">
        <v>0</v>
      </c>
      <c r="G105" s="1666" t="n">
        <v>0</v>
      </c>
      <c r="H105" s="1663" t="n">
        <f aca="false">SUM(B105:F105)</f>
        <v>0</v>
      </c>
      <c r="I105" s="1667" t="n">
        <v>0</v>
      </c>
    </row>
    <row r="106" customFormat="false" ht="15" hidden="false" customHeight="false" outlineLevel="0" collapsed="false">
      <c r="A106" s="1060" t="s">
        <v>988</v>
      </c>
      <c r="B106" s="1668" t="n">
        <f aca="false">SUM(B98:B105)</f>
        <v>0</v>
      </c>
      <c r="C106" s="1669" t="n">
        <f aca="false">SUM(C98:C105)</f>
        <v>0</v>
      </c>
      <c r="D106" s="1669" t="n">
        <f aca="false">SUM(D98:D105)</f>
        <v>0</v>
      </c>
      <c r="E106" s="1669" t="e">
        <f aca="false">SUM(E98:E105)</f>
        <v>#VALUE!</v>
      </c>
      <c r="F106" s="1669" t="n">
        <f aca="false">SUM(F98:F105)</f>
        <v>5000</v>
      </c>
      <c r="G106" s="1678" t="n">
        <v>0</v>
      </c>
      <c r="H106" s="1668" t="e">
        <f aca="false">SUM(H98:H105)</f>
        <v>#VALUE!</v>
      </c>
      <c r="I106" s="1671" t="e">
        <f aca="false">SUM(I98:I105)</f>
        <v>#VALUE!</v>
      </c>
    </row>
    <row r="107" customFormat="false" ht="15" hidden="false" customHeight="false" outlineLevel="0" collapsed="false">
      <c r="A107" s="1672"/>
      <c r="B107" s="1673"/>
      <c r="C107" s="1674"/>
      <c r="D107" s="1674"/>
      <c r="E107" s="1674"/>
      <c r="F107" s="1674"/>
      <c r="G107" s="1679"/>
      <c r="H107" s="1680"/>
      <c r="I107" s="1676"/>
    </row>
    <row r="108" customFormat="false" ht="15" hidden="false" customHeight="false" outlineLevel="0" collapsed="false">
      <c r="A108" s="1677"/>
      <c r="B108" s="1652"/>
      <c r="C108" s="1653"/>
      <c r="D108" s="1653"/>
      <c r="E108" s="1653"/>
      <c r="F108" s="1653"/>
      <c r="G108" s="1654"/>
      <c r="H108" s="1652"/>
      <c r="I108" s="1655"/>
    </row>
    <row r="109" customFormat="false" ht="15" hidden="false" customHeight="false" outlineLevel="0" collapsed="false">
      <c r="A109" s="1060" t="s">
        <v>989</v>
      </c>
      <c r="B109" s="1668" t="n">
        <f aca="false">B93-B106</f>
        <v>0</v>
      </c>
      <c r="C109" s="1669" t="n">
        <f aca="false">C93-C106</f>
        <v>0</v>
      </c>
      <c r="D109" s="1669" t="n">
        <f aca="false">D93-D106</f>
        <v>0</v>
      </c>
      <c r="E109" s="1669" t="e">
        <f aca="false">E93-E106</f>
        <v>#VALUE!</v>
      </c>
      <c r="F109" s="1669" t="n">
        <f aca="false">F93-F106</f>
        <v>0</v>
      </c>
      <c r="G109" s="1670" t="n">
        <v>0</v>
      </c>
      <c r="H109" s="1668" t="e">
        <f aca="false">H93-H106</f>
        <v>#VALUE!</v>
      </c>
      <c r="I109" s="1671" t="e">
        <f aca="false">I93-I106</f>
        <v>#VALUE!</v>
      </c>
    </row>
    <row r="110" customFormat="false" ht="15" hidden="false" customHeight="false" outlineLevel="0" collapsed="false">
      <c r="A110" s="1672"/>
      <c r="B110" s="1673"/>
      <c r="C110" s="1674"/>
      <c r="D110" s="1674"/>
      <c r="E110" s="1674"/>
      <c r="F110" s="1674"/>
      <c r="G110" s="1675"/>
      <c r="H110" s="1673"/>
      <c r="I110" s="1676"/>
    </row>
    <row r="111" customFormat="false" ht="15" hidden="false" customHeight="false" outlineLevel="0" collapsed="false">
      <c r="A111" s="1677"/>
      <c r="B111" s="1652"/>
      <c r="C111" s="1653"/>
      <c r="D111" s="1653"/>
      <c r="E111" s="1653"/>
      <c r="F111" s="1653"/>
      <c r="G111" s="1654"/>
      <c r="H111" s="1652"/>
      <c r="I111" s="1655"/>
    </row>
    <row r="112" s="273" customFormat="true" ht="15" hidden="false" customHeight="false" outlineLevel="0" collapsed="false">
      <c r="A112" s="1060" t="s">
        <v>990</v>
      </c>
      <c r="B112" s="1668" t="n">
        <f aca="false">'7.2.1 Turnover Vehicles'!$E$84*'7.4.1 Salaries &amp; Wages'!$E$77*(1+'7.4.1 Salaries &amp; Wages'!$B$78)+('7.4.2 Selling &amp; Oper. expenses'!E9*'7.4.2 Selling &amp; Oper. expenses'!E63)</f>
        <v>0</v>
      </c>
      <c r="C112" s="1669" t="n">
        <f aca="false">'7.2.1 Turnover Vehicles'!$E$85*'7.4.1 Salaries &amp; Wages'!$E$77*(1+'7.4.1 Salaries &amp; Wages'!$B$78)+('7.4.2 Selling &amp; Oper. expenses'!E9*'7.4.2 Selling &amp; Oper. expenses'!F63)</f>
        <v>0</v>
      </c>
      <c r="D112" s="1669" t="n">
        <f aca="false">'7.2.1 Turnover Vehicles'!$E$86*'7.4.1 Salaries &amp; Wages'!$E$77*(1+'7.4.1 Salaries &amp; Wages'!$B$78)+('7.4.2 Selling &amp; Oper. expenses'!E9*'7.4.2 Selling &amp; Oper. expenses'!G63)</f>
        <v>0</v>
      </c>
      <c r="E112" s="1669" t="n">
        <f aca="false">'7.4.2 Selling &amp; Oper. expenses'!E9*'7.4.2 Selling &amp; Oper. expenses'!I63</f>
        <v>0</v>
      </c>
      <c r="F112" s="1669" t="n">
        <f aca="false">('7.4.2 Selling &amp; Oper. expenses'!E9*'7.4.2 Selling &amp; Oper. expenses'!H63)</f>
        <v>0</v>
      </c>
      <c r="G112" s="1670" t="n">
        <f aca="false">'7.4.2 Selling &amp; Oper. expenses'!E9*'7.4.2 Selling &amp; Oper. expenses'!J63</f>
        <v>0</v>
      </c>
      <c r="H112" s="1668" t="n">
        <f aca="false">SUM(B112:G112)</f>
        <v>0</v>
      </c>
      <c r="I112" s="1671" t="n">
        <f aca="false">B112+C112+D112+F112+E112+G112</f>
        <v>0</v>
      </c>
    </row>
    <row r="113" customFormat="false" ht="15" hidden="false" customHeight="false" outlineLevel="0" collapsed="false">
      <c r="A113" s="1046"/>
      <c r="B113" s="1660"/>
      <c r="C113" s="1661"/>
      <c r="D113" s="1661"/>
      <c r="E113" s="1661"/>
      <c r="F113" s="1661"/>
      <c r="G113" s="1681"/>
      <c r="H113" s="1660"/>
      <c r="I113" s="1662"/>
    </row>
    <row r="114" s="273" customFormat="true" ht="15" hidden="false" customHeight="false" outlineLevel="0" collapsed="false">
      <c r="A114" s="1060" t="s">
        <v>986</v>
      </c>
      <c r="B114" s="1668" t="n">
        <f aca="false">'7.2.1 Turnover Vehicles'!E84*'7.4.1 Salaries &amp; Wages'!E80+(B93/(B93+C93+D93+0.00001)*('7.4.1 Salaries &amp; Wages'!E71+'7.4.1 Salaries &amp; Wages'!E91))-('7.2.1 Turnover Vehicles'!$E$84*'7.4.1 Salaries &amp; Wages'!$E$77*(1+'7.4.1 Salaries &amp; Wages'!$B$78))</f>
        <v>32003.52</v>
      </c>
      <c r="C114" s="1669" t="n">
        <f aca="false">'7.2.1 Turnover Vehicles'!E85*'7.4.1 Salaries &amp; Wages'!E80+(C93/(B93+C93+D93+0.00001)*('7.4.1 Salaries &amp; Wages'!E71+'7.4.1 Salaries &amp; Wages'!E91))-'7.2.1 Turnover Vehicles'!$E$85*'7.4.1 Salaries &amp; Wages'!$E$77*(1+'7.4.1 Salaries &amp; Wages'!$B$78)</f>
        <v>0</v>
      </c>
      <c r="D114" s="1669" t="n">
        <f aca="false">'7.2.1 Turnover Vehicles'!E86*'7.4.1 Salaries &amp; Wages'!E80+(D93/(B93+C93+D93+0.00001)*('7.4.1 Salaries &amp; Wages'!E71+'7.4.1 Salaries &amp; Wages'!E91))-'7.2.1 Turnover Vehicles'!$E$86*'7.4.1 Salaries &amp; Wages'!$E$77*(1+'7.4.1 Salaries &amp; Wages'!$B$78)</f>
        <v>0</v>
      </c>
      <c r="E114" s="1669" t="n">
        <f aca="false">'7.4.1 Salaries &amp; Wages'!E141+'7.4.1 Salaries &amp; Wages'!E150+'7.4.1 Salaries &amp; Wages'!E159+'7.4.1 Salaries &amp; Wages'!E168</f>
        <v>0</v>
      </c>
      <c r="F114" s="1669" t="n">
        <f aca="false">'7.4.1 Salaries &amp; Wages'!E132+'7.4.1 Salaries &amp; Wages'!E123</f>
        <v>0</v>
      </c>
      <c r="G114" s="1670" t="n">
        <f aca="false">'7.4.1 Salaries &amp; Wages'!E35+'7.4.1 Salaries &amp; Wages'!E44+'7.4.1 Salaries &amp; Wages'!E53+'7.4.1 Salaries &amp; Wages'!E62</f>
        <v>0</v>
      </c>
      <c r="H114" s="1668" t="n">
        <f aca="false">SUM(B114:G114)</f>
        <v>32003.52</v>
      </c>
      <c r="I114" s="1671" t="n">
        <f aca="false">B114+C114+D114+F114+E114+G114</f>
        <v>32003.52</v>
      </c>
    </row>
    <row r="115" customFormat="false" ht="15" hidden="false" customHeight="false" outlineLevel="0" collapsed="false">
      <c r="A115" s="1060"/>
      <c r="B115" s="1656"/>
      <c r="C115" s="1657"/>
      <c r="D115" s="1657"/>
      <c r="E115" s="1657"/>
      <c r="F115" s="1661"/>
      <c r="G115" s="1658"/>
      <c r="H115" s="1656"/>
      <c r="I115" s="1658"/>
    </row>
    <row r="116" customFormat="false" ht="15" hidden="false" customHeight="false" outlineLevel="0" collapsed="false">
      <c r="A116" s="1060" t="s">
        <v>991</v>
      </c>
      <c r="B116" s="1656"/>
      <c r="C116" s="1657"/>
      <c r="D116" s="1657"/>
      <c r="E116" s="1657"/>
      <c r="F116" s="1661"/>
      <c r="G116" s="1658"/>
      <c r="H116" s="1656"/>
      <c r="I116" s="1658"/>
    </row>
    <row r="117" customFormat="false" ht="15" hidden="false" customHeight="false" outlineLevel="0" collapsed="false">
      <c r="A117" s="1046" t="s">
        <v>760</v>
      </c>
      <c r="B117" s="1660" t="n">
        <f aca="false">'7.4.2 Selling &amp; Oper. expenses'!E37*'7.4.2 Selling &amp; Oper. expenses'!E68</f>
        <v>2581</v>
      </c>
      <c r="C117" s="1661" t="n">
        <f aca="false">'7.4.2 Selling &amp; Oper. expenses'!E37*'7.4.2 Selling &amp; Oper. expenses'!F68</f>
        <v>0</v>
      </c>
      <c r="D117" s="1661" t="n">
        <f aca="false">'7.4.2 Selling &amp; Oper. expenses'!E37*'7.4.2 Selling &amp; Oper. expenses'!G68</f>
        <v>0</v>
      </c>
      <c r="E117" s="1661" t="n">
        <f aca="false">'7.4.2 Selling &amp; Oper. expenses'!E37*'7.4.2 Selling &amp; Oper. expenses'!H68</f>
        <v>0</v>
      </c>
      <c r="F117" s="1661" t="n">
        <f aca="false">'7.4.2 Selling &amp; Oper. expenses'!E37*'7.4.2 Selling &amp; Oper. expenses'!I68</f>
        <v>0</v>
      </c>
      <c r="G117" s="1681" t="n">
        <f aca="false">'7.4.2 Selling &amp; Oper. expenses'!E37*'7.4.2 Selling &amp; Oper. expenses'!J68</f>
        <v>0</v>
      </c>
      <c r="H117" s="1660" t="n">
        <f aca="false">SUM(B117:G117)</f>
        <v>2581</v>
      </c>
      <c r="I117" s="1681" t="n">
        <f aca="false">SUM(B117:G117)</f>
        <v>2581</v>
      </c>
    </row>
    <row r="118" customFormat="false" ht="15" hidden="false" customHeight="false" outlineLevel="0" collapsed="false">
      <c r="A118" s="1046" t="s">
        <v>761</v>
      </c>
      <c r="B118" s="1660" t="n">
        <f aca="false">'7.4.2 Selling &amp; Oper. expenses'!E38*'7.4.2 Selling &amp; Oper. expenses'!E69</f>
        <v>6452</v>
      </c>
      <c r="C118" s="1661" t="n">
        <f aca="false">'7.4.2 Selling &amp; Oper. expenses'!E38*'7.4.2 Selling &amp; Oper. expenses'!F69</f>
        <v>0</v>
      </c>
      <c r="D118" s="1661" t="n">
        <f aca="false">'7.4.2 Selling &amp; Oper. expenses'!E38*'7.4.2 Selling &amp; Oper. expenses'!G69</f>
        <v>0</v>
      </c>
      <c r="E118" s="1661" t="n">
        <f aca="false">'7.4.2 Selling &amp; Oper. expenses'!E38*'7.4.2 Selling &amp; Oper. expenses'!H69</f>
        <v>0</v>
      </c>
      <c r="F118" s="1661" t="n">
        <f aca="false">'7.4.2 Selling &amp; Oper. expenses'!E38*'7.4.2 Selling &amp; Oper. expenses'!I69</f>
        <v>0</v>
      </c>
      <c r="G118" s="1681" t="n">
        <f aca="false">'7.4.2 Selling &amp; Oper. expenses'!E38*'7.4.2 Selling &amp; Oper. expenses'!J69</f>
        <v>0</v>
      </c>
      <c r="H118" s="1660" t="n">
        <f aca="false">SUM(B118:G118)</f>
        <v>6452</v>
      </c>
      <c r="I118" s="1681" t="n">
        <f aca="false">SUM(B118:G118)</f>
        <v>6452</v>
      </c>
    </row>
    <row r="119" customFormat="false" ht="15" hidden="false" customHeight="false" outlineLevel="0" collapsed="false">
      <c r="A119" s="1046" t="s">
        <v>762</v>
      </c>
      <c r="B119" s="1660" t="n">
        <f aca="false">'7.4.2 Selling &amp; Oper. expenses'!E39*'7.4.2 Selling &amp; Oper. expenses'!E70</f>
        <v>5000</v>
      </c>
      <c r="C119" s="1661" t="n">
        <f aca="false">'7.4.2 Selling &amp; Oper. expenses'!E39*'7.4.2 Selling &amp; Oper. expenses'!F70</f>
        <v>0</v>
      </c>
      <c r="D119" s="1661" t="n">
        <f aca="false">'7.4.2 Selling &amp; Oper. expenses'!E39*'7.4.2 Selling &amp; Oper. expenses'!G70</f>
        <v>0</v>
      </c>
      <c r="E119" s="1661" t="n">
        <f aca="false">'7.4.2 Selling &amp; Oper. expenses'!E39*'7.4.2 Selling &amp; Oper. expenses'!H70</f>
        <v>0</v>
      </c>
      <c r="F119" s="1661" t="n">
        <f aca="false">'7.4.2 Selling &amp; Oper. expenses'!E39*'7.4.2 Selling &amp; Oper. expenses'!I70</f>
        <v>0</v>
      </c>
      <c r="G119" s="1681" t="n">
        <f aca="false">'7.4.2 Selling &amp; Oper. expenses'!E39*'7.4.2 Selling &amp; Oper. expenses'!J70</f>
        <v>0</v>
      </c>
      <c r="H119" s="1660" t="n">
        <f aca="false">SUM(B119:G119)</f>
        <v>5000</v>
      </c>
      <c r="I119" s="1681" t="n">
        <f aca="false">SUM(B119:G119)</f>
        <v>5000</v>
      </c>
    </row>
    <row r="120" customFormat="false" ht="15" hidden="false" customHeight="false" outlineLevel="0" collapsed="false">
      <c r="A120" s="1046" t="s">
        <v>763</v>
      </c>
      <c r="B120" s="1660" t="n">
        <f aca="false">'7.4.2 Selling &amp; Oper. expenses'!E40*'7.4.2 Selling &amp; Oper. expenses'!E71</f>
        <v>6000</v>
      </c>
      <c r="C120" s="1661" t="n">
        <f aca="false">'7.4.2 Selling &amp; Oper. expenses'!E40*'7.4.2 Selling &amp; Oper. expenses'!F71</f>
        <v>0</v>
      </c>
      <c r="D120" s="1661" t="n">
        <f aca="false">'7.4.2 Selling &amp; Oper. expenses'!E40*'7.4.2 Selling &amp; Oper. expenses'!G71</f>
        <v>0</v>
      </c>
      <c r="E120" s="1661" t="n">
        <f aca="false">'7.4.2 Selling &amp; Oper. expenses'!E40*'7.4.2 Selling &amp; Oper. expenses'!H71</f>
        <v>0</v>
      </c>
      <c r="F120" s="1661" t="n">
        <f aca="false">'7.4.2 Selling &amp; Oper. expenses'!E40*'7.4.2 Selling &amp; Oper. expenses'!I71</f>
        <v>0</v>
      </c>
      <c r="G120" s="1681" t="n">
        <f aca="false">'7.4.2 Selling &amp; Oper. expenses'!E40*'7.4.2 Selling &amp; Oper. expenses'!J71</f>
        <v>0</v>
      </c>
      <c r="H120" s="1660" t="n">
        <f aca="false">SUM(B120:G120)</f>
        <v>6000</v>
      </c>
      <c r="I120" s="1681" t="n">
        <f aca="false">SUM(B120:G120)</f>
        <v>6000</v>
      </c>
    </row>
    <row r="121" customFormat="false" ht="15" hidden="false" customHeight="false" outlineLevel="0" collapsed="false">
      <c r="A121" s="1046" t="s">
        <v>764</v>
      </c>
      <c r="B121" s="1660" t="n">
        <f aca="false">'7.4.2 Selling &amp; Oper. expenses'!E41*'7.4.2 Selling &amp; Oper. expenses'!E72</f>
        <v>20000</v>
      </c>
      <c r="C121" s="1661" t="n">
        <f aca="false">'7.4.2 Selling &amp; Oper. expenses'!E41*'7.4.2 Selling &amp; Oper. expenses'!F72</f>
        <v>0</v>
      </c>
      <c r="D121" s="1661" t="n">
        <f aca="false">'7.4.2 Selling &amp; Oper. expenses'!E41*'7.4.2 Selling &amp; Oper. expenses'!G72</f>
        <v>0</v>
      </c>
      <c r="E121" s="1661" t="n">
        <f aca="false">'7.4.2 Selling &amp; Oper. expenses'!E41*'7.4.2 Selling &amp; Oper. expenses'!H72</f>
        <v>0</v>
      </c>
      <c r="F121" s="1661" t="n">
        <f aca="false">'7.4.2 Selling &amp; Oper. expenses'!E41*'7.4.2 Selling &amp; Oper. expenses'!I72</f>
        <v>0</v>
      </c>
      <c r="G121" s="1681" t="n">
        <f aca="false">'7.4.2 Selling &amp; Oper. expenses'!E41*'7.4.2 Selling &amp; Oper. expenses'!J72</f>
        <v>0</v>
      </c>
      <c r="H121" s="1660" t="n">
        <f aca="false">SUM(B121:G121)</f>
        <v>20000</v>
      </c>
      <c r="I121" s="1681" t="n">
        <f aca="false">SUM(B121:G121)</f>
        <v>20000</v>
      </c>
    </row>
    <row r="122" customFormat="false" ht="15" hidden="false" customHeight="false" outlineLevel="0" collapsed="false">
      <c r="A122" s="1046" t="s">
        <v>992</v>
      </c>
      <c r="B122" s="1660" t="n">
        <f aca="false">'7.4.2 Selling &amp; Oper. expenses'!E42*'7.4.2 Selling &amp; Oper. expenses'!E73</f>
        <v>120000</v>
      </c>
      <c r="C122" s="1661" t="n">
        <f aca="false">'7.4.2 Selling &amp; Oper. expenses'!E42*'7.4.2 Selling &amp; Oper. expenses'!F73</f>
        <v>0</v>
      </c>
      <c r="D122" s="1661" t="n">
        <f aca="false">'7.4.2 Selling &amp; Oper. expenses'!E42*'7.4.2 Selling &amp; Oper. expenses'!G73</f>
        <v>0</v>
      </c>
      <c r="E122" s="1661" t="n">
        <f aca="false">'7.4.2 Selling &amp; Oper. expenses'!E42*'7.4.2 Selling &amp; Oper. expenses'!H73</f>
        <v>0</v>
      </c>
      <c r="F122" s="1661" t="n">
        <f aca="false">'7.4.2 Selling &amp; Oper. expenses'!E42*'7.4.2 Selling &amp; Oper. expenses'!I73</f>
        <v>0</v>
      </c>
      <c r="G122" s="1681" t="n">
        <f aca="false">'7.4.2 Selling &amp; Oper. expenses'!E42*'7.4.2 Selling &amp; Oper. expenses'!J73</f>
        <v>0</v>
      </c>
      <c r="H122" s="1660" t="n">
        <f aca="false">SUM(B122:G122)</f>
        <v>120000</v>
      </c>
      <c r="I122" s="1681" t="n">
        <f aca="false">SUM(B122:G122)</f>
        <v>120000</v>
      </c>
    </row>
    <row r="123" customFormat="false" ht="15" hidden="false" customHeight="false" outlineLevel="0" collapsed="false">
      <c r="A123" s="1046" t="s">
        <v>766</v>
      </c>
      <c r="B123" s="1660" t="n">
        <f aca="false">'7.4.2 Selling &amp; Oper. expenses'!E43*'7.4.2 Selling &amp; Oper. expenses'!E74</f>
        <v>25000</v>
      </c>
      <c r="C123" s="1661" t="n">
        <f aca="false">'7.4.2 Selling &amp; Oper. expenses'!E43*'7.4.2 Selling &amp; Oper. expenses'!F74</f>
        <v>0</v>
      </c>
      <c r="D123" s="1661" t="n">
        <f aca="false">'7.4.2 Selling &amp; Oper. expenses'!E43*'7.4.2 Selling &amp; Oper. expenses'!G74</f>
        <v>0</v>
      </c>
      <c r="E123" s="1661" t="n">
        <f aca="false">'7.4.2 Selling &amp; Oper. expenses'!E43*'7.4.2 Selling &amp; Oper. expenses'!H74</f>
        <v>0</v>
      </c>
      <c r="F123" s="1661" t="n">
        <f aca="false">'7.4.2 Selling &amp; Oper. expenses'!E43*'7.4.2 Selling &amp; Oper. expenses'!I74</f>
        <v>0</v>
      </c>
      <c r="G123" s="1681" t="n">
        <f aca="false">'7.4.2 Selling &amp; Oper. expenses'!E43*'7.4.2 Selling &amp; Oper. expenses'!J74</f>
        <v>0</v>
      </c>
      <c r="H123" s="1660" t="n">
        <f aca="false">SUM(B123:G123)</f>
        <v>25000</v>
      </c>
      <c r="I123" s="1681" t="n">
        <f aca="false">SUM(B123:G123)</f>
        <v>25000</v>
      </c>
    </row>
    <row r="124" customFormat="false" ht="15" hidden="false" customHeight="false" outlineLevel="0" collapsed="false">
      <c r="A124" s="1046" t="s">
        <v>993</v>
      </c>
      <c r="B124" s="1660" t="n">
        <f aca="false">'7.4.2 Selling &amp; Oper. expenses'!E44*'7.4.2 Selling &amp; Oper. expenses'!E75</f>
        <v>4839</v>
      </c>
      <c r="C124" s="1661" t="n">
        <f aca="false">'7.4.2 Selling &amp; Oper. expenses'!E44*'7.4.2 Selling &amp; Oper. expenses'!F75</f>
        <v>0</v>
      </c>
      <c r="D124" s="1661" t="n">
        <f aca="false">'7.4.2 Selling &amp; Oper. expenses'!E44*'7.4.2 Selling &amp; Oper. expenses'!G75</f>
        <v>0</v>
      </c>
      <c r="E124" s="1661" t="n">
        <f aca="false">'7.4.2 Selling &amp; Oper. expenses'!E44*'7.4.2 Selling &amp; Oper. expenses'!H75</f>
        <v>0</v>
      </c>
      <c r="F124" s="1661" t="n">
        <f aca="false">'7.4.2 Selling &amp; Oper. expenses'!E44*'7.4.2 Selling &amp; Oper. expenses'!I75</f>
        <v>0</v>
      </c>
      <c r="G124" s="1681" t="n">
        <f aca="false">'7.4.2 Selling &amp; Oper. expenses'!E44*'7.4.2 Selling &amp; Oper. expenses'!J75</f>
        <v>0</v>
      </c>
      <c r="H124" s="1660" t="n">
        <f aca="false">SUM(B124:G124)</f>
        <v>4839</v>
      </c>
      <c r="I124" s="1681" t="n">
        <f aca="false">SUM(B124:G124)</f>
        <v>4839</v>
      </c>
    </row>
    <row r="125" customFormat="false" ht="15" hidden="false" customHeight="false" outlineLevel="0" collapsed="false">
      <c r="A125" s="1046" t="s">
        <v>994</v>
      </c>
      <c r="B125" s="1660" t="n">
        <f aca="false">'7.4.2 Selling &amp; Oper. expenses'!E45*'7.4.2 Selling &amp; Oper. expenses'!E76</f>
        <v>1935</v>
      </c>
      <c r="C125" s="1661" t="n">
        <f aca="false">'7.4.2 Selling &amp; Oper. expenses'!E45*'7.4.2 Selling &amp; Oper. expenses'!F76</f>
        <v>0</v>
      </c>
      <c r="D125" s="1661" t="n">
        <f aca="false">'7.4.2 Selling &amp; Oper. expenses'!E45*'7.4.2 Selling &amp; Oper. expenses'!G76</f>
        <v>0</v>
      </c>
      <c r="E125" s="1661" t="n">
        <f aca="false">'7.4.2 Selling &amp; Oper. expenses'!E45*'7.4.2 Selling &amp; Oper. expenses'!H76</f>
        <v>0</v>
      </c>
      <c r="F125" s="1661" t="n">
        <f aca="false">'7.4.2 Selling &amp; Oper. expenses'!E45*'7.4.2 Selling &amp; Oper. expenses'!I76</f>
        <v>0</v>
      </c>
      <c r="G125" s="1681" t="n">
        <f aca="false">'7.4.2 Selling &amp; Oper. expenses'!E45*'7.4.2 Selling &amp; Oper. expenses'!J76</f>
        <v>0</v>
      </c>
      <c r="H125" s="1660" t="n">
        <f aca="false">SUM(B125:G125)</f>
        <v>1935</v>
      </c>
      <c r="I125" s="1681" t="n">
        <f aca="false">SUM(B125:G125)</f>
        <v>1935</v>
      </c>
    </row>
    <row r="126" customFormat="false" ht="15" hidden="false" customHeight="false" outlineLevel="0" collapsed="false">
      <c r="A126" s="1046" t="s">
        <v>769</v>
      </c>
      <c r="B126" s="1660" t="n">
        <f aca="false">'7.4.2 Selling &amp; Oper. expenses'!E46*'7.4.2 Selling &amp; Oper. expenses'!E77</f>
        <v>9677</v>
      </c>
      <c r="C126" s="1661" t="n">
        <f aca="false">'7.4.2 Selling &amp; Oper. expenses'!E46*'7.4.2 Selling &amp; Oper. expenses'!F77</f>
        <v>0</v>
      </c>
      <c r="D126" s="1661" t="n">
        <f aca="false">'7.4.2 Selling &amp; Oper. expenses'!E46*'7.4.2 Selling &amp; Oper. expenses'!G77</f>
        <v>0</v>
      </c>
      <c r="E126" s="1661" t="n">
        <f aca="false">'7.4.2 Selling &amp; Oper. expenses'!E46*'7.4.2 Selling &amp; Oper. expenses'!H77</f>
        <v>0</v>
      </c>
      <c r="F126" s="1661" t="n">
        <f aca="false">'7.4.2 Selling &amp; Oper. expenses'!E46*'7.4.2 Selling &amp; Oper. expenses'!I77</f>
        <v>0</v>
      </c>
      <c r="G126" s="1681" t="n">
        <f aca="false">'7.4.2 Selling &amp; Oper. expenses'!E46*'7.4.2 Selling &amp; Oper. expenses'!J77</f>
        <v>0</v>
      </c>
      <c r="H126" s="1660" t="n">
        <f aca="false">SUM(B126:G126)</f>
        <v>9677</v>
      </c>
      <c r="I126" s="1681" t="n">
        <f aca="false">SUM(B126:G126)</f>
        <v>9677</v>
      </c>
    </row>
    <row r="127" customFormat="false" ht="15" hidden="false" customHeight="false" outlineLevel="0" collapsed="false">
      <c r="A127" s="1046" t="s">
        <v>252</v>
      </c>
      <c r="B127" s="1660" t="n">
        <f aca="false">'7.4.2 Selling &amp; Oper. expenses'!E47*'7.4.2 Selling &amp; Oper. expenses'!E78</f>
        <v>9677</v>
      </c>
      <c r="C127" s="1661" t="n">
        <f aca="false">'7.4.2 Selling &amp; Oper. expenses'!E47*'7.4.2 Selling &amp; Oper. expenses'!F78</f>
        <v>0</v>
      </c>
      <c r="D127" s="1661" t="n">
        <f aca="false">'7.4.2 Selling &amp; Oper. expenses'!E47*'7.4.2 Selling &amp; Oper. expenses'!G78</f>
        <v>0</v>
      </c>
      <c r="E127" s="1661" t="n">
        <f aca="false">'7.4.2 Selling &amp; Oper. expenses'!E47*'7.4.2 Selling &amp; Oper. expenses'!H78</f>
        <v>0</v>
      </c>
      <c r="F127" s="1661" t="n">
        <f aca="false">'7.4.2 Selling &amp; Oper. expenses'!E47*'7.4.2 Selling &amp; Oper. expenses'!I78</f>
        <v>0</v>
      </c>
      <c r="G127" s="1681" t="n">
        <f aca="false">'7.4.2 Selling &amp; Oper. expenses'!E47*'7.4.2 Selling &amp; Oper. expenses'!J78</f>
        <v>0</v>
      </c>
      <c r="H127" s="1660" t="n">
        <f aca="false">SUM(B127:G127)</f>
        <v>9677</v>
      </c>
      <c r="I127" s="1681" t="n">
        <f aca="false">SUM(B127:G127)</f>
        <v>9677</v>
      </c>
    </row>
    <row r="128" customFormat="false" ht="15" hidden="false" customHeight="false" outlineLevel="0" collapsed="false">
      <c r="A128" s="1046" t="s">
        <v>995</v>
      </c>
      <c r="B128" s="1660" t="n">
        <f aca="false">'7.4.2 Selling &amp; Oper. expenses'!E48*'7.4.2 Selling &amp; Oper. expenses'!E79</f>
        <v>6452</v>
      </c>
      <c r="C128" s="1661" t="n">
        <f aca="false">'7.4.2 Selling &amp; Oper. expenses'!E48*'7.4.2 Selling &amp; Oper. expenses'!F79</f>
        <v>0</v>
      </c>
      <c r="D128" s="1661" t="n">
        <f aca="false">'7.4.2 Selling &amp; Oper. expenses'!E48*'7.4.2 Selling &amp; Oper. expenses'!G79</f>
        <v>0</v>
      </c>
      <c r="E128" s="1661" t="n">
        <f aca="false">'7.4.2 Selling &amp; Oper. expenses'!E48*'7.4.2 Selling &amp; Oper. expenses'!H79</f>
        <v>0</v>
      </c>
      <c r="F128" s="1661" t="n">
        <f aca="false">'7.4.2 Selling &amp; Oper. expenses'!E48*'7.4.2 Selling &amp; Oper. expenses'!I79</f>
        <v>0</v>
      </c>
      <c r="G128" s="1681" t="n">
        <f aca="false">'7.4.2 Selling &amp; Oper. expenses'!E48*'7.4.2 Selling &amp; Oper. expenses'!J79</f>
        <v>0</v>
      </c>
      <c r="H128" s="1660" t="n">
        <f aca="false">SUM(B128:G128)</f>
        <v>6452</v>
      </c>
      <c r="I128" s="1681" t="n">
        <f aca="false">SUM(B128:G128)</f>
        <v>6452</v>
      </c>
    </row>
    <row r="129" customFormat="false" ht="15" hidden="false" customHeight="false" outlineLevel="0" collapsed="false">
      <c r="A129" s="1046" t="s">
        <v>798</v>
      </c>
      <c r="B129" s="1660" t="n">
        <f aca="false">'7.4.2 Selling &amp; Oper. expenses'!E49*'7.4.2 Selling &amp; Oper. expenses'!E80</f>
        <v>1290</v>
      </c>
      <c r="C129" s="1661" t="n">
        <f aca="false">'7.4.2 Selling &amp; Oper. expenses'!E49*'7.4.2 Selling &amp; Oper. expenses'!F80</f>
        <v>0</v>
      </c>
      <c r="D129" s="1661" t="n">
        <f aca="false">'7.4.2 Selling &amp; Oper. expenses'!E49*'7.4.2 Selling &amp; Oper. expenses'!G80</f>
        <v>0</v>
      </c>
      <c r="E129" s="1661" t="n">
        <f aca="false">'7.4.2 Selling &amp; Oper. expenses'!E49*'7.4.2 Selling &amp; Oper. expenses'!H80</f>
        <v>0</v>
      </c>
      <c r="F129" s="1661" t="n">
        <f aca="false">'7.4.2 Selling &amp; Oper. expenses'!E49*'7.4.2 Selling &amp; Oper. expenses'!I80</f>
        <v>0</v>
      </c>
      <c r="G129" s="1681" t="n">
        <f aca="false">'7.4.2 Selling &amp; Oper. expenses'!E49*'7.4.2 Selling &amp; Oper. expenses'!J80</f>
        <v>0</v>
      </c>
      <c r="H129" s="1660" t="n">
        <f aca="false">SUM(B129:G129)</f>
        <v>1290</v>
      </c>
      <c r="I129" s="1681" t="n">
        <f aca="false">SUM(B129:G129)</f>
        <v>1290</v>
      </c>
    </row>
    <row r="130" customFormat="false" ht="15" hidden="false" customHeight="false" outlineLevel="0" collapsed="false">
      <c r="A130" s="1046" t="s">
        <v>772</v>
      </c>
      <c r="B130" s="1660" t="n">
        <f aca="false">'7.4.2 Selling &amp; Oper. expenses'!E50*'7.4.2 Selling &amp; Oper. expenses'!E81</f>
        <v>4839</v>
      </c>
      <c r="C130" s="1661" t="n">
        <f aca="false">'7.4.2 Selling &amp; Oper. expenses'!E50*'7.4.2 Selling &amp; Oper. expenses'!F81</f>
        <v>0</v>
      </c>
      <c r="D130" s="1661" t="n">
        <f aca="false">'7.4.2 Selling &amp; Oper. expenses'!E50*'7.4.2 Selling &amp; Oper. expenses'!G81</f>
        <v>0</v>
      </c>
      <c r="E130" s="1661" t="n">
        <f aca="false">'7.4.2 Selling &amp; Oper. expenses'!E50*'7.4.2 Selling &amp; Oper. expenses'!H81</f>
        <v>0</v>
      </c>
      <c r="F130" s="1661" t="n">
        <f aca="false">'7.4.2 Selling &amp; Oper. expenses'!E50*'7.4.2 Selling &amp; Oper. expenses'!I81</f>
        <v>0</v>
      </c>
      <c r="G130" s="1681" t="n">
        <f aca="false">'7.4.2 Selling &amp; Oper. expenses'!E50*'7.4.2 Selling &amp; Oper. expenses'!J81</f>
        <v>0</v>
      </c>
      <c r="H130" s="1660" t="n">
        <f aca="false">SUM(B130:G130)</f>
        <v>4839</v>
      </c>
      <c r="I130" s="1681" t="n">
        <f aca="false">SUM(B130:G130)</f>
        <v>4839</v>
      </c>
    </row>
    <row r="131" customFormat="false" ht="15" hidden="false" customHeight="false" outlineLevel="0" collapsed="false">
      <c r="A131" s="1046" t="s">
        <v>773</v>
      </c>
      <c r="B131" s="1660" t="n">
        <f aca="false">'7.4.2 Selling &amp; Oper. expenses'!E51*'7.4.2 Selling &amp; Oper. expenses'!E82</f>
        <v>130000</v>
      </c>
      <c r="C131" s="1661" t="n">
        <f aca="false">'7.4.2 Selling &amp; Oper. expenses'!E51*'7.4.2 Selling &amp; Oper. expenses'!F82</f>
        <v>0</v>
      </c>
      <c r="D131" s="1661" t="n">
        <f aca="false">'7.4.2 Selling &amp; Oper. expenses'!E51*'7.4.2 Selling &amp; Oper. expenses'!G82</f>
        <v>0</v>
      </c>
      <c r="E131" s="1661" t="n">
        <f aca="false">'7.4.2 Selling &amp; Oper. expenses'!E51*'7.4.2 Selling &amp; Oper. expenses'!H82</f>
        <v>0</v>
      </c>
      <c r="F131" s="1661" t="n">
        <f aca="false">'7.4.2 Selling &amp; Oper. expenses'!E51*'7.4.2 Selling &amp; Oper. expenses'!I82</f>
        <v>0</v>
      </c>
      <c r="G131" s="1681" t="n">
        <f aca="false">'7.4.2 Selling &amp; Oper. expenses'!E51*'7.4.2 Selling &amp; Oper. expenses'!J82</f>
        <v>0</v>
      </c>
      <c r="H131" s="1660" t="n">
        <f aca="false">SUM(B131:G131)</f>
        <v>130000</v>
      </c>
      <c r="I131" s="1681" t="n">
        <f aca="false">SUM(B131:G131)</f>
        <v>130000</v>
      </c>
    </row>
    <row r="132" customFormat="false" ht="15" hidden="false" customHeight="false" outlineLevel="0" collapsed="false">
      <c r="A132" s="1046" t="s">
        <v>996</v>
      </c>
      <c r="B132" s="1660" t="n">
        <f aca="false">'7.4.2 Selling &amp; Oper. expenses'!E52*'7.4.2 Selling &amp; Oper. expenses'!E83</f>
        <v>0</v>
      </c>
      <c r="C132" s="1661" t="n">
        <f aca="false">'7.4.2 Selling &amp; Oper. expenses'!E52*'7.4.2 Selling &amp; Oper. expenses'!F83</f>
        <v>0</v>
      </c>
      <c r="D132" s="1661" t="n">
        <f aca="false">'7.4.2 Selling &amp; Oper. expenses'!E52*'7.4.2 Selling &amp; Oper. expenses'!G83</f>
        <v>0</v>
      </c>
      <c r="E132" s="1661" t="n">
        <f aca="false">'7.4.2 Selling &amp; Oper. expenses'!E52*'7.4.2 Selling &amp; Oper. expenses'!H83</f>
        <v>0</v>
      </c>
      <c r="F132" s="1661" t="n">
        <f aca="false">'7.4.2 Selling &amp; Oper. expenses'!E52*'7.4.2 Selling &amp; Oper. expenses'!I83</f>
        <v>0</v>
      </c>
      <c r="G132" s="1681" t="n">
        <f aca="false">'7.4.2 Selling &amp; Oper. expenses'!E52*'7.4.2 Selling &amp; Oper. expenses'!J83</f>
        <v>0</v>
      </c>
      <c r="H132" s="1660" t="n">
        <f aca="false">SUM(B132:G132)</f>
        <v>0</v>
      </c>
      <c r="I132" s="1681" t="n">
        <f aca="false">SUM(B132:G132)</f>
        <v>0</v>
      </c>
    </row>
    <row r="133" customFormat="false" ht="15" hidden="false" customHeight="false" outlineLevel="0" collapsed="false">
      <c r="A133" s="1046" t="s">
        <v>775</v>
      </c>
      <c r="B133" s="1660" t="n">
        <f aca="false">'7.4.2 Selling &amp; Oper. expenses'!E53*'7.4.2 Selling &amp; Oper. expenses'!E84</f>
        <v>10000</v>
      </c>
      <c r="C133" s="1661" t="n">
        <f aca="false">'7.4.2 Selling &amp; Oper. expenses'!E53*'7.4.2 Selling &amp; Oper. expenses'!F84</f>
        <v>0</v>
      </c>
      <c r="D133" s="1661" t="n">
        <f aca="false">'7.4.2 Selling &amp; Oper. expenses'!E53*'7.4.2 Selling &amp; Oper. expenses'!G84</f>
        <v>0</v>
      </c>
      <c r="E133" s="1661" t="n">
        <f aca="false">'7.4.2 Selling &amp; Oper. expenses'!E53*'7.4.2 Selling &amp; Oper. expenses'!H84</f>
        <v>0</v>
      </c>
      <c r="F133" s="1661" t="n">
        <f aca="false">'7.4.2 Selling &amp; Oper. expenses'!E53*'7.4.2 Selling &amp; Oper. expenses'!I84</f>
        <v>0</v>
      </c>
      <c r="G133" s="1681" t="n">
        <f aca="false">'7.4.2 Selling &amp; Oper. expenses'!E53*'7.4.2 Selling &amp; Oper. expenses'!J84</f>
        <v>0</v>
      </c>
      <c r="H133" s="1660" t="n">
        <f aca="false">SUM(B133:G133)</f>
        <v>10000</v>
      </c>
      <c r="I133" s="1681" t="n">
        <f aca="false">SUM(B133:G133)</f>
        <v>10000</v>
      </c>
    </row>
    <row r="134" customFormat="false" ht="15" hidden="false" customHeight="false" outlineLevel="0" collapsed="false">
      <c r="A134" s="1046" t="s">
        <v>776</v>
      </c>
      <c r="B134" s="1663" t="n">
        <f aca="false">'7.4.2 Selling &amp; Oper. expenses'!E54*'7.4.2 Selling &amp; Oper. expenses'!E85</f>
        <v>0</v>
      </c>
      <c r="C134" s="1665" t="n">
        <f aca="false">'7.4.2 Selling &amp; Oper. expenses'!E54*'7.4.2 Selling &amp; Oper. expenses'!F85</f>
        <v>0</v>
      </c>
      <c r="D134" s="1665" t="n">
        <f aca="false">'7.4.2 Selling &amp; Oper. expenses'!E54*'7.4.2 Selling &amp; Oper. expenses'!G85</f>
        <v>0</v>
      </c>
      <c r="E134" s="1665" t="n">
        <f aca="false">'7.4.2 Selling &amp; Oper. expenses'!E54*'7.4.2 Selling &amp; Oper. expenses'!H85</f>
        <v>0</v>
      </c>
      <c r="F134" s="1665" t="n">
        <f aca="false">'7.4.2 Selling &amp; Oper. expenses'!E54*'7.4.2 Selling &amp; Oper. expenses'!I85</f>
        <v>0</v>
      </c>
      <c r="G134" s="1682" t="n">
        <f aca="false">'7.4.2 Selling &amp; Oper. expenses'!E54*'7.4.2 Selling &amp; Oper. expenses'!J85</f>
        <v>0</v>
      </c>
      <c r="H134" s="1663" t="n">
        <f aca="false">SUM(B134:G134)</f>
        <v>0</v>
      </c>
      <c r="I134" s="1682" t="n">
        <f aca="false">SUM(B134:G134)</f>
        <v>0</v>
      </c>
    </row>
    <row r="135" customFormat="false" ht="15" hidden="false" customHeight="false" outlineLevel="0" collapsed="false">
      <c r="A135" s="1060" t="s">
        <v>997</v>
      </c>
      <c r="B135" s="1683" t="n">
        <f aca="false">SUM(B117:B134)</f>
        <v>363742</v>
      </c>
      <c r="C135" s="1684" t="n">
        <f aca="false">SUM(C117:C134)</f>
        <v>0</v>
      </c>
      <c r="D135" s="1684" t="n">
        <f aca="false">SUM(D117:D134)</f>
        <v>0</v>
      </c>
      <c r="E135" s="1684" t="n">
        <f aca="false">SUM(E117:E134)</f>
        <v>0</v>
      </c>
      <c r="F135" s="1684" t="n">
        <f aca="false">SUM(F117:F134)</f>
        <v>0</v>
      </c>
      <c r="G135" s="1685" t="n">
        <f aca="false">SUM(G117:G134)</f>
        <v>0</v>
      </c>
      <c r="H135" s="1683" t="n">
        <f aca="false">SUM(H117:H134)</f>
        <v>363742</v>
      </c>
      <c r="I135" s="1671" t="n">
        <f aca="false">SUM(I117:I134)</f>
        <v>363742</v>
      </c>
    </row>
    <row r="136" customFormat="false" ht="15" hidden="false" customHeight="false" outlineLevel="0" collapsed="false">
      <c r="A136" s="1060"/>
      <c r="B136" s="1668"/>
      <c r="C136" s="1669"/>
      <c r="D136" s="1669"/>
      <c r="E136" s="1669"/>
      <c r="F136" s="1669"/>
      <c r="G136" s="1670"/>
      <c r="H136" s="1668"/>
      <c r="I136" s="1670"/>
    </row>
    <row r="137" customFormat="false" ht="15" hidden="false" customHeight="false" outlineLevel="0" collapsed="false">
      <c r="A137" s="1060" t="s">
        <v>998</v>
      </c>
      <c r="B137" s="1668" t="n">
        <f aca="false">'7.4.3 Inv. &amp; Depr.'!F126</f>
        <v>0</v>
      </c>
      <c r="C137" s="1669" t="n">
        <f aca="false">'7.4.3 Inv. &amp; Depr.'!F127</f>
        <v>0</v>
      </c>
      <c r="D137" s="1669" t="n">
        <f aca="false">'7.4.3 Inv. &amp; Depr.'!F128</f>
        <v>0</v>
      </c>
      <c r="E137" s="1669" t="n">
        <f aca="false">'7.4.3 Inv. &amp; Depr.'!F129</f>
        <v>0</v>
      </c>
      <c r="F137" s="1669" t="n">
        <v>0</v>
      </c>
      <c r="G137" s="1670" t="n">
        <f aca="false">'7.4.3 Inv. &amp; Depr.'!F121+'7.4.3 Inv. &amp; Depr.'!F130</f>
        <v>119808.6</v>
      </c>
      <c r="H137" s="1668" t="n">
        <f aca="false">SUM(B137:G137)</f>
        <v>119808.6</v>
      </c>
      <c r="I137" s="1689" t="n">
        <f aca="false">SUM(B137:G137)</f>
        <v>119808.6</v>
      </c>
    </row>
    <row r="138" customFormat="false" ht="15" hidden="false" customHeight="false" outlineLevel="0" collapsed="false">
      <c r="A138" s="1060"/>
      <c r="B138" s="1668"/>
      <c r="C138" s="1669"/>
      <c r="D138" s="1669"/>
      <c r="E138" s="1669"/>
      <c r="F138" s="1669"/>
      <c r="G138" s="1670"/>
      <c r="H138" s="1668"/>
      <c r="I138" s="1670"/>
    </row>
    <row r="139" customFormat="false" ht="15" hidden="false" customHeight="false" outlineLevel="0" collapsed="false">
      <c r="A139" s="1677"/>
      <c r="B139" s="1652"/>
      <c r="C139" s="1653"/>
      <c r="D139" s="1653"/>
      <c r="E139" s="1653"/>
      <c r="F139" s="1653"/>
      <c r="G139" s="1700"/>
      <c r="H139" s="1701"/>
      <c r="I139" s="1654"/>
    </row>
    <row r="140" customFormat="false" ht="15" hidden="false" customHeight="false" outlineLevel="0" collapsed="false">
      <c r="A140" s="1060" t="s">
        <v>999</v>
      </c>
      <c r="B140" s="1668" t="n">
        <f aca="false">B109-B112-B114-B137-B135</f>
        <v>-395745.52</v>
      </c>
      <c r="C140" s="1669" t="n">
        <f aca="false">C109-C112-C114-C137-C135</f>
        <v>0</v>
      </c>
      <c r="D140" s="1669" t="n">
        <f aca="false">D109-D112-D114-D137-D135</f>
        <v>0</v>
      </c>
      <c r="E140" s="1669" t="e">
        <f aca="false">E109-E112-E114-E137-E135</f>
        <v>#VALUE!</v>
      </c>
      <c r="F140" s="1669" t="n">
        <f aca="false">F109-F112-F114-F137-F135</f>
        <v>0</v>
      </c>
      <c r="G140" s="1670" t="n">
        <f aca="false">G109-G112-G114-G137-G135</f>
        <v>-119808.6</v>
      </c>
      <c r="H140" s="1668" t="e">
        <f aca="false">H109-H112-H114-H137-H135</f>
        <v>#VALUE!</v>
      </c>
      <c r="I140" s="1671" t="e">
        <f aca="false">I109-I112-I114-I137-I135</f>
        <v>#VALUE!</v>
      </c>
    </row>
    <row r="141" customFormat="false" ht="15.75" hidden="false" customHeight="false" outlineLevel="0" collapsed="false">
      <c r="A141" s="1686"/>
      <c r="B141" s="1702"/>
      <c r="C141" s="1703"/>
      <c r="D141" s="1703"/>
      <c r="E141" s="1703"/>
      <c r="F141" s="1703"/>
      <c r="G141" s="1704"/>
      <c r="H141" s="1702"/>
      <c r="I141" s="1704"/>
    </row>
    <row r="142" customFormat="false" ht="15" hidden="false" customHeight="false" outlineLevel="0" collapsed="false">
      <c r="A142" s="1060"/>
      <c r="B142" s="1668"/>
      <c r="C142" s="1669"/>
      <c r="D142" s="1669"/>
      <c r="E142" s="1669"/>
      <c r="F142" s="1669"/>
      <c r="G142" s="1670"/>
      <c r="H142" s="1668"/>
      <c r="I142" s="1670"/>
    </row>
    <row r="143" s="273" customFormat="true" ht="15" hidden="false" customHeight="false" outlineLevel="0" collapsed="false">
      <c r="A143" s="1046" t="s">
        <v>1000</v>
      </c>
      <c r="B143" s="1660" t="n">
        <v>0</v>
      </c>
      <c r="C143" s="1661" t="n">
        <v>0</v>
      </c>
      <c r="D143" s="1661" t="n">
        <v>0</v>
      </c>
      <c r="E143" s="1661" t="n">
        <v>0</v>
      </c>
      <c r="F143" s="1661" t="n">
        <v>0</v>
      </c>
      <c r="G143" s="1681" t="e">
        <f aca="false">-'7.5.2 Fin. Income &amp; Expenses '!G70</f>
        <v>#VALUE!</v>
      </c>
      <c r="H143" s="1660" t="e">
        <f aca="false">SUM(B143:G143)</f>
        <v>#VALUE!</v>
      </c>
      <c r="I143" s="1681" t="e">
        <f aca="false">SUM(B143:G143)</f>
        <v>#VALUE!</v>
      </c>
    </row>
    <row r="144" s="273" customFormat="true" ht="15" hidden="false" customHeight="false" outlineLevel="0" collapsed="false">
      <c r="A144" s="1046" t="s">
        <v>1001</v>
      </c>
      <c r="B144" s="1660" t="n">
        <v>0</v>
      </c>
      <c r="C144" s="1661" t="n">
        <v>0</v>
      </c>
      <c r="D144" s="1661" t="n">
        <v>0</v>
      </c>
      <c r="E144" s="1661" t="n">
        <v>0</v>
      </c>
      <c r="F144" s="1661" t="n">
        <v>0</v>
      </c>
      <c r="G144" s="1681" t="n">
        <f aca="false">-'7.5.2 Fin. Income &amp; Expenses '!G71</f>
        <v>-33000</v>
      </c>
      <c r="H144" s="1660" t="n">
        <f aca="false">SUM(B144:G144)</f>
        <v>-33000</v>
      </c>
      <c r="I144" s="1681" t="n">
        <f aca="false">SUM(B144:G144)</f>
        <v>-33000</v>
      </c>
    </row>
    <row r="145" customFormat="false" ht="15" hidden="false" customHeight="false" outlineLevel="0" collapsed="false">
      <c r="A145" s="1046" t="s">
        <v>1002</v>
      </c>
      <c r="B145" s="1660" t="n">
        <v>0</v>
      </c>
      <c r="C145" s="1661" t="n">
        <v>0</v>
      </c>
      <c r="D145" s="1661" t="n">
        <v>0</v>
      </c>
      <c r="E145" s="1661" t="n">
        <v>0</v>
      </c>
      <c r="F145" s="1661" t="n">
        <v>0</v>
      </c>
      <c r="G145" s="1681" t="n">
        <f aca="false">-'7.5.2 Fin. Income &amp; Expenses '!G72</f>
        <v>-0</v>
      </c>
      <c r="H145" s="1660" t="n">
        <f aca="false">SUM(B145:G145)</f>
        <v>0</v>
      </c>
      <c r="I145" s="1681" t="n">
        <f aca="false">SUM(B145:G145)</f>
        <v>0</v>
      </c>
    </row>
    <row r="146" customFormat="false" ht="15" hidden="false" customHeight="false" outlineLevel="0" collapsed="false">
      <c r="A146" s="1046" t="s">
        <v>930</v>
      </c>
      <c r="B146" s="1663" t="n">
        <f aca="false">'7.5.1 Financial Requirements'!F38*'7.5.2 Fin. Income &amp; Expenses '!G52*'7.5.2 Fin. Income &amp; Expenses '!C73</f>
        <v>0</v>
      </c>
      <c r="C146" s="1665" t="n">
        <f aca="false">(('7.2.1 Turnover Vehicles'!E53+'7.2.1 Turnover Vehicles'!E54)/2)*'7.5.2 Fin. Income &amp; Expenses '!G53*'7.5.2 Fin. Income &amp; Expenses '!C73</f>
        <v>0</v>
      </c>
      <c r="D146" s="1665" t="n">
        <f aca="false">'7.5.1 Financial Requirements'!F39*'7.5.2 Fin. Income &amp; Expenses '!G54*'7.5.2 Fin. Income &amp; Expenses '!C73</f>
        <v>0</v>
      </c>
      <c r="E146" s="1665" t="n">
        <v>0</v>
      </c>
      <c r="F146" s="1665" t="n">
        <v>0</v>
      </c>
      <c r="G146" s="1681" t="n">
        <v>0</v>
      </c>
      <c r="H146" s="1663" t="n">
        <f aca="false">SUM(B146:G146)</f>
        <v>0</v>
      </c>
      <c r="I146" s="1667" t="n">
        <f aca="false">B146+C146+D146+F146+E146+G146</f>
        <v>0</v>
      </c>
    </row>
    <row r="147" customFormat="false" ht="15" hidden="false" customHeight="false" outlineLevel="0" collapsed="false">
      <c r="A147" s="1687" t="s">
        <v>1003</v>
      </c>
      <c r="B147" s="1683" t="n">
        <f aca="false">SUM(B143:B146)</f>
        <v>0</v>
      </c>
      <c r="C147" s="1684" t="n">
        <f aca="false">SUM(C143:C146)</f>
        <v>0</v>
      </c>
      <c r="D147" s="1684" t="n">
        <f aca="false">SUM(D143:D146)</f>
        <v>0</v>
      </c>
      <c r="E147" s="1684" t="n">
        <f aca="false">SUM(E143:E146)</f>
        <v>0</v>
      </c>
      <c r="F147" s="1684" t="n">
        <f aca="false">SUM(F143:F146)</f>
        <v>0</v>
      </c>
      <c r="G147" s="1685" t="e">
        <f aca="false">SUM(G143:G146)</f>
        <v>#VALUE!</v>
      </c>
      <c r="H147" s="1683" t="e">
        <f aca="false">SUM(H143:H146)</f>
        <v>#VALUE!</v>
      </c>
      <c r="I147" s="1705" t="e">
        <f aca="false">SUM(I143:I146)</f>
        <v>#VALUE!</v>
      </c>
    </row>
    <row r="148" customFormat="false" ht="15" hidden="false" customHeight="false" outlineLevel="0" collapsed="false">
      <c r="A148" s="1060"/>
      <c r="B148" s="1668"/>
      <c r="C148" s="1689"/>
      <c r="D148" s="1689"/>
      <c r="E148" s="1689"/>
      <c r="F148" s="1689"/>
      <c r="G148" s="1670"/>
      <c r="H148" s="1668"/>
      <c r="I148" s="1671"/>
    </row>
    <row r="149" customFormat="false" ht="15" hidden="false" customHeight="false" outlineLevel="0" collapsed="false">
      <c r="A149" s="1706" t="s">
        <v>1004</v>
      </c>
      <c r="B149" s="1668" t="n">
        <v>0</v>
      </c>
      <c r="C149" s="1689" t="n">
        <v>0</v>
      </c>
      <c r="D149" s="1689" t="n">
        <v>0</v>
      </c>
      <c r="E149" s="1669" t="n">
        <v>0</v>
      </c>
      <c r="F149" s="1669" t="n">
        <v>0</v>
      </c>
      <c r="G149" s="1689" t="e">
        <f aca="false">'7.5.2 Fin. Income &amp; Expenses '!G86</f>
        <v>#VALUE!</v>
      </c>
      <c r="H149" s="1668"/>
      <c r="I149" s="1671"/>
    </row>
    <row r="150" customFormat="false" ht="15" hidden="false" customHeight="false" outlineLevel="0" collapsed="false">
      <c r="A150" s="1046"/>
      <c r="B150" s="1660"/>
      <c r="C150" s="1661"/>
      <c r="D150" s="1661"/>
      <c r="E150" s="1661"/>
      <c r="F150" s="1661"/>
      <c r="G150" s="1681"/>
      <c r="H150" s="1660"/>
      <c r="I150" s="1681"/>
    </row>
    <row r="151" customFormat="false" ht="15" hidden="false" customHeight="false" outlineLevel="0" collapsed="false">
      <c r="A151" s="1677"/>
      <c r="B151" s="1701"/>
      <c r="C151" s="1707"/>
      <c r="D151" s="1707"/>
      <c r="E151" s="1707"/>
      <c r="F151" s="1707"/>
      <c r="G151" s="1700"/>
      <c r="H151" s="1701"/>
      <c r="I151" s="1708"/>
    </row>
    <row r="152" customFormat="false" ht="15" hidden="false" customHeight="false" outlineLevel="0" collapsed="false">
      <c r="A152" s="1060" t="s">
        <v>1005</v>
      </c>
      <c r="B152" s="1668" t="n">
        <f aca="false">B140+B149+B147</f>
        <v>-395745.52</v>
      </c>
      <c r="C152" s="1669" t="n">
        <f aca="false">C140+C149+C147</f>
        <v>0</v>
      </c>
      <c r="D152" s="1669" t="n">
        <f aca="false">D140+D149+D147</f>
        <v>0</v>
      </c>
      <c r="E152" s="1669" t="e">
        <f aca="false">E140+E149+E147</f>
        <v>#VALUE!</v>
      </c>
      <c r="F152" s="1669" t="n">
        <f aca="false">F140+F149+F147</f>
        <v>0</v>
      </c>
      <c r="G152" s="1670" t="e">
        <f aca="false">G140+G149+G147</f>
        <v>#VALUE!</v>
      </c>
      <c r="H152" s="1668" t="e">
        <f aca="false">H140+H149+H147</f>
        <v>#VALUE!</v>
      </c>
      <c r="I152" s="1670" t="e">
        <f aca="false">I140+I149+I147</f>
        <v>#VALUE!</v>
      </c>
    </row>
    <row r="153" customFormat="false" ht="15" hidden="false" customHeight="false" outlineLevel="0" collapsed="false">
      <c r="A153" s="1672"/>
      <c r="B153" s="1680"/>
      <c r="C153" s="1709"/>
      <c r="D153" s="1709"/>
      <c r="E153" s="1709"/>
      <c r="F153" s="1709"/>
      <c r="G153" s="1675"/>
      <c r="H153" s="1673"/>
      <c r="I153" s="1679"/>
    </row>
    <row r="154" customFormat="false" ht="15" hidden="false" customHeight="false" outlineLevel="0" collapsed="false">
      <c r="A154" s="314"/>
      <c r="B154" s="1691"/>
      <c r="C154" s="1691"/>
      <c r="D154" s="1691"/>
      <c r="E154" s="1691"/>
      <c r="F154" s="1691"/>
      <c r="G154" s="1691"/>
      <c r="H154" s="1691"/>
      <c r="I154" s="1691"/>
    </row>
    <row r="155" customFormat="false" ht="28.5" hidden="false" customHeight="false" outlineLevel="0" collapsed="false">
      <c r="A155" s="113" t="s">
        <v>525</v>
      </c>
      <c r="B155" s="114"/>
      <c r="C155" s="114"/>
      <c r="D155" s="114"/>
      <c r="E155" s="114"/>
      <c r="F155" s="114"/>
      <c r="G155" s="114"/>
      <c r="H155" s="114"/>
      <c r="I155" s="385" t="str">
        <f aca="false">I1</f>
        <v>7.6.1 Activity Contribution</v>
      </c>
    </row>
    <row r="156" customFormat="false" ht="15" hidden="false" customHeight="false" outlineLevel="0" collapsed="false">
      <c r="A156" s="1046"/>
      <c r="B156" s="682"/>
      <c r="C156" s="1637"/>
      <c r="D156" s="682"/>
      <c r="E156" s="682"/>
      <c r="F156" s="682"/>
      <c r="G156" s="682"/>
      <c r="H156" s="682"/>
      <c r="I156" s="1692"/>
    </row>
    <row r="157" customFormat="false" ht="18" hidden="false" customHeight="false" outlineLevel="0" collapsed="false">
      <c r="A157" s="1693" t="s">
        <v>34</v>
      </c>
      <c r="B157" s="1694" t="str">
        <f aca="false">'Reference sheet'!$C$12</f>
        <v>TEST</v>
      </c>
      <c r="D157" s="853" t="s">
        <v>46</v>
      </c>
      <c r="E157" s="853" t="s">
        <v>49</v>
      </c>
      <c r="F157" s="852" t="n">
        <f aca="false">'Reference sheet'!$C$15</f>
        <v>1</v>
      </c>
      <c r="G157" s="368" t="str">
        <f aca="false">'Reference sheet'!C$17</f>
        <v>July</v>
      </c>
      <c r="H157" s="854" t="n">
        <f aca="false">'Reference sheet'!D$17</f>
        <v>2018</v>
      </c>
      <c r="I157" s="1695" t="str">
        <f aca="false">'Reference sheet'!$C$21</f>
        <v>EUR</v>
      </c>
    </row>
    <row r="158" customFormat="false" ht="15" hidden="false" customHeight="false" outlineLevel="0" collapsed="false">
      <c r="A158" s="1686"/>
      <c r="B158" s="1640"/>
      <c r="C158" s="1569"/>
      <c r="D158" s="1569"/>
      <c r="E158" s="1569"/>
      <c r="F158" s="1569"/>
      <c r="G158" s="1569"/>
      <c r="H158" s="1569"/>
      <c r="I158" s="1696"/>
    </row>
    <row r="159" customFormat="false" ht="21.75" hidden="false" customHeight="false" outlineLevel="0" collapsed="false">
      <c r="A159" s="1697" t="s">
        <v>973</v>
      </c>
      <c r="B159" s="1643" t="n">
        <f aca="false">'7.5.2 Fin. Income &amp; Expenses '!I6</f>
        <v>2021</v>
      </c>
      <c r="C159" s="1644"/>
      <c r="D159" s="1643"/>
      <c r="E159" s="1645"/>
      <c r="F159" s="1645"/>
      <c r="G159" s="1645"/>
      <c r="H159" s="1645"/>
      <c r="I159" s="1698"/>
    </row>
    <row r="160" customFormat="false" ht="18.75" hidden="false" customHeight="false" outlineLevel="0" collapsed="false">
      <c r="A160" s="1699"/>
      <c r="B160" s="1648" t="s">
        <v>974</v>
      </c>
      <c r="C160" s="1649" t="s">
        <v>684</v>
      </c>
      <c r="D160" s="1649" t="s">
        <v>42</v>
      </c>
      <c r="E160" s="1649" t="str">
        <f aca="false">E6</f>
        <v>Parts</v>
      </c>
      <c r="F160" s="1649" t="str">
        <f aca="false">F6</f>
        <v>Service</v>
      </c>
      <c r="G160" s="1650" t="s">
        <v>975</v>
      </c>
      <c r="H160" s="1648" t="s">
        <v>976</v>
      </c>
      <c r="I160" s="1651" t="s">
        <v>977</v>
      </c>
    </row>
    <row r="161" customFormat="false" ht="15" hidden="false" customHeight="false" outlineLevel="0" collapsed="false">
      <c r="A161" s="1677"/>
      <c r="B161" s="1652"/>
      <c r="C161" s="1653"/>
      <c r="D161" s="1653"/>
      <c r="E161" s="1653"/>
      <c r="F161" s="1653"/>
      <c r="G161" s="1654"/>
      <c r="H161" s="1652"/>
      <c r="I161" s="1655"/>
    </row>
    <row r="162" s="312" customFormat="true" ht="21" hidden="false" customHeight="false" outlineLevel="0" collapsed="false">
      <c r="A162" s="1060" t="s">
        <v>604</v>
      </c>
      <c r="B162" s="1656"/>
      <c r="C162" s="1657"/>
      <c r="D162" s="1657"/>
      <c r="E162" s="1657"/>
      <c r="F162" s="1657"/>
      <c r="G162" s="1658"/>
      <c r="H162" s="1656"/>
      <c r="I162" s="1659"/>
    </row>
    <row r="163" customFormat="false" ht="15" hidden="false" customHeight="false" outlineLevel="0" collapsed="false">
      <c r="A163" s="1046" t="s">
        <v>978</v>
      </c>
      <c r="B163" s="1660"/>
      <c r="C163" s="1657"/>
      <c r="D163" s="1657"/>
      <c r="E163" s="1657"/>
      <c r="F163" s="1657"/>
      <c r="G163" s="1658"/>
      <c r="H163" s="1656"/>
      <c r="I163" s="1659"/>
    </row>
    <row r="164" customFormat="false" ht="15" hidden="false" customHeight="false" outlineLevel="0" collapsed="false">
      <c r="A164" s="1046" t="s">
        <v>979</v>
      </c>
      <c r="B164" s="1660" t="n">
        <f aca="false">'7.2.1 Turnover Vehicles'!G36</f>
        <v>0</v>
      </c>
      <c r="C164" s="1657" t="n">
        <v>0</v>
      </c>
      <c r="D164" s="1657" t="n">
        <v>0</v>
      </c>
      <c r="E164" s="1661" t="e">
        <f aca="false">'7.2.2 Turnover Parts'!G17-'7.2.2 Turnover Parts'!G26</f>
        <v>#VALUE!</v>
      </c>
      <c r="F164" s="1661" t="n">
        <f aca="false">'7.2.3 Turnover Service &amp; Body'!G38</f>
        <v>0</v>
      </c>
      <c r="G164" s="1658" t="n">
        <v>0</v>
      </c>
      <c r="H164" s="1660" t="e">
        <f aca="false">SUM(B164:F164)</f>
        <v>#VALUE!</v>
      </c>
      <c r="I164" s="1662" t="e">
        <f aca="false">SUM(B164:F164)</f>
        <v>#VALUE!</v>
      </c>
    </row>
    <row r="165" customFormat="false" ht="15" hidden="false" customHeight="false" outlineLevel="0" collapsed="false">
      <c r="A165" s="1046" t="s">
        <v>980</v>
      </c>
      <c r="B165" s="1656" t="n">
        <v>0</v>
      </c>
      <c r="C165" s="1661" t="n">
        <f aca="false">'7.2.1 Turnover Vehicles'!G48</f>
        <v>0</v>
      </c>
      <c r="D165" s="1661" t="n">
        <f aca="false">'7.2.1 Turnover Vehicles'!G72</f>
        <v>0</v>
      </c>
      <c r="E165" s="1661" t="n">
        <f aca="false">'7.2.2 Turnover Parts'!G18-'7.2.2 Turnover Parts'!G27</f>
        <v>0</v>
      </c>
      <c r="F165" s="1661" t="n">
        <f aca="false">'7.2.3 Turnover Service &amp; Body'!G41</f>
        <v>0</v>
      </c>
      <c r="G165" s="1658" t="n">
        <v>0</v>
      </c>
      <c r="H165" s="1660" t="n">
        <f aca="false">SUM(B165:F165)</f>
        <v>0</v>
      </c>
      <c r="I165" s="1662" t="n">
        <f aca="false">SUM(B165:F165)</f>
        <v>0</v>
      </c>
    </row>
    <row r="166" customFormat="false" ht="15" hidden="false" customHeight="false" outlineLevel="0" collapsed="false">
      <c r="A166" s="1046" t="s">
        <v>981</v>
      </c>
      <c r="B166" s="1656" t="n">
        <v>0</v>
      </c>
      <c r="C166" s="1661" t="n">
        <v>0</v>
      </c>
      <c r="D166" s="1661" t="n">
        <v>0</v>
      </c>
      <c r="E166" s="1661" t="n">
        <f aca="false">'7.2.2 Turnover Parts'!G19</f>
        <v>0</v>
      </c>
      <c r="F166" s="1661" t="n">
        <v>0</v>
      </c>
      <c r="G166" s="1658" t="n">
        <v>0</v>
      </c>
      <c r="H166" s="1660" t="n">
        <f aca="false">SUM(B166:F166)</f>
        <v>0</v>
      </c>
      <c r="I166" s="1662" t="n">
        <f aca="false">SUM(B166:F166)</f>
        <v>0</v>
      </c>
    </row>
    <row r="167" customFormat="false" ht="15" hidden="false" customHeight="false" outlineLevel="0" collapsed="false">
      <c r="A167" s="1046" t="s">
        <v>982</v>
      </c>
      <c r="B167" s="1660" t="n">
        <v>0</v>
      </c>
      <c r="C167" s="1657" t="n">
        <v>0</v>
      </c>
      <c r="D167" s="1657" t="n">
        <v>0</v>
      </c>
      <c r="E167" s="1661" t="n">
        <f aca="false">'7.2.2 Turnover Parts'!G20</f>
        <v>0</v>
      </c>
      <c r="F167" s="1661" t="n">
        <v>0</v>
      </c>
      <c r="G167" s="1658" t="n">
        <v>0</v>
      </c>
      <c r="H167" s="1660" t="n">
        <f aca="false">SUM(B167:F167)</f>
        <v>0</v>
      </c>
      <c r="I167" s="1662" t="n">
        <f aca="false">SUM(B167:F167)</f>
        <v>0</v>
      </c>
    </row>
    <row r="168" customFormat="false" ht="15" hidden="false" customHeight="false" outlineLevel="0" collapsed="false">
      <c r="A168" s="1046" t="s">
        <v>708</v>
      </c>
      <c r="B168" s="1660" t="n">
        <v>0</v>
      </c>
      <c r="C168" s="1657" t="n">
        <v>0</v>
      </c>
      <c r="D168" s="1657" t="n">
        <v>0</v>
      </c>
      <c r="E168" s="1661" t="n">
        <v>0</v>
      </c>
      <c r="F168" s="1661" t="n">
        <f aca="false">'7.2.3 Turnover Service &amp; Body'!G52</f>
        <v>8000</v>
      </c>
      <c r="G168" s="1658" t="n">
        <v>0</v>
      </c>
      <c r="H168" s="1660" t="n">
        <f aca="false">SUM(B168:F168)</f>
        <v>8000</v>
      </c>
      <c r="I168" s="1662" t="n">
        <f aca="false">SUM(B168:F168)</f>
        <v>8000</v>
      </c>
    </row>
    <row r="169" customFormat="false" ht="15" hidden="false" customHeight="false" outlineLevel="0" collapsed="false">
      <c r="A169" s="1046" t="s">
        <v>983</v>
      </c>
      <c r="B169" s="1663" t="n">
        <v>0</v>
      </c>
      <c r="C169" s="1664" t="n">
        <v>0</v>
      </c>
      <c r="D169" s="1664" t="n">
        <v>0</v>
      </c>
      <c r="E169" s="1665" t="n">
        <f aca="false">'7.2.2 Turnover Parts'!G28</f>
        <v>0</v>
      </c>
      <c r="F169" s="1665" t="n">
        <f aca="false">'7.2.3 Turnover Service &amp; Body'!G39+'7.2.3 Turnover Service &amp; Body'!G40</f>
        <v>0</v>
      </c>
      <c r="G169" s="1666" t="n">
        <v>0</v>
      </c>
      <c r="H169" s="1663" t="n">
        <f aca="false">SUM(B169:F169)</f>
        <v>0</v>
      </c>
      <c r="I169" s="1682" t="n">
        <v>0</v>
      </c>
    </row>
    <row r="170" customFormat="false" ht="15" hidden="false" customHeight="false" outlineLevel="0" collapsed="false">
      <c r="A170" s="1060" t="s">
        <v>984</v>
      </c>
      <c r="B170" s="1668" t="n">
        <f aca="false">SUM(B164:B169)</f>
        <v>0</v>
      </c>
      <c r="C170" s="1669" t="n">
        <f aca="false">SUM(C165:C169)</f>
        <v>0</v>
      </c>
      <c r="D170" s="1669" t="n">
        <f aca="false">SUM(D164:D169)</f>
        <v>0</v>
      </c>
      <c r="E170" s="1669" t="e">
        <f aca="false">SUM(E164:E169)</f>
        <v>#VALUE!</v>
      </c>
      <c r="F170" s="1669" t="n">
        <f aca="false">SUM(F164:F169)</f>
        <v>8000</v>
      </c>
      <c r="G170" s="1670" t="n">
        <v>0</v>
      </c>
      <c r="H170" s="1668" t="e">
        <f aca="false">SUM(H164:H169)</f>
        <v>#VALUE!</v>
      </c>
      <c r="I170" s="1671" t="e">
        <f aca="false">SUM(I164:I169)</f>
        <v>#VALUE!</v>
      </c>
    </row>
    <row r="171" customFormat="false" ht="15" hidden="false" customHeight="false" outlineLevel="0" collapsed="false">
      <c r="A171" s="1672"/>
      <c r="B171" s="1673"/>
      <c r="C171" s="1674"/>
      <c r="D171" s="1674"/>
      <c r="E171" s="1674"/>
      <c r="F171" s="1674"/>
      <c r="G171" s="1675"/>
      <c r="H171" s="1673"/>
      <c r="I171" s="1676"/>
    </row>
    <row r="172" customFormat="false" ht="15" hidden="false" customHeight="false" outlineLevel="0" collapsed="false">
      <c r="A172" s="1677"/>
      <c r="B172" s="1652"/>
      <c r="C172" s="1653"/>
      <c r="D172" s="1653"/>
      <c r="E172" s="1653"/>
      <c r="F172" s="1653"/>
      <c r="G172" s="1654"/>
      <c r="H172" s="1652"/>
      <c r="I172" s="1655"/>
    </row>
    <row r="173" customFormat="false" ht="15" hidden="false" customHeight="false" outlineLevel="0" collapsed="false">
      <c r="A173" s="1060" t="s">
        <v>985</v>
      </c>
      <c r="B173" s="1656"/>
      <c r="C173" s="1657"/>
      <c r="D173" s="1657"/>
      <c r="E173" s="1657"/>
      <c r="F173" s="1657"/>
      <c r="G173" s="1658"/>
      <c r="H173" s="1656"/>
      <c r="I173" s="1659"/>
    </row>
    <row r="174" customFormat="false" ht="15" hidden="false" customHeight="false" outlineLevel="0" collapsed="false">
      <c r="A174" s="1046" t="s">
        <v>978</v>
      </c>
      <c r="B174" s="1656"/>
      <c r="C174" s="1657"/>
      <c r="D174" s="1657"/>
      <c r="E174" s="1657"/>
      <c r="F174" s="1657"/>
      <c r="G174" s="1658"/>
      <c r="H174" s="1656"/>
      <c r="I174" s="1659"/>
    </row>
    <row r="175" customFormat="false" ht="15" hidden="false" customHeight="false" outlineLevel="0" collapsed="false">
      <c r="A175" s="1046" t="s">
        <v>979</v>
      </c>
      <c r="B175" s="1660" t="n">
        <f aca="false">'7.3 Cost of sales'!G58+'7.3 Cost of sales'!G59</f>
        <v>0</v>
      </c>
      <c r="C175" s="1657" t="n">
        <v>0</v>
      </c>
      <c r="D175" s="1657" t="n">
        <v>0</v>
      </c>
      <c r="E175" s="1661" t="e">
        <f aca="false">'7.3 Cost of sales'!G76+'7.3 Cost of sales'!G78+'7.3 Cost of sales'!G80+'7.3 Cost of sales'!G81</f>
        <v>#VALUE!</v>
      </c>
      <c r="F175" s="1657" t="n">
        <v>0</v>
      </c>
      <c r="G175" s="1658" t="n">
        <v>0</v>
      </c>
      <c r="H175" s="1660" t="e">
        <f aca="false">SUM(B175:F175)</f>
        <v>#VALUE!</v>
      </c>
      <c r="I175" s="1662" t="e">
        <f aca="false">SUM(B175:F175)</f>
        <v>#VALUE!</v>
      </c>
    </row>
    <row r="176" customFormat="false" ht="15" hidden="false" customHeight="false" outlineLevel="0" collapsed="false">
      <c r="A176" s="1046" t="s">
        <v>980</v>
      </c>
      <c r="B176" s="1656" t="n">
        <v>0</v>
      </c>
      <c r="C176" s="1661" t="n">
        <f aca="false">'7.3 Cost of sales'!G60</f>
        <v>0</v>
      </c>
      <c r="D176" s="1661" t="n">
        <f aca="false">'7.3 Cost of sales'!G61</f>
        <v>0</v>
      </c>
      <c r="E176" s="1661" t="n">
        <f aca="false">'7.3 Cost of sales'!G77+'7.3 Cost of sales'!G79+'7.3 Cost of sales'!G82</f>
        <v>0</v>
      </c>
      <c r="F176" s="1657" t="n">
        <v>0</v>
      </c>
      <c r="G176" s="1658" t="n">
        <v>0</v>
      </c>
      <c r="H176" s="1660" t="n">
        <f aca="false">SUM(B176:F176)</f>
        <v>0</v>
      </c>
      <c r="I176" s="1662" t="n">
        <f aca="false">SUM(B176:F176)</f>
        <v>0</v>
      </c>
    </row>
    <row r="177" customFormat="false" ht="15" hidden="false" customHeight="false" outlineLevel="0" collapsed="false">
      <c r="A177" s="1046" t="s">
        <v>981</v>
      </c>
      <c r="B177" s="1656" t="n">
        <v>0</v>
      </c>
      <c r="C177" s="1661" t="n">
        <v>0</v>
      </c>
      <c r="D177" s="1661" t="n">
        <v>0</v>
      </c>
      <c r="E177" s="1661" t="n">
        <f aca="false">'7.3 Cost of sales'!G83</f>
        <v>0</v>
      </c>
      <c r="F177" s="1657" t="n">
        <v>0</v>
      </c>
      <c r="G177" s="1658" t="n">
        <v>0</v>
      </c>
      <c r="H177" s="1660" t="n">
        <f aca="false">SUM(B177:F177)</f>
        <v>0</v>
      </c>
      <c r="I177" s="1662" t="n">
        <f aca="false">SUM(B177:F177)</f>
        <v>0</v>
      </c>
    </row>
    <row r="178" customFormat="false" ht="15" hidden="false" customHeight="false" outlineLevel="0" collapsed="false">
      <c r="A178" s="1046" t="s">
        <v>982</v>
      </c>
      <c r="B178" s="1656" t="n">
        <v>0</v>
      </c>
      <c r="C178" s="1657" t="n">
        <v>0</v>
      </c>
      <c r="D178" s="1657" t="n">
        <v>0</v>
      </c>
      <c r="E178" s="1661" t="n">
        <f aca="false">'7.3 Cost of sales'!G84</f>
        <v>0</v>
      </c>
      <c r="F178" s="1657" t="n">
        <v>0</v>
      </c>
      <c r="G178" s="1658" t="n">
        <v>0</v>
      </c>
      <c r="H178" s="1660" t="n">
        <f aca="false">SUM(B178:F178)</f>
        <v>0</v>
      </c>
      <c r="I178" s="1662" t="n">
        <f aca="false">SUM(B178:F178)</f>
        <v>0</v>
      </c>
    </row>
    <row r="179" customFormat="false" ht="15" hidden="false" customHeight="false" outlineLevel="0" collapsed="false">
      <c r="A179" s="1046" t="s">
        <v>986</v>
      </c>
      <c r="B179" s="1656" t="n">
        <v>0</v>
      </c>
      <c r="C179" s="1661" t="n">
        <v>0</v>
      </c>
      <c r="D179" s="1661" t="n">
        <v>0</v>
      </c>
      <c r="E179" s="1661" t="n">
        <v>0</v>
      </c>
      <c r="F179" s="1661" t="n">
        <f aca="false">'7.4.1 Salaries &amp; Wages'!G105+'7.4.1 Salaries &amp; Wages'!G114</f>
        <v>0</v>
      </c>
      <c r="G179" s="1658" t="n">
        <v>0</v>
      </c>
      <c r="H179" s="1660" t="n">
        <f aca="false">SUM(B179:F179)</f>
        <v>0</v>
      </c>
      <c r="I179" s="1662" t="n">
        <f aca="false">SUM(B179:F179)</f>
        <v>0</v>
      </c>
    </row>
    <row r="180" customFormat="false" ht="15" hidden="false" customHeight="false" outlineLevel="0" collapsed="false">
      <c r="A180" s="1046" t="s">
        <v>987</v>
      </c>
      <c r="B180" s="1660" t="n">
        <f aca="false">-'7.3 Cost of sales'!G67</f>
        <v>-0</v>
      </c>
      <c r="C180" s="1657" t="n">
        <v>0</v>
      </c>
      <c r="D180" s="1661" t="n">
        <f aca="false">-'7.3 Cost of sales'!G68</f>
        <v>-0</v>
      </c>
      <c r="E180" s="1661" t="e">
        <f aca="false">-'7.3 Cost of sales'!G93</f>
        <v>#VALUE!</v>
      </c>
      <c r="F180" s="1657" t="n">
        <v>0</v>
      </c>
      <c r="G180" s="1658" t="n">
        <v>0</v>
      </c>
      <c r="H180" s="1660" t="e">
        <f aca="false">SUM(B180:F180)</f>
        <v>#VALUE!</v>
      </c>
      <c r="I180" s="1662" t="e">
        <f aca="false">SUM(B180:F180)</f>
        <v>#VALUE!</v>
      </c>
    </row>
    <row r="181" customFormat="false" ht="15" hidden="false" customHeight="false" outlineLevel="0" collapsed="false">
      <c r="A181" s="1046" t="s">
        <v>708</v>
      </c>
      <c r="B181" s="1660" t="n">
        <v>0</v>
      </c>
      <c r="C181" s="1657" t="n">
        <v>0</v>
      </c>
      <c r="D181" s="1661" t="n">
        <v>0</v>
      </c>
      <c r="E181" s="1661" t="n">
        <v>0</v>
      </c>
      <c r="F181" s="1661" t="n">
        <f aca="false">'7.3 Cost of sales'!G102</f>
        <v>8000</v>
      </c>
      <c r="G181" s="1658" t="n">
        <v>0</v>
      </c>
      <c r="H181" s="1660" t="n">
        <f aca="false">SUM(B181:F181)</f>
        <v>8000</v>
      </c>
      <c r="I181" s="1662" t="n">
        <f aca="false">SUM(B181:F181)</f>
        <v>8000</v>
      </c>
    </row>
    <row r="182" customFormat="false" ht="15" hidden="false" customHeight="false" outlineLevel="0" collapsed="false">
      <c r="A182" s="1046" t="s">
        <v>983</v>
      </c>
      <c r="B182" s="1663" t="n">
        <f aca="false">'7.2.3 Turnover Service &amp; Body'!G39+'7.2.2 Turnover Parts'!G26</f>
        <v>0</v>
      </c>
      <c r="C182" s="1665" t="n">
        <f aca="false">'7.2.3 Turnover Service &amp; Body'!G40+'7.2.2 Turnover Parts'!G27</f>
        <v>0</v>
      </c>
      <c r="D182" s="1664" t="n">
        <v>0</v>
      </c>
      <c r="E182" s="1664" t="n">
        <v>0</v>
      </c>
      <c r="F182" s="1664" t="n">
        <v>0</v>
      </c>
      <c r="G182" s="1666" t="n">
        <v>0</v>
      </c>
      <c r="H182" s="1663" t="n">
        <f aca="false">SUM(B182:F182)</f>
        <v>0</v>
      </c>
      <c r="I182" s="1667" t="n">
        <v>0</v>
      </c>
    </row>
    <row r="183" customFormat="false" ht="15" hidden="false" customHeight="false" outlineLevel="0" collapsed="false">
      <c r="A183" s="1060" t="s">
        <v>988</v>
      </c>
      <c r="B183" s="1668" t="n">
        <f aca="false">SUM(B175:B182)</f>
        <v>0</v>
      </c>
      <c r="C183" s="1669" t="n">
        <f aca="false">SUM(C175:C182)</f>
        <v>0</v>
      </c>
      <c r="D183" s="1669" t="n">
        <f aca="false">SUM(D175:D182)</f>
        <v>0</v>
      </c>
      <c r="E183" s="1669" t="e">
        <f aca="false">SUM(E175:E182)</f>
        <v>#VALUE!</v>
      </c>
      <c r="F183" s="1669" t="n">
        <f aca="false">SUM(F175:F182)</f>
        <v>8000</v>
      </c>
      <c r="G183" s="1678" t="n">
        <v>0</v>
      </c>
      <c r="H183" s="1668" t="e">
        <f aca="false">SUM(H175:H182)</f>
        <v>#VALUE!</v>
      </c>
      <c r="I183" s="1671" t="e">
        <f aca="false">SUM(I175:I182)</f>
        <v>#VALUE!</v>
      </c>
    </row>
    <row r="184" customFormat="false" ht="15" hidden="false" customHeight="false" outlineLevel="0" collapsed="false">
      <c r="A184" s="1672"/>
      <c r="B184" s="1673"/>
      <c r="C184" s="1674"/>
      <c r="D184" s="1674"/>
      <c r="E184" s="1674"/>
      <c r="F184" s="1674"/>
      <c r="G184" s="1679"/>
      <c r="H184" s="1680"/>
      <c r="I184" s="1676"/>
    </row>
    <row r="185" customFormat="false" ht="15" hidden="false" customHeight="false" outlineLevel="0" collapsed="false">
      <c r="A185" s="1677"/>
      <c r="B185" s="1652"/>
      <c r="C185" s="1653"/>
      <c r="D185" s="1653"/>
      <c r="E185" s="1653"/>
      <c r="F185" s="1653"/>
      <c r="G185" s="1654"/>
      <c r="H185" s="1652"/>
      <c r="I185" s="1655"/>
    </row>
    <row r="186" customFormat="false" ht="15" hidden="false" customHeight="false" outlineLevel="0" collapsed="false">
      <c r="A186" s="1060" t="s">
        <v>989</v>
      </c>
      <c r="B186" s="1668" t="n">
        <f aca="false">B170-B183</f>
        <v>0</v>
      </c>
      <c r="C186" s="1669" t="n">
        <f aca="false">C170-C183</f>
        <v>0</v>
      </c>
      <c r="D186" s="1669" t="n">
        <f aca="false">D170-D183</f>
        <v>0</v>
      </c>
      <c r="E186" s="1669" t="e">
        <f aca="false">E170-E183</f>
        <v>#VALUE!</v>
      </c>
      <c r="F186" s="1669" t="n">
        <f aca="false">F170-F183</f>
        <v>0</v>
      </c>
      <c r="G186" s="1669" t="n">
        <f aca="false">G170-G183</f>
        <v>0</v>
      </c>
      <c r="H186" s="1668" t="e">
        <f aca="false">H170-H183</f>
        <v>#VALUE!</v>
      </c>
      <c r="I186" s="1671" t="e">
        <f aca="false">I170-I183</f>
        <v>#VALUE!</v>
      </c>
    </row>
    <row r="187" customFormat="false" ht="15" hidden="false" customHeight="false" outlineLevel="0" collapsed="false">
      <c r="A187" s="1672"/>
      <c r="B187" s="1673"/>
      <c r="C187" s="1674"/>
      <c r="D187" s="1674"/>
      <c r="E187" s="1674"/>
      <c r="F187" s="1674"/>
      <c r="G187" s="1675"/>
      <c r="H187" s="1673"/>
      <c r="I187" s="1676"/>
    </row>
    <row r="188" customFormat="false" ht="15" hidden="false" customHeight="false" outlineLevel="0" collapsed="false">
      <c r="A188" s="1677"/>
      <c r="B188" s="1652"/>
      <c r="C188" s="1653"/>
      <c r="D188" s="1653"/>
      <c r="E188" s="1653"/>
      <c r="F188" s="1653"/>
      <c r="G188" s="1654"/>
      <c r="H188" s="1652"/>
      <c r="I188" s="1655"/>
    </row>
    <row r="189" s="273" customFormat="true" ht="15" hidden="false" customHeight="false" outlineLevel="0" collapsed="false">
      <c r="A189" s="1060" t="s">
        <v>990</v>
      </c>
      <c r="B189" s="1668" t="n">
        <f aca="false">'7.2.1 Turnover Vehicles'!$G$84*'7.4.1 Salaries &amp; Wages'!$G$77*(1+'7.4.1 Salaries &amp; Wages'!$B$78)+('7.4.2 Selling &amp; Oper. expenses'!G9*'7.4.2 Selling &amp; Oper. expenses'!E63)</f>
        <v>0</v>
      </c>
      <c r="C189" s="1669" t="n">
        <f aca="false">'7.2.1 Turnover Vehicles'!$G$85*'7.4.1 Salaries &amp; Wages'!$G$77*(1+'7.4.1 Salaries &amp; Wages'!$B$78)+('7.4.2 Selling &amp; Oper. expenses'!G9*'7.4.2 Selling &amp; Oper. expenses'!F63)</f>
        <v>0</v>
      </c>
      <c r="D189" s="1669" t="n">
        <f aca="false">'7.2.1 Turnover Vehicles'!$G$86*'7.4.1 Salaries &amp; Wages'!$G$77*(1+'7.4.1 Salaries &amp; Wages'!$B$78)+('7.4.2 Selling &amp; Oper. expenses'!G9*'7.4.2 Selling &amp; Oper. expenses'!G63)</f>
        <v>0</v>
      </c>
      <c r="E189" s="1669" t="n">
        <f aca="false">'7.4.2 Selling &amp; Oper. expenses'!G9*'7.4.2 Selling &amp; Oper. expenses'!I63</f>
        <v>0</v>
      </c>
      <c r="F189" s="1669" t="n">
        <f aca="false">'7.4.2 Selling &amp; Oper. expenses'!H63*'7.4.2 Selling &amp; Oper. expenses'!G9</f>
        <v>0</v>
      </c>
      <c r="G189" s="1670" t="n">
        <f aca="false">'7.4.2 Selling &amp; Oper. expenses'!G9*'7.4.2 Selling &amp; Oper. expenses'!J63</f>
        <v>0</v>
      </c>
      <c r="H189" s="1668" t="n">
        <f aca="false">SUM(B189:G189)</f>
        <v>0</v>
      </c>
      <c r="I189" s="1671" t="n">
        <f aca="false">B189+C189+D189+F189+E189+G189</f>
        <v>0</v>
      </c>
    </row>
    <row r="190" customFormat="false" ht="15" hidden="false" customHeight="false" outlineLevel="0" collapsed="false">
      <c r="A190" s="1060"/>
      <c r="B190" s="1710"/>
      <c r="C190" s="1669"/>
      <c r="D190" s="1669"/>
      <c r="E190" s="1669"/>
      <c r="F190" s="1669"/>
      <c r="G190" s="1670"/>
      <c r="H190" s="1668"/>
      <c r="I190" s="1671"/>
    </row>
    <row r="191" s="273" customFormat="true" ht="15" hidden="false" customHeight="false" outlineLevel="0" collapsed="false">
      <c r="A191" s="1060" t="s">
        <v>986</v>
      </c>
      <c r="B191" s="1668" t="n">
        <f aca="false">'7.2.1 Turnover Vehicles'!G84*'7.4.1 Salaries &amp; Wages'!G80+(B170/(B170+C170+D170+0.00001)*('7.4.1 Salaries &amp; Wages'!G71+'7.4.1 Salaries &amp; Wages'!G91))-'7.2.1 Turnover Vehicles'!$G$84*'7.4.1 Salaries &amp; Wages'!$G$77*(1+'7.4.1 Salaries &amp; Wages'!$B$78)</f>
        <v>42404.664</v>
      </c>
      <c r="C191" s="1669" t="n">
        <f aca="false">'7.2.1 Turnover Vehicles'!G85*'7.4.1 Salaries &amp; Wages'!G80+(C170/(B170+C170+D170+0.00001)*('7.4.1 Salaries &amp; Wages'!G71+'7.4.1 Salaries &amp; Wages'!G91))-'7.2.1 Turnover Vehicles'!$G$85*'7.4.1 Salaries &amp; Wages'!$G$77*(1+'7.4.1 Salaries &amp; Wages'!$B$78)</f>
        <v>0</v>
      </c>
      <c r="D191" s="1669" t="n">
        <f aca="false">'7.2.1 Turnover Vehicles'!G86*'7.4.1 Salaries &amp; Wages'!G80+(D170/(B170+C170+D170+0.00001)*('7.4.1 Salaries &amp; Wages'!G71+'7.4.1 Salaries &amp; Wages'!G91))-'7.2.1 Turnover Vehicles'!$G$86*'7.4.1 Salaries &amp; Wages'!$G$77*(1+'7.4.1 Salaries &amp; Wages'!$B$78)</f>
        <v>0</v>
      </c>
      <c r="E191" s="1669" t="n">
        <f aca="false">'7.4.1 Salaries &amp; Wages'!G141+'7.4.1 Salaries &amp; Wages'!G150+'7.4.1 Salaries &amp; Wages'!G159+'7.4.1 Salaries &amp; Wages'!G168</f>
        <v>0</v>
      </c>
      <c r="F191" s="1669" t="n">
        <f aca="false">'7.4.1 Salaries &amp; Wages'!G132+'7.4.1 Salaries &amp; Wages'!G123</f>
        <v>0</v>
      </c>
      <c r="G191" s="1670" t="n">
        <f aca="false">'7.4.1 Salaries &amp; Wages'!G35+'7.4.1 Salaries &amp; Wages'!G44+'7.4.1 Salaries &amp; Wages'!G53+'7.4.1 Salaries &amp; Wages'!G62</f>
        <v>0</v>
      </c>
      <c r="H191" s="1668" t="n">
        <f aca="false">SUM(B191:G191)</f>
        <v>42404.664</v>
      </c>
      <c r="I191" s="1670" t="n">
        <f aca="false">B191+C191+D191+F191+E191+G191</f>
        <v>42404.664</v>
      </c>
    </row>
    <row r="192" customFormat="false" ht="15" hidden="false" customHeight="false" outlineLevel="0" collapsed="false">
      <c r="A192" s="1046"/>
      <c r="B192" s="1660"/>
      <c r="C192" s="1661"/>
      <c r="D192" s="1661"/>
      <c r="E192" s="1661"/>
      <c r="F192" s="1661"/>
      <c r="G192" s="1681"/>
      <c r="H192" s="1660"/>
      <c r="I192" s="1681"/>
    </row>
    <row r="193" customFormat="false" ht="15" hidden="false" customHeight="false" outlineLevel="0" collapsed="false">
      <c r="A193" s="1060" t="s">
        <v>991</v>
      </c>
      <c r="B193" s="1660"/>
      <c r="C193" s="1661"/>
      <c r="D193" s="1661"/>
      <c r="E193" s="1661"/>
      <c r="F193" s="1661"/>
      <c r="G193" s="1681"/>
      <c r="H193" s="1660"/>
      <c r="I193" s="1681"/>
    </row>
    <row r="194" customFormat="false" ht="15" hidden="false" customHeight="false" outlineLevel="0" collapsed="false">
      <c r="A194" s="1046" t="s">
        <v>760</v>
      </c>
      <c r="B194" s="1660" t="n">
        <f aca="false">'7.4.2 Selling &amp; Oper. expenses'!G37*'7.4.2 Selling &amp; Oper. expenses'!E68</f>
        <v>2903</v>
      </c>
      <c r="C194" s="1661" t="n">
        <f aca="false">'7.4.2 Selling &amp; Oper. expenses'!G37*'7.4.2 Selling &amp; Oper. expenses'!F68</f>
        <v>0</v>
      </c>
      <c r="D194" s="1661" t="n">
        <f aca="false">'7.4.2 Selling &amp; Oper. expenses'!G37*'7.4.2 Selling &amp; Oper. expenses'!G68</f>
        <v>0</v>
      </c>
      <c r="E194" s="1661" t="n">
        <f aca="false">'7.4.2 Selling &amp; Oper. expenses'!G37*'7.4.2 Selling &amp; Oper. expenses'!H68</f>
        <v>0</v>
      </c>
      <c r="F194" s="1661" t="n">
        <f aca="false">'7.4.2 Selling &amp; Oper. expenses'!G37*'7.4.2 Selling &amp; Oper. expenses'!I68</f>
        <v>0</v>
      </c>
      <c r="G194" s="1681" t="n">
        <f aca="false">'7.4.2 Selling &amp; Oper. expenses'!G37*'7.4.2 Selling &amp; Oper. expenses'!J68</f>
        <v>0</v>
      </c>
      <c r="H194" s="1660" t="n">
        <f aca="false">SUM(B194:G194)</f>
        <v>2903</v>
      </c>
      <c r="I194" s="1681" t="n">
        <f aca="false">SUM(B194:G194)</f>
        <v>2903</v>
      </c>
    </row>
    <row r="195" customFormat="false" ht="15" hidden="false" customHeight="false" outlineLevel="0" collapsed="false">
      <c r="A195" s="1046" t="s">
        <v>761</v>
      </c>
      <c r="B195" s="1660" t="n">
        <f aca="false">'7.4.2 Selling &amp; Oper. expenses'!G38*'7.4.2 Selling &amp; Oper. expenses'!E69</f>
        <v>7097</v>
      </c>
      <c r="C195" s="1661" t="n">
        <f aca="false">'7.4.2 Selling &amp; Oper. expenses'!G38*'7.4.2 Selling &amp; Oper. expenses'!F69</f>
        <v>0</v>
      </c>
      <c r="D195" s="1661" t="n">
        <f aca="false">'7.4.2 Selling &amp; Oper. expenses'!G38*'7.4.2 Selling &amp; Oper. expenses'!G69</f>
        <v>0</v>
      </c>
      <c r="E195" s="1661" t="n">
        <f aca="false">'7.4.2 Selling &amp; Oper. expenses'!G38*'7.4.2 Selling &amp; Oper. expenses'!H69</f>
        <v>0</v>
      </c>
      <c r="F195" s="1661" t="n">
        <f aca="false">'7.4.2 Selling &amp; Oper. expenses'!G38*'7.4.2 Selling &amp; Oper. expenses'!I69</f>
        <v>0</v>
      </c>
      <c r="G195" s="1681" t="n">
        <f aca="false">'7.4.2 Selling &amp; Oper. expenses'!G38*'7.4.2 Selling &amp; Oper. expenses'!J69</f>
        <v>0</v>
      </c>
      <c r="H195" s="1660" t="n">
        <f aca="false">SUM(B195:G195)</f>
        <v>7097</v>
      </c>
      <c r="I195" s="1681" t="n">
        <f aca="false">SUM(B195:G195)</f>
        <v>7097</v>
      </c>
    </row>
    <row r="196" customFormat="false" ht="15" hidden="false" customHeight="false" outlineLevel="0" collapsed="false">
      <c r="A196" s="1046" t="s">
        <v>762</v>
      </c>
      <c r="B196" s="1660" t="n">
        <f aca="false">'7.4.2 Selling &amp; Oper. expenses'!G39*'7.4.2 Selling &amp; Oper. expenses'!E70</f>
        <v>5000</v>
      </c>
      <c r="C196" s="1661" t="n">
        <f aca="false">'7.4.2 Selling &amp; Oper. expenses'!G39*'7.4.2 Selling &amp; Oper. expenses'!F70</f>
        <v>0</v>
      </c>
      <c r="D196" s="1661" t="n">
        <f aca="false">'7.4.2 Selling &amp; Oper. expenses'!G39*'7.4.2 Selling &amp; Oper. expenses'!G70</f>
        <v>0</v>
      </c>
      <c r="E196" s="1661" t="n">
        <f aca="false">'7.4.2 Selling &amp; Oper. expenses'!G39*'7.4.2 Selling &amp; Oper. expenses'!H70</f>
        <v>0</v>
      </c>
      <c r="F196" s="1661" t="n">
        <f aca="false">'7.4.2 Selling &amp; Oper. expenses'!G39*'7.4.2 Selling &amp; Oper. expenses'!I70</f>
        <v>0</v>
      </c>
      <c r="G196" s="1681" t="n">
        <f aca="false">'7.4.2 Selling &amp; Oper. expenses'!G39*'7.4.2 Selling &amp; Oper. expenses'!J70</f>
        <v>0</v>
      </c>
      <c r="H196" s="1660" t="n">
        <f aca="false">SUM(B196:G196)</f>
        <v>5000</v>
      </c>
      <c r="I196" s="1681" t="n">
        <f aca="false">SUM(B196:G196)</f>
        <v>5000</v>
      </c>
    </row>
    <row r="197" customFormat="false" ht="15" hidden="false" customHeight="false" outlineLevel="0" collapsed="false">
      <c r="A197" s="1046" t="s">
        <v>763</v>
      </c>
      <c r="B197" s="1660" t="n">
        <f aca="false">'7.4.2 Selling &amp; Oper. expenses'!G40*'7.4.2 Selling &amp; Oper. expenses'!E71</f>
        <v>6000</v>
      </c>
      <c r="C197" s="1661" t="n">
        <f aca="false">'7.4.2 Selling &amp; Oper. expenses'!G40*'7.4.2 Selling &amp; Oper. expenses'!F71</f>
        <v>0</v>
      </c>
      <c r="D197" s="1661" t="n">
        <f aca="false">'7.4.2 Selling &amp; Oper. expenses'!G40*'7.4.2 Selling &amp; Oper. expenses'!G71</f>
        <v>0</v>
      </c>
      <c r="E197" s="1661" t="n">
        <f aca="false">'7.4.2 Selling &amp; Oper. expenses'!G40*'7.4.2 Selling &amp; Oper. expenses'!H71</f>
        <v>0</v>
      </c>
      <c r="F197" s="1661" t="n">
        <f aca="false">'7.4.2 Selling &amp; Oper. expenses'!G40*'7.4.2 Selling &amp; Oper. expenses'!I71</f>
        <v>0</v>
      </c>
      <c r="G197" s="1681" t="n">
        <f aca="false">'7.4.2 Selling &amp; Oper. expenses'!G40*'7.4.2 Selling &amp; Oper. expenses'!J71</f>
        <v>0</v>
      </c>
      <c r="H197" s="1660" t="n">
        <f aca="false">SUM(B197:G197)</f>
        <v>6000</v>
      </c>
      <c r="I197" s="1681" t="n">
        <f aca="false">SUM(B197:G197)</f>
        <v>6000</v>
      </c>
    </row>
    <row r="198" customFormat="false" ht="15" hidden="false" customHeight="false" outlineLevel="0" collapsed="false">
      <c r="A198" s="1046" t="s">
        <v>764</v>
      </c>
      <c r="B198" s="1660" t="n">
        <f aca="false">'7.4.2 Selling &amp; Oper. expenses'!G41*'7.4.2 Selling &amp; Oper. expenses'!E72</f>
        <v>20000</v>
      </c>
      <c r="C198" s="1661" t="n">
        <f aca="false">'7.4.2 Selling &amp; Oper. expenses'!G41*'7.4.2 Selling &amp; Oper. expenses'!F72</f>
        <v>0</v>
      </c>
      <c r="D198" s="1661" t="n">
        <f aca="false">'7.4.2 Selling &amp; Oper. expenses'!G41*'7.4.2 Selling &amp; Oper. expenses'!G72</f>
        <v>0</v>
      </c>
      <c r="E198" s="1661" t="n">
        <f aca="false">'7.4.2 Selling &amp; Oper. expenses'!G41*'7.4.2 Selling &amp; Oper. expenses'!H72</f>
        <v>0</v>
      </c>
      <c r="F198" s="1661" t="n">
        <f aca="false">'7.4.2 Selling &amp; Oper. expenses'!G41*'7.4.2 Selling &amp; Oper. expenses'!I72</f>
        <v>0</v>
      </c>
      <c r="G198" s="1681" t="n">
        <f aca="false">'7.4.2 Selling &amp; Oper. expenses'!G41*'7.4.2 Selling &amp; Oper. expenses'!J72</f>
        <v>0</v>
      </c>
      <c r="H198" s="1660" t="n">
        <f aca="false">SUM(B198:G198)</f>
        <v>20000</v>
      </c>
      <c r="I198" s="1681" t="n">
        <f aca="false">SUM(B198:G198)</f>
        <v>20000</v>
      </c>
    </row>
    <row r="199" customFormat="false" ht="15" hidden="false" customHeight="false" outlineLevel="0" collapsed="false">
      <c r="A199" s="1046" t="s">
        <v>992</v>
      </c>
      <c r="B199" s="1660" t="n">
        <f aca="false">'7.4.2 Selling &amp; Oper. expenses'!G42*'7.4.2 Selling &amp; Oper. expenses'!E73</f>
        <v>90000</v>
      </c>
      <c r="C199" s="1661" t="n">
        <f aca="false">'7.4.2 Selling &amp; Oper. expenses'!G42*'7.4.2 Selling &amp; Oper. expenses'!F73</f>
        <v>0</v>
      </c>
      <c r="D199" s="1661" t="n">
        <f aca="false">'7.4.2 Selling &amp; Oper. expenses'!G42*'7.4.2 Selling &amp; Oper. expenses'!G73</f>
        <v>0</v>
      </c>
      <c r="E199" s="1661" t="n">
        <f aca="false">'7.4.2 Selling &amp; Oper. expenses'!G42*'7.4.2 Selling &amp; Oper. expenses'!H73</f>
        <v>0</v>
      </c>
      <c r="F199" s="1661" t="n">
        <f aca="false">'7.4.2 Selling &amp; Oper. expenses'!G42*'7.4.2 Selling &amp; Oper. expenses'!I73</f>
        <v>0</v>
      </c>
      <c r="G199" s="1681" t="n">
        <f aca="false">'7.4.2 Selling &amp; Oper. expenses'!G42*'7.4.2 Selling &amp; Oper. expenses'!J73</f>
        <v>0</v>
      </c>
      <c r="H199" s="1660" t="n">
        <f aca="false">SUM(B199:G199)</f>
        <v>90000</v>
      </c>
      <c r="I199" s="1681" t="n">
        <f aca="false">SUM(B199:G199)</f>
        <v>90000</v>
      </c>
    </row>
    <row r="200" customFormat="false" ht="15" hidden="false" customHeight="false" outlineLevel="0" collapsed="false">
      <c r="A200" s="1046" t="s">
        <v>766</v>
      </c>
      <c r="B200" s="1660" t="n">
        <f aca="false">'7.4.2 Selling &amp; Oper. expenses'!G43*'7.4.2 Selling &amp; Oper. expenses'!E74</f>
        <v>25000</v>
      </c>
      <c r="C200" s="1661" t="n">
        <f aca="false">'7.4.2 Selling &amp; Oper. expenses'!G43*'7.4.2 Selling &amp; Oper. expenses'!F74</f>
        <v>0</v>
      </c>
      <c r="D200" s="1661" t="n">
        <f aca="false">'7.4.2 Selling &amp; Oper. expenses'!G43*'7.4.2 Selling &amp; Oper. expenses'!G74</f>
        <v>0</v>
      </c>
      <c r="E200" s="1661" t="n">
        <f aca="false">'7.4.2 Selling &amp; Oper. expenses'!G43*'7.4.2 Selling &amp; Oper. expenses'!H74</f>
        <v>0</v>
      </c>
      <c r="F200" s="1661" t="n">
        <f aca="false">'7.4.2 Selling &amp; Oper. expenses'!G43*'7.4.2 Selling &amp; Oper. expenses'!I74</f>
        <v>0</v>
      </c>
      <c r="G200" s="1681" t="n">
        <f aca="false">'7.4.2 Selling &amp; Oper. expenses'!G43*'7.4.2 Selling &amp; Oper. expenses'!J74</f>
        <v>0</v>
      </c>
      <c r="H200" s="1660" t="n">
        <f aca="false">SUM(B200:G200)</f>
        <v>25000</v>
      </c>
      <c r="I200" s="1681" t="n">
        <f aca="false">SUM(B200:G200)</f>
        <v>25000</v>
      </c>
    </row>
    <row r="201" customFormat="false" ht="15" hidden="false" customHeight="false" outlineLevel="0" collapsed="false">
      <c r="A201" s="1046" t="s">
        <v>993</v>
      </c>
      <c r="B201" s="1660" t="n">
        <f aca="false">'7.4.2 Selling &amp; Oper. expenses'!G44*'7.4.2 Selling &amp; Oper. expenses'!E75</f>
        <v>6452</v>
      </c>
      <c r="C201" s="1661" t="n">
        <f aca="false">'7.4.2 Selling &amp; Oper. expenses'!G44*'7.4.2 Selling &amp; Oper. expenses'!F75</f>
        <v>0</v>
      </c>
      <c r="D201" s="1661" t="n">
        <f aca="false">'7.4.2 Selling &amp; Oper. expenses'!G44*'7.4.2 Selling &amp; Oper. expenses'!G75</f>
        <v>0</v>
      </c>
      <c r="E201" s="1661" t="n">
        <f aca="false">'7.4.2 Selling &amp; Oper. expenses'!G44*'7.4.2 Selling &amp; Oper. expenses'!H75</f>
        <v>0</v>
      </c>
      <c r="F201" s="1661" t="n">
        <f aca="false">'7.4.2 Selling &amp; Oper. expenses'!G44*'7.4.2 Selling &amp; Oper. expenses'!I75</f>
        <v>0</v>
      </c>
      <c r="G201" s="1681" t="n">
        <f aca="false">'7.4.2 Selling &amp; Oper. expenses'!G44*'7.4.2 Selling &amp; Oper. expenses'!J75</f>
        <v>0</v>
      </c>
      <c r="H201" s="1660" t="n">
        <f aca="false">SUM(B201:G201)</f>
        <v>6452</v>
      </c>
      <c r="I201" s="1681" t="n">
        <f aca="false">SUM(B201:G201)</f>
        <v>6452</v>
      </c>
    </row>
    <row r="202" customFormat="false" ht="15" hidden="false" customHeight="false" outlineLevel="0" collapsed="false">
      <c r="A202" s="1046" t="s">
        <v>994</v>
      </c>
      <c r="B202" s="1660" t="n">
        <f aca="false">'7.4.2 Selling &amp; Oper. expenses'!G45*'7.4.2 Selling &amp; Oper. expenses'!E76</f>
        <v>2581</v>
      </c>
      <c r="C202" s="1661" t="n">
        <f aca="false">'7.4.2 Selling &amp; Oper. expenses'!G45*'7.4.2 Selling &amp; Oper. expenses'!F76</f>
        <v>0</v>
      </c>
      <c r="D202" s="1661" t="n">
        <f aca="false">'7.4.2 Selling &amp; Oper. expenses'!G45*'7.4.2 Selling &amp; Oper. expenses'!G76</f>
        <v>0</v>
      </c>
      <c r="E202" s="1661" t="n">
        <f aca="false">'7.4.2 Selling &amp; Oper. expenses'!G45*'7.4.2 Selling &amp; Oper. expenses'!H76</f>
        <v>0</v>
      </c>
      <c r="F202" s="1661" t="n">
        <f aca="false">'7.4.2 Selling &amp; Oper. expenses'!G45*'7.4.2 Selling &amp; Oper. expenses'!I76</f>
        <v>0</v>
      </c>
      <c r="G202" s="1681" t="n">
        <f aca="false">'7.4.2 Selling &amp; Oper. expenses'!G45*'7.4.2 Selling &amp; Oper. expenses'!J76</f>
        <v>0</v>
      </c>
      <c r="H202" s="1660" t="n">
        <f aca="false">SUM(B202:G202)</f>
        <v>2581</v>
      </c>
      <c r="I202" s="1681" t="n">
        <f aca="false">SUM(B202:G202)</f>
        <v>2581</v>
      </c>
    </row>
    <row r="203" customFormat="false" ht="15" hidden="false" customHeight="false" outlineLevel="0" collapsed="false">
      <c r="A203" s="1046" t="s">
        <v>769</v>
      </c>
      <c r="B203" s="1660" t="n">
        <f aca="false">'7.4.2 Selling &amp; Oper. expenses'!G46*'7.4.2 Selling &amp; Oper. expenses'!E77</f>
        <v>9677</v>
      </c>
      <c r="C203" s="1661" t="n">
        <f aca="false">'7.4.2 Selling &amp; Oper. expenses'!G46*'7.4.2 Selling &amp; Oper. expenses'!F77</f>
        <v>0</v>
      </c>
      <c r="D203" s="1661" t="n">
        <f aca="false">'7.4.2 Selling &amp; Oper. expenses'!G46*'7.4.2 Selling &amp; Oper. expenses'!G77</f>
        <v>0</v>
      </c>
      <c r="E203" s="1661" t="n">
        <f aca="false">'7.4.2 Selling &amp; Oper. expenses'!G46*'7.4.2 Selling &amp; Oper. expenses'!H77</f>
        <v>0</v>
      </c>
      <c r="F203" s="1661" t="n">
        <f aca="false">'7.4.2 Selling &amp; Oper. expenses'!G46*'7.4.2 Selling &amp; Oper. expenses'!I77</f>
        <v>0</v>
      </c>
      <c r="G203" s="1681" t="n">
        <f aca="false">'7.4.2 Selling &amp; Oper. expenses'!G46*'7.4.2 Selling &amp; Oper. expenses'!J77</f>
        <v>0</v>
      </c>
      <c r="H203" s="1660" t="n">
        <f aca="false">SUM(B203:G203)</f>
        <v>9677</v>
      </c>
      <c r="I203" s="1681" t="n">
        <f aca="false">SUM(B203:G203)</f>
        <v>9677</v>
      </c>
    </row>
    <row r="204" customFormat="false" ht="15" hidden="false" customHeight="false" outlineLevel="0" collapsed="false">
      <c r="A204" s="1046" t="s">
        <v>252</v>
      </c>
      <c r="B204" s="1660" t="n">
        <f aca="false">'7.4.2 Selling &amp; Oper. expenses'!G47*'7.4.2 Selling &amp; Oper. expenses'!E78</f>
        <v>9677</v>
      </c>
      <c r="C204" s="1661" t="n">
        <f aca="false">'7.4.2 Selling &amp; Oper. expenses'!G47*'7.4.2 Selling &amp; Oper. expenses'!F78</f>
        <v>0</v>
      </c>
      <c r="D204" s="1661" t="n">
        <f aca="false">'7.4.2 Selling &amp; Oper. expenses'!G47*'7.4.2 Selling &amp; Oper. expenses'!G78</f>
        <v>0</v>
      </c>
      <c r="E204" s="1661" t="n">
        <f aca="false">'7.4.2 Selling &amp; Oper. expenses'!G47*'7.4.2 Selling &amp; Oper. expenses'!H78</f>
        <v>0</v>
      </c>
      <c r="F204" s="1661" t="n">
        <f aca="false">'7.4.2 Selling &amp; Oper. expenses'!G47*'7.4.2 Selling &amp; Oper. expenses'!I78</f>
        <v>0</v>
      </c>
      <c r="G204" s="1681" t="n">
        <f aca="false">'7.4.2 Selling &amp; Oper. expenses'!G47*'7.4.2 Selling &amp; Oper. expenses'!J78</f>
        <v>0</v>
      </c>
      <c r="H204" s="1660" t="n">
        <f aca="false">SUM(B204:G204)</f>
        <v>9677</v>
      </c>
      <c r="I204" s="1681" t="n">
        <f aca="false">SUM(B204:G204)</f>
        <v>9677</v>
      </c>
    </row>
    <row r="205" customFormat="false" ht="15" hidden="false" customHeight="false" outlineLevel="0" collapsed="false">
      <c r="A205" s="1046" t="s">
        <v>995</v>
      </c>
      <c r="B205" s="1660" t="n">
        <f aca="false">'7.4.2 Selling &amp; Oper. expenses'!G48*'7.4.2 Selling &amp; Oper. expenses'!E79</f>
        <v>9677</v>
      </c>
      <c r="C205" s="1661" t="n">
        <f aca="false">'7.4.2 Selling &amp; Oper. expenses'!G48*'7.4.2 Selling &amp; Oper. expenses'!F79</f>
        <v>0</v>
      </c>
      <c r="D205" s="1661" t="n">
        <f aca="false">'7.4.2 Selling &amp; Oper. expenses'!G48*'7.4.2 Selling &amp; Oper. expenses'!G79</f>
        <v>0</v>
      </c>
      <c r="E205" s="1661" t="n">
        <f aca="false">'7.4.2 Selling &amp; Oper. expenses'!G48*'7.4.2 Selling &amp; Oper. expenses'!H79</f>
        <v>0</v>
      </c>
      <c r="F205" s="1661" t="n">
        <f aca="false">'7.4.2 Selling &amp; Oper. expenses'!G48*'7.4.2 Selling &amp; Oper. expenses'!I79</f>
        <v>0</v>
      </c>
      <c r="G205" s="1681" t="n">
        <f aca="false">'7.4.2 Selling &amp; Oper. expenses'!G48*'7.4.2 Selling &amp; Oper. expenses'!J79</f>
        <v>0</v>
      </c>
      <c r="H205" s="1660" t="n">
        <f aca="false">SUM(B205:G205)</f>
        <v>9677</v>
      </c>
      <c r="I205" s="1681" t="n">
        <f aca="false">SUM(B205:G205)</f>
        <v>9677</v>
      </c>
    </row>
    <row r="206" customFormat="false" ht="15" hidden="false" customHeight="false" outlineLevel="0" collapsed="false">
      <c r="A206" s="1046" t="s">
        <v>798</v>
      </c>
      <c r="B206" s="1660" t="n">
        <f aca="false">'7.4.2 Selling &amp; Oper. expenses'!G49*'7.4.2 Selling &amp; Oper. expenses'!E80</f>
        <v>1290</v>
      </c>
      <c r="C206" s="1661" t="n">
        <f aca="false">'7.4.2 Selling &amp; Oper. expenses'!G49*'7.4.2 Selling &amp; Oper. expenses'!F80</f>
        <v>0</v>
      </c>
      <c r="D206" s="1661" t="n">
        <f aca="false">'7.4.2 Selling &amp; Oper. expenses'!G49*'7.4.2 Selling &amp; Oper. expenses'!G80</f>
        <v>0</v>
      </c>
      <c r="E206" s="1661" t="n">
        <f aca="false">'7.4.2 Selling &amp; Oper. expenses'!G49*'7.4.2 Selling &amp; Oper. expenses'!H80</f>
        <v>0</v>
      </c>
      <c r="F206" s="1661" t="n">
        <f aca="false">'7.4.2 Selling &amp; Oper. expenses'!G49*'7.4.2 Selling &amp; Oper. expenses'!I80</f>
        <v>0</v>
      </c>
      <c r="G206" s="1681" t="n">
        <f aca="false">'7.4.2 Selling &amp; Oper. expenses'!G49*'7.4.2 Selling &amp; Oper. expenses'!J80</f>
        <v>0</v>
      </c>
      <c r="H206" s="1660" t="n">
        <f aca="false">SUM(B206:G206)</f>
        <v>1290</v>
      </c>
      <c r="I206" s="1681" t="n">
        <f aca="false">SUM(B206:G206)</f>
        <v>1290</v>
      </c>
    </row>
    <row r="207" customFormat="false" ht="15" hidden="false" customHeight="false" outlineLevel="0" collapsed="false">
      <c r="A207" s="1046" t="s">
        <v>772</v>
      </c>
      <c r="B207" s="1660" t="n">
        <f aca="false">'7.4.2 Selling &amp; Oper. expenses'!G50*'7.4.2 Selling &amp; Oper. expenses'!E81</f>
        <v>5806</v>
      </c>
      <c r="C207" s="1661" t="n">
        <f aca="false">'7.4.2 Selling &amp; Oper. expenses'!G50*'7.4.2 Selling &amp; Oper. expenses'!F81</f>
        <v>0</v>
      </c>
      <c r="D207" s="1661" t="n">
        <f aca="false">'7.4.2 Selling &amp; Oper. expenses'!G50*'7.4.2 Selling &amp; Oper. expenses'!G81</f>
        <v>0</v>
      </c>
      <c r="E207" s="1661" t="n">
        <f aca="false">'7.4.2 Selling &amp; Oper. expenses'!G50*'7.4.2 Selling &amp; Oper. expenses'!H81</f>
        <v>0</v>
      </c>
      <c r="F207" s="1661" t="n">
        <f aca="false">'7.4.2 Selling &amp; Oper. expenses'!G50*'7.4.2 Selling &amp; Oper. expenses'!I81</f>
        <v>0</v>
      </c>
      <c r="G207" s="1681" t="n">
        <f aca="false">'7.4.2 Selling &amp; Oper. expenses'!G50*'7.4.2 Selling &amp; Oper. expenses'!J81</f>
        <v>0</v>
      </c>
      <c r="H207" s="1660" t="n">
        <f aca="false">SUM(B207:G207)</f>
        <v>5806</v>
      </c>
      <c r="I207" s="1681" t="n">
        <f aca="false">SUM(B207:G207)</f>
        <v>5806</v>
      </c>
    </row>
    <row r="208" customFormat="false" ht="15" hidden="false" customHeight="false" outlineLevel="0" collapsed="false">
      <c r="A208" s="1046" t="s">
        <v>773</v>
      </c>
      <c r="B208" s="1660" t="n">
        <f aca="false">'7.4.2 Selling &amp; Oper. expenses'!G51*'7.4.2 Selling &amp; Oper. expenses'!E82</f>
        <v>130000</v>
      </c>
      <c r="C208" s="1661" t="n">
        <f aca="false">'7.4.2 Selling &amp; Oper. expenses'!G51*'7.4.2 Selling &amp; Oper. expenses'!F82</f>
        <v>0</v>
      </c>
      <c r="D208" s="1661" t="n">
        <f aca="false">'7.4.2 Selling &amp; Oper. expenses'!G51*'7.4.2 Selling &amp; Oper. expenses'!G82</f>
        <v>0</v>
      </c>
      <c r="E208" s="1661" t="n">
        <f aca="false">'7.4.2 Selling &amp; Oper. expenses'!G51*'7.4.2 Selling &amp; Oper. expenses'!H82</f>
        <v>0</v>
      </c>
      <c r="F208" s="1661" t="n">
        <f aca="false">'7.4.2 Selling &amp; Oper. expenses'!G51*'7.4.2 Selling &amp; Oper. expenses'!I82</f>
        <v>0</v>
      </c>
      <c r="G208" s="1681" t="n">
        <f aca="false">'7.4.2 Selling &amp; Oper. expenses'!G51*'7.4.2 Selling &amp; Oper. expenses'!J82</f>
        <v>0</v>
      </c>
      <c r="H208" s="1660" t="n">
        <f aca="false">SUM(B208:G208)</f>
        <v>130000</v>
      </c>
      <c r="I208" s="1681" t="n">
        <f aca="false">SUM(B208:G208)</f>
        <v>130000</v>
      </c>
    </row>
    <row r="209" customFormat="false" ht="15" hidden="false" customHeight="false" outlineLevel="0" collapsed="false">
      <c r="A209" s="1046" t="s">
        <v>996</v>
      </c>
      <c r="B209" s="1660" t="n">
        <f aca="false">'7.4.2 Selling &amp; Oper. expenses'!G52*'7.4.2 Selling &amp; Oper. expenses'!E83</f>
        <v>0</v>
      </c>
      <c r="C209" s="1661" t="n">
        <f aca="false">'7.4.2 Selling &amp; Oper. expenses'!G52*'7.4.2 Selling &amp; Oper. expenses'!F83</f>
        <v>0</v>
      </c>
      <c r="D209" s="1661" t="n">
        <f aca="false">'7.4.2 Selling &amp; Oper. expenses'!G52*'7.4.2 Selling &amp; Oper. expenses'!G83</f>
        <v>0</v>
      </c>
      <c r="E209" s="1661" t="n">
        <f aca="false">'7.4.2 Selling &amp; Oper. expenses'!G52*'7.4.2 Selling &amp; Oper. expenses'!H83</f>
        <v>0</v>
      </c>
      <c r="F209" s="1661" t="n">
        <f aca="false">'7.4.2 Selling &amp; Oper. expenses'!G52*'7.4.2 Selling &amp; Oper. expenses'!I83</f>
        <v>0</v>
      </c>
      <c r="G209" s="1681" t="n">
        <f aca="false">'7.4.2 Selling &amp; Oper. expenses'!G52*'7.4.2 Selling &amp; Oper. expenses'!J83</f>
        <v>0</v>
      </c>
      <c r="H209" s="1660" t="n">
        <f aca="false">SUM(B209:G209)</f>
        <v>0</v>
      </c>
      <c r="I209" s="1681" t="n">
        <f aca="false">SUM(B209:G209)</f>
        <v>0</v>
      </c>
    </row>
    <row r="210" customFormat="false" ht="15" hidden="false" customHeight="false" outlineLevel="0" collapsed="false">
      <c r="A210" s="1046" t="s">
        <v>775</v>
      </c>
      <c r="B210" s="1660" t="n">
        <f aca="false">'7.4.2 Selling &amp; Oper. expenses'!G53*'7.4.2 Selling &amp; Oper. expenses'!E84</f>
        <v>10000</v>
      </c>
      <c r="C210" s="1661" t="n">
        <f aca="false">'7.4.2 Selling &amp; Oper. expenses'!G53*'7.4.2 Selling &amp; Oper. expenses'!F84</f>
        <v>0</v>
      </c>
      <c r="D210" s="1661" t="n">
        <f aca="false">'7.4.2 Selling &amp; Oper. expenses'!G53*'7.4.2 Selling &amp; Oper. expenses'!G84</f>
        <v>0</v>
      </c>
      <c r="E210" s="1661" t="n">
        <f aca="false">'7.4.2 Selling &amp; Oper. expenses'!G53*'7.4.2 Selling &amp; Oper. expenses'!H84</f>
        <v>0</v>
      </c>
      <c r="F210" s="1661" t="n">
        <f aca="false">'7.4.2 Selling &amp; Oper. expenses'!G53*'7.4.2 Selling &amp; Oper. expenses'!I84</f>
        <v>0</v>
      </c>
      <c r="G210" s="1681" t="n">
        <f aca="false">'7.4.2 Selling &amp; Oper. expenses'!G53*'7.4.2 Selling &amp; Oper. expenses'!J84</f>
        <v>0</v>
      </c>
      <c r="H210" s="1660" t="n">
        <f aca="false">SUM(B210:G210)</f>
        <v>10000</v>
      </c>
      <c r="I210" s="1681" t="n">
        <f aca="false">SUM(B210:G210)</f>
        <v>10000</v>
      </c>
    </row>
    <row r="211" customFormat="false" ht="15" hidden="false" customHeight="false" outlineLevel="0" collapsed="false">
      <c r="A211" s="1046" t="s">
        <v>776</v>
      </c>
      <c r="B211" s="1663" t="n">
        <f aca="false">'7.4.2 Selling &amp; Oper. expenses'!G54*'7.4.2 Selling &amp; Oper. expenses'!E85</f>
        <v>0</v>
      </c>
      <c r="C211" s="1665" t="n">
        <f aca="false">'7.4.2 Selling &amp; Oper. expenses'!G54*'7.4.2 Selling &amp; Oper. expenses'!F85</f>
        <v>0</v>
      </c>
      <c r="D211" s="1665" t="n">
        <f aca="false">'7.4.2 Selling &amp; Oper. expenses'!G54*'7.4.2 Selling &amp; Oper. expenses'!G85</f>
        <v>0</v>
      </c>
      <c r="E211" s="1665" t="n">
        <f aca="false">'7.4.2 Selling &amp; Oper. expenses'!G54*'7.4.2 Selling &amp; Oper. expenses'!H85</f>
        <v>0</v>
      </c>
      <c r="F211" s="1665" t="n">
        <f aca="false">'7.4.2 Selling &amp; Oper. expenses'!G54*'7.4.2 Selling &amp; Oper. expenses'!I85</f>
        <v>0</v>
      </c>
      <c r="G211" s="1682" t="n">
        <f aca="false">'7.4.2 Selling &amp; Oper. expenses'!G54*'7.4.2 Selling &amp; Oper. expenses'!J85</f>
        <v>0</v>
      </c>
      <c r="H211" s="1663" t="n">
        <f aca="false">SUM(B211:G211)</f>
        <v>0</v>
      </c>
      <c r="I211" s="1682" t="n">
        <f aca="false">SUM(B211:G211)</f>
        <v>0</v>
      </c>
    </row>
    <row r="212" s="273" customFormat="true" ht="15" hidden="false" customHeight="false" outlineLevel="0" collapsed="false">
      <c r="A212" s="1060" t="s">
        <v>997</v>
      </c>
      <c r="B212" s="1683" t="n">
        <f aca="false">SUM(B194:B211)</f>
        <v>341160</v>
      </c>
      <c r="C212" s="1711" t="n">
        <f aca="false">SUM(C194:C211)</f>
        <v>0</v>
      </c>
      <c r="D212" s="1711" t="n">
        <f aca="false">SUM(D194:D211)</f>
        <v>0</v>
      </c>
      <c r="E212" s="1684" t="n">
        <f aca="false">SUM(E194:E211)</f>
        <v>0</v>
      </c>
      <c r="F212" s="1684" t="n">
        <f aca="false">SUM(F194:F211)</f>
        <v>0</v>
      </c>
      <c r="G212" s="1705" t="n">
        <f aca="false">SUM(G194:G211)</f>
        <v>0</v>
      </c>
      <c r="H212" s="1668" t="n">
        <f aca="false">SUM(H194:H211)</f>
        <v>341160</v>
      </c>
      <c r="I212" s="1712" t="n">
        <f aca="false">SUM(I194:I211)</f>
        <v>341160</v>
      </c>
    </row>
    <row r="213" customFormat="false" ht="15" hidden="false" customHeight="false" outlineLevel="0" collapsed="false">
      <c r="A213" s="1046"/>
      <c r="B213" s="1660"/>
      <c r="C213" s="1661"/>
      <c r="D213" s="1661"/>
      <c r="E213" s="1661"/>
      <c r="F213" s="1661"/>
      <c r="G213" s="1681"/>
      <c r="H213" s="1660"/>
      <c r="I213" s="1681"/>
    </row>
    <row r="214" s="273" customFormat="true" ht="15" hidden="false" customHeight="false" outlineLevel="0" collapsed="false">
      <c r="A214" s="1060" t="s">
        <v>998</v>
      </c>
      <c r="B214" s="1668" t="n">
        <f aca="false">'7.4.3 Inv. &amp; Depr.'!H126</f>
        <v>0</v>
      </c>
      <c r="C214" s="1669" t="n">
        <f aca="false">'7.4.3 Inv. &amp; Depr.'!H127</f>
        <v>0</v>
      </c>
      <c r="D214" s="1669" t="n">
        <f aca="false">'7.4.3 Inv. &amp; Depr.'!H128</f>
        <v>0</v>
      </c>
      <c r="E214" s="1669" t="n">
        <f aca="false">'7.4.3 Inv. &amp; Depr.'!H129</f>
        <v>0</v>
      </c>
      <c r="F214" s="1669" t="n">
        <v>0</v>
      </c>
      <c r="G214" s="1670" t="n">
        <f aca="false">'7.4.3 Inv. &amp; Depr.'!H121+'7.4.3 Inv. &amp; Depr.'!H130</f>
        <v>117009.6</v>
      </c>
      <c r="H214" s="1668" t="n">
        <f aca="false">SUM(B214:G214)</f>
        <v>117009.6</v>
      </c>
      <c r="I214" s="1670" t="n">
        <f aca="false">SUM(B214:G214)</f>
        <v>117009.6</v>
      </c>
    </row>
    <row r="215" customFormat="false" ht="15" hidden="false" customHeight="false" outlineLevel="0" collapsed="false">
      <c r="A215" s="1046"/>
      <c r="B215" s="1660"/>
      <c r="C215" s="1661"/>
      <c r="D215" s="1661"/>
      <c r="E215" s="1661"/>
      <c r="F215" s="1661"/>
      <c r="G215" s="1681"/>
      <c r="H215" s="1660"/>
      <c r="I215" s="1681"/>
    </row>
    <row r="216" customFormat="false" ht="15" hidden="false" customHeight="false" outlineLevel="0" collapsed="false">
      <c r="A216" s="1677"/>
      <c r="B216" s="1652"/>
      <c r="C216" s="1653"/>
      <c r="D216" s="1653"/>
      <c r="E216" s="1653"/>
      <c r="F216" s="1653"/>
      <c r="G216" s="1700"/>
      <c r="H216" s="1701"/>
      <c r="I216" s="1654"/>
    </row>
    <row r="217" customFormat="false" ht="15" hidden="false" customHeight="false" outlineLevel="0" collapsed="false">
      <c r="A217" s="1060" t="s">
        <v>999</v>
      </c>
      <c r="B217" s="1668" t="n">
        <f aca="false">B186-B189-B191-B212-B214</f>
        <v>-383564.664</v>
      </c>
      <c r="C217" s="1689" t="n">
        <f aca="false">C186-C189-C191-C212-C214</f>
        <v>0</v>
      </c>
      <c r="D217" s="1669" t="n">
        <f aca="false">D186-D189-D191-D212-D214</f>
        <v>0</v>
      </c>
      <c r="E217" s="1689" t="e">
        <f aca="false">E186-E189-E191-E212-E214</f>
        <v>#VALUE!</v>
      </c>
      <c r="F217" s="1669" t="n">
        <f aca="false">F186-F189-F191-F212-F214</f>
        <v>0</v>
      </c>
      <c r="G217" s="1689" t="n">
        <f aca="false">G186-G189-G191-G212-G214</f>
        <v>-117009.6</v>
      </c>
      <c r="H217" s="1668" t="e">
        <f aca="false">H186-H189-H191-H212-H214</f>
        <v>#VALUE!</v>
      </c>
      <c r="I217" s="1671" t="e">
        <f aca="false">I186-I189-I191-I212-I214</f>
        <v>#VALUE!</v>
      </c>
    </row>
    <row r="218" customFormat="false" ht="15.75" hidden="false" customHeight="false" outlineLevel="0" collapsed="false">
      <c r="A218" s="1686"/>
      <c r="B218" s="1702"/>
      <c r="C218" s="1703"/>
      <c r="D218" s="1703"/>
      <c r="E218" s="1703"/>
      <c r="F218" s="1703"/>
      <c r="G218" s="1704"/>
      <c r="H218" s="1702"/>
      <c r="I218" s="1704"/>
    </row>
    <row r="219" customFormat="false" ht="15" hidden="false" customHeight="false" outlineLevel="0" collapsed="false">
      <c r="A219" s="1046"/>
      <c r="B219" s="1660"/>
      <c r="C219" s="1661"/>
      <c r="D219" s="1661"/>
      <c r="E219" s="1661"/>
      <c r="F219" s="1661"/>
      <c r="G219" s="1681"/>
      <c r="H219" s="1660"/>
      <c r="I219" s="1681"/>
    </row>
    <row r="220" customFormat="false" ht="15" hidden="false" customHeight="false" outlineLevel="0" collapsed="false">
      <c r="A220" s="1046" t="s">
        <v>1000</v>
      </c>
      <c r="B220" s="1660" t="n">
        <v>0</v>
      </c>
      <c r="C220" s="1661" t="n">
        <v>0</v>
      </c>
      <c r="D220" s="1661" t="n">
        <v>0</v>
      </c>
      <c r="E220" s="1661" t="n">
        <v>0</v>
      </c>
      <c r="F220" s="1661" t="n">
        <v>0</v>
      </c>
      <c r="G220" s="1681" t="e">
        <f aca="false">-'7.5.2 Fin. Income &amp; Expenses '!I70</f>
        <v>#VALUE!</v>
      </c>
      <c r="H220" s="1660" t="e">
        <f aca="false">SUM(B220:G220)</f>
        <v>#VALUE!</v>
      </c>
      <c r="I220" s="1681" t="e">
        <f aca="false">SUM(B220:G220)</f>
        <v>#VALUE!</v>
      </c>
    </row>
    <row r="221" customFormat="false" ht="15" hidden="false" customHeight="false" outlineLevel="0" collapsed="false">
      <c r="A221" s="1046" t="s">
        <v>1001</v>
      </c>
      <c r="B221" s="1660" t="n">
        <v>0</v>
      </c>
      <c r="C221" s="1661" t="n">
        <v>0</v>
      </c>
      <c r="D221" s="1661" t="n">
        <v>0</v>
      </c>
      <c r="E221" s="1661" t="n">
        <v>0</v>
      </c>
      <c r="F221" s="1661" t="n">
        <v>0</v>
      </c>
      <c r="G221" s="1681" t="n">
        <f aca="false">-'7.5.2 Fin. Income &amp; Expenses '!I71</f>
        <v>-27000</v>
      </c>
      <c r="H221" s="1660" t="n">
        <f aca="false">SUM(B221:G221)</f>
        <v>-27000</v>
      </c>
      <c r="I221" s="1681" t="n">
        <f aca="false">SUM(B221:G221)</f>
        <v>-27000</v>
      </c>
    </row>
    <row r="222" customFormat="false" ht="15" hidden="false" customHeight="false" outlineLevel="0" collapsed="false">
      <c r="A222" s="1046" t="s">
        <v>1002</v>
      </c>
      <c r="B222" s="1660" t="n">
        <v>0</v>
      </c>
      <c r="C222" s="1661" t="n">
        <v>0</v>
      </c>
      <c r="D222" s="1661" t="n">
        <v>0</v>
      </c>
      <c r="E222" s="1661" t="n">
        <v>0</v>
      </c>
      <c r="F222" s="1661" t="n">
        <v>0</v>
      </c>
      <c r="G222" s="1681" t="n">
        <f aca="false">-'7.5.2 Fin. Income &amp; Expenses '!I72</f>
        <v>-0</v>
      </c>
      <c r="H222" s="1660" t="n">
        <f aca="false">SUM(B222:G222)</f>
        <v>0</v>
      </c>
      <c r="I222" s="1681" t="n">
        <f aca="false">SUM(B222:G222)</f>
        <v>0</v>
      </c>
    </row>
    <row r="223" customFormat="false" ht="15" hidden="false" customHeight="false" outlineLevel="0" collapsed="false">
      <c r="A223" s="1046" t="s">
        <v>930</v>
      </c>
      <c r="B223" s="1663" t="n">
        <f aca="false">'7.5.1 Financial Requirements'!H38*'7.5.2 Fin. Income &amp; Expenses '!I52*'7.5.2 Fin. Income &amp; Expenses '!C73</f>
        <v>0</v>
      </c>
      <c r="C223" s="1665" t="n">
        <f aca="false">(('7.2.1 Turnover Vehicles'!G53+'7.2.1 Turnover Vehicles'!G54)/2)*'7.5.2 Fin. Income &amp; Expenses '!I53*'7.5.2 Fin. Income &amp; Expenses '!C73</f>
        <v>0</v>
      </c>
      <c r="D223" s="1665" t="n">
        <f aca="false">'7.5.1 Financial Requirements'!H39*'7.5.2 Fin. Income &amp; Expenses '!I54*'7.5.2 Fin. Income &amp; Expenses '!C73</f>
        <v>0</v>
      </c>
      <c r="E223" s="1665" t="n">
        <v>0</v>
      </c>
      <c r="F223" s="1665" t="n">
        <v>0</v>
      </c>
      <c r="G223" s="1681" t="n">
        <v>0</v>
      </c>
      <c r="H223" s="1663" t="n">
        <f aca="false">SUM(B223:G223)</f>
        <v>0</v>
      </c>
      <c r="I223" s="1667" t="n">
        <f aca="false">B223+C223+D223+F223+E223+G223</f>
        <v>0</v>
      </c>
    </row>
    <row r="224" customFormat="false" ht="15" hidden="false" customHeight="false" outlineLevel="0" collapsed="false">
      <c r="A224" s="1687" t="s">
        <v>1003</v>
      </c>
      <c r="B224" s="1683" t="n">
        <f aca="false">SUM(B220:B223)</f>
        <v>0</v>
      </c>
      <c r="C224" s="1684" t="n">
        <f aca="false">SUM(C220:C223)</f>
        <v>0</v>
      </c>
      <c r="D224" s="1684" t="n">
        <f aca="false">SUM(D220:D223)</f>
        <v>0</v>
      </c>
      <c r="E224" s="1684" t="n">
        <f aca="false">SUM(E220:E223)</f>
        <v>0</v>
      </c>
      <c r="F224" s="1684" t="n">
        <f aca="false">SUM(F220:F223)</f>
        <v>0</v>
      </c>
      <c r="G224" s="1711" t="e">
        <f aca="false">SUM(G220:G223)</f>
        <v>#VALUE!</v>
      </c>
      <c r="H224" s="1683" t="e">
        <f aca="false">SUM(H220:H223)</f>
        <v>#VALUE!</v>
      </c>
      <c r="I224" s="1705" t="e">
        <f aca="false">SUM(I220:I223)</f>
        <v>#VALUE!</v>
      </c>
    </row>
    <row r="225" customFormat="false" ht="15" hidden="false" customHeight="false" outlineLevel="0" collapsed="false">
      <c r="A225" s="1060"/>
      <c r="B225" s="1668"/>
      <c r="C225" s="1689"/>
      <c r="D225" s="1689"/>
      <c r="E225" s="1689"/>
      <c r="F225" s="1689"/>
      <c r="G225" s="1690"/>
      <c r="H225" s="1668"/>
      <c r="I225" s="1671"/>
    </row>
    <row r="226" customFormat="false" ht="15" hidden="false" customHeight="false" outlineLevel="0" collapsed="false">
      <c r="A226" s="1060" t="s">
        <v>1004</v>
      </c>
      <c r="B226" s="1668" t="n">
        <v>0</v>
      </c>
      <c r="C226" s="1669" t="n">
        <v>0</v>
      </c>
      <c r="D226" s="1669" t="n">
        <v>0</v>
      </c>
      <c r="E226" s="1669" t="n">
        <v>0</v>
      </c>
      <c r="F226" s="1669" t="n">
        <v>0</v>
      </c>
      <c r="G226" s="1689" t="e">
        <f aca="false">'7.5.2 Fin. Income &amp; Expenses '!I86</f>
        <v>#VALUE!</v>
      </c>
      <c r="H226" s="1668" t="e">
        <f aca="false">SUM(B226:G226)</f>
        <v>#VALUE!</v>
      </c>
      <c r="I226" s="1689" t="e">
        <f aca="false">SUM(B226:G226)</f>
        <v>#VALUE!</v>
      </c>
    </row>
    <row r="227" customFormat="false" ht="15" hidden="false" customHeight="false" outlineLevel="0" collapsed="false">
      <c r="A227" s="1046"/>
      <c r="B227" s="1660"/>
      <c r="C227" s="1661"/>
      <c r="D227" s="1661"/>
      <c r="E227" s="1661"/>
      <c r="F227" s="1661"/>
      <c r="G227" s="1681"/>
      <c r="H227" s="1660"/>
      <c r="I227" s="1681"/>
    </row>
    <row r="228" customFormat="false" ht="15" hidden="false" customHeight="false" outlineLevel="0" collapsed="false">
      <c r="A228" s="1677"/>
      <c r="B228" s="1652"/>
      <c r="C228" s="1653"/>
      <c r="D228" s="1653"/>
      <c r="E228" s="1653"/>
      <c r="F228" s="1653"/>
      <c r="G228" s="1700"/>
      <c r="H228" s="1701"/>
      <c r="I228" s="1654"/>
    </row>
    <row r="229" customFormat="false" ht="15" hidden="false" customHeight="false" outlineLevel="0" collapsed="false">
      <c r="A229" s="1060" t="s">
        <v>1005</v>
      </c>
      <c r="B229" s="1668" t="n">
        <f aca="false">B217+B226+B224</f>
        <v>-383564.664</v>
      </c>
      <c r="C229" s="1669" t="n">
        <f aca="false">C217+C226+C224</f>
        <v>0</v>
      </c>
      <c r="D229" s="1669" t="n">
        <f aca="false">D217+D226+D224</f>
        <v>0</v>
      </c>
      <c r="E229" s="1669" t="e">
        <f aca="false">E217+E226+E224</f>
        <v>#VALUE!</v>
      </c>
      <c r="F229" s="1669" t="n">
        <f aca="false">F217+F226+F224</f>
        <v>0</v>
      </c>
      <c r="G229" s="1670" t="e">
        <f aca="false">G217+G226+G224</f>
        <v>#VALUE!</v>
      </c>
      <c r="H229" s="1668" t="e">
        <f aca="false">H217+H226+H224</f>
        <v>#VALUE!</v>
      </c>
      <c r="I229" s="1670" t="e">
        <f aca="false">I217+I226+I224</f>
        <v>#VALUE!</v>
      </c>
    </row>
    <row r="230" customFormat="false" ht="15.75" hidden="false" customHeight="false" outlineLevel="0" collapsed="false">
      <c r="A230" s="1686"/>
      <c r="B230" s="1702"/>
      <c r="C230" s="1703"/>
      <c r="D230" s="1703"/>
      <c r="E230" s="1703"/>
      <c r="F230" s="1703"/>
      <c r="G230" s="1704"/>
      <c r="H230" s="1702"/>
      <c r="I230" s="1704"/>
    </row>
    <row r="231" customFormat="false" ht="15" hidden="false" customHeight="false" outlineLevel="0" collapsed="false">
      <c r="A231" s="107"/>
      <c r="B231" s="1569"/>
      <c r="C231" s="1569"/>
      <c r="D231" s="1569"/>
      <c r="E231" s="1569"/>
      <c r="F231" s="1569"/>
      <c r="G231" s="1569"/>
      <c r="H231" s="1569"/>
      <c r="I231" s="1569"/>
    </row>
    <row r="232" customFormat="false" ht="28.5" hidden="false" customHeight="false" outlineLevel="0" collapsed="false">
      <c r="A232" s="113" t="s">
        <v>525</v>
      </c>
      <c r="B232" s="114"/>
      <c r="C232" s="114"/>
      <c r="D232" s="114"/>
      <c r="E232" s="114"/>
      <c r="F232" s="114"/>
      <c r="G232" s="114"/>
      <c r="H232" s="114"/>
      <c r="I232" s="385" t="str">
        <f aca="false">I1</f>
        <v>7.6.1 Activity Contribution</v>
      </c>
      <c r="J232" s="113"/>
      <c r="K232" s="114"/>
      <c r="L232" s="114"/>
      <c r="M232" s="114"/>
      <c r="N232" s="114"/>
      <c r="O232" s="114"/>
      <c r="P232" s="385"/>
    </row>
    <row r="233" customFormat="false" ht="15" hidden="false" customHeight="false" outlineLevel="0" collapsed="false">
      <c r="A233" s="1046"/>
      <c r="B233" s="682"/>
      <c r="C233" s="1637"/>
      <c r="D233" s="682"/>
      <c r="E233" s="682"/>
      <c r="F233" s="682"/>
      <c r="G233" s="682"/>
      <c r="H233" s="682"/>
      <c r="I233" s="1692"/>
    </row>
    <row r="234" customFormat="false" ht="18" hidden="false" customHeight="false" outlineLevel="0" collapsed="false">
      <c r="A234" s="1693" t="s">
        <v>34</v>
      </c>
      <c r="B234" s="1694" t="str">
        <f aca="false">'Reference sheet'!$C$12</f>
        <v>TEST</v>
      </c>
      <c r="D234" s="853" t="s">
        <v>46</v>
      </c>
      <c r="E234" s="853" t="s">
        <v>49</v>
      </c>
      <c r="F234" s="852" t="n">
        <f aca="false">'Reference sheet'!$C$15</f>
        <v>1</v>
      </c>
      <c r="G234" s="1307" t="str">
        <f aca="false">'Reference sheet'!C$17</f>
        <v>July</v>
      </c>
      <c r="H234" s="854" t="n">
        <f aca="false">'Reference sheet'!D$17</f>
        <v>2018</v>
      </c>
      <c r="I234" s="1695" t="str">
        <f aca="false">'Reference sheet'!$C$21</f>
        <v>EUR</v>
      </c>
    </row>
    <row r="235" customFormat="false" ht="15" hidden="false" customHeight="false" outlineLevel="0" collapsed="false">
      <c r="A235" s="1686"/>
      <c r="B235" s="1640"/>
      <c r="C235" s="1569"/>
      <c r="D235" s="1569"/>
      <c r="E235" s="1569"/>
      <c r="F235" s="1569"/>
      <c r="G235" s="1569"/>
      <c r="H235" s="1569"/>
      <c r="I235" s="1696"/>
    </row>
    <row r="236" customFormat="false" ht="21.75" hidden="false" customHeight="false" outlineLevel="0" collapsed="false">
      <c r="A236" s="1697" t="s">
        <v>973</v>
      </c>
      <c r="B236" s="1643" t="n">
        <f aca="false">'7.5.2 Fin. Income &amp; Expenses '!K6</f>
        <v>2022</v>
      </c>
      <c r="C236" s="1644"/>
      <c r="D236" s="1643"/>
      <c r="E236" s="1645"/>
      <c r="F236" s="1645"/>
      <c r="G236" s="1645"/>
      <c r="H236" s="1645"/>
      <c r="I236" s="1698"/>
    </row>
    <row r="237" customFormat="false" ht="18.75" hidden="false" customHeight="false" outlineLevel="0" collapsed="false">
      <c r="A237" s="1699"/>
      <c r="B237" s="1648" t="s">
        <v>974</v>
      </c>
      <c r="C237" s="1649" t="s">
        <v>684</v>
      </c>
      <c r="D237" s="1649" t="s">
        <v>42</v>
      </c>
      <c r="E237" s="1649" t="str">
        <f aca="false">E6</f>
        <v>Parts</v>
      </c>
      <c r="F237" s="1649" t="str">
        <f aca="false">F6</f>
        <v>Service</v>
      </c>
      <c r="G237" s="1650" t="s">
        <v>975</v>
      </c>
      <c r="H237" s="1648" t="s">
        <v>976</v>
      </c>
      <c r="I237" s="1651" t="s">
        <v>977</v>
      </c>
    </row>
    <row r="238" customFormat="false" ht="15" hidden="false" customHeight="false" outlineLevel="0" collapsed="false">
      <c r="A238" s="1677"/>
      <c r="B238" s="1652"/>
      <c r="C238" s="1653"/>
      <c r="D238" s="1653"/>
      <c r="E238" s="1653"/>
      <c r="F238" s="1653"/>
      <c r="G238" s="1654"/>
      <c r="H238" s="1652"/>
      <c r="I238" s="1655"/>
    </row>
    <row r="239" customFormat="false" ht="15" hidden="false" customHeight="false" outlineLevel="0" collapsed="false">
      <c r="A239" s="1060" t="s">
        <v>604</v>
      </c>
      <c r="B239" s="1656"/>
      <c r="C239" s="1657"/>
      <c r="D239" s="1657"/>
      <c r="E239" s="1657"/>
      <c r="F239" s="1657"/>
      <c r="G239" s="1658"/>
      <c r="H239" s="1656"/>
      <c r="I239" s="1659"/>
    </row>
    <row r="240" customFormat="false" ht="15" hidden="false" customHeight="false" outlineLevel="0" collapsed="false">
      <c r="A240" s="1046" t="s">
        <v>978</v>
      </c>
      <c r="B240" s="1660"/>
      <c r="C240" s="1657"/>
      <c r="D240" s="1657"/>
      <c r="E240" s="1657"/>
      <c r="F240" s="1657"/>
      <c r="G240" s="1658"/>
      <c r="H240" s="1656"/>
      <c r="I240" s="1659"/>
    </row>
    <row r="241" customFormat="false" ht="15" hidden="false" customHeight="false" outlineLevel="0" collapsed="false">
      <c r="A241" s="1046" t="s">
        <v>979</v>
      </c>
      <c r="B241" s="1660" t="n">
        <f aca="false">'7.2.1 Turnover Vehicles'!I36</f>
        <v>0</v>
      </c>
      <c r="C241" s="1657" t="n">
        <v>0</v>
      </c>
      <c r="D241" s="1657" t="n">
        <v>0</v>
      </c>
      <c r="E241" s="1661" t="e">
        <f aca="false">'7.2.2 Turnover Parts'!I17-'7.2.2 Turnover Parts'!I26</f>
        <v>#VALUE!</v>
      </c>
      <c r="F241" s="1661" t="n">
        <f aca="false">'7.2.3 Turnover Service &amp; Body'!I38</f>
        <v>0</v>
      </c>
      <c r="G241" s="1658" t="n">
        <v>0</v>
      </c>
      <c r="H241" s="1660" t="e">
        <f aca="false">SUM(B241:F241)</f>
        <v>#VALUE!</v>
      </c>
      <c r="I241" s="1662" t="e">
        <f aca="false">SUM(B241:F241)</f>
        <v>#VALUE!</v>
      </c>
    </row>
    <row r="242" s="312" customFormat="true" ht="21" hidden="false" customHeight="false" outlineLevel="0" collapsed="false">
      <c r="A242" s="1046" t="s">
        <v>980</v>
      </c>
      <c r="B242" s="1656" t="n">
        <v>0</v>
      </c>
      <c r="C242" s="1661" t="n">
        <f aca="false">'7.2.1 Turnover Vehicles'!I48</f>
        <v>0</v>
      </c>
      <c r="D242" s="1661" t="n">
        <f aca="false">'7.2.1 Turnover Vehicles'!I72</f>
        <v>0</v>
      </c>
      <c r="E242" s="1661" t="n">
        <f aca="false">'7.2.2 Turnover Parts'!I18-'7.2.2 Turnover Parts'!I27</f>
        <v>0</v>
      </c>
      <c r="F242" s="1661" t="n">
        <f aca="false">'7.2.3 Turnover Service &amp; Body'!I41</f>
        <v>0</v>
      </c>
      <c r="G242" s="1658" t="n">
        <v>0</v>
      </c>
      <c r="H242" s="1660" t="n">
        <f aca="false">SUM(B242:F242)</f>
        <v>0</v>
      </c>
      <c r="I242" s="1662" t="n">
        <f aca="false">SUM(B242:F242)</f>
        <v>0</v>
      </c>
    </row>
    <row r="243" customFormat="false" ht="15" hidden="false" customHeight="false" outlineLevel="0" collapsed="false">
      <c r="A243" s="1046" t="s">
        <v>981</v>
      </c>
      <c r="B243" s="1656" t="n">
        <v>0</v>
      </c>
      <c r="C243" s="1661" t="n">
        <v>0</v>
      </c>
      <c r="D243" s="1661" t="n">
        <v>0</v>
      </c>
      <c r="E243" s="1661" t="n">
        <f aca="false">'7.2.2 Turnover Parts'!I19</f>
        <v>0</v>
      </c>
      <c r="F243" s="1661" t="n">
        <v>0</v>
      </c>
      <c r="G243" s="1658" t="n">
        <v>0</v>
      </c>
      <c r="H243" s="1660" t="n">
        <f aca="false">SUM(B243:F243)</f>
        <v>0</v>
      </c>
      <c r="I243" s="1662" t="n">
        <f aca="false">SUM(B243:F243)</f>
        <v>0</v>
      </c>
    </row>
    <row r="244" customFormat="false" ht="15" hidden="false" customHeight="false" outlineLevel="0" collapsed="false">
      <c r="A244" s="1046" t="s">
        <v>982</v>
      </c>
      <c r="B244" s="1660" t="n">
        <v>0</v>
      </c>
      <c r="C244" s="1657" t="n">
        <v>0</v>
      </c>
      <c r="D244" s="1657" t="n">
        <v>0</v>
      </c>
      <c r="E244" s="1661" t="n">
        <f aca="false">'7.2.2 Turnover Parts'!I20</f>
        <v>0</v>
      </c>
      <c r="F244" s="1661" t="n">
        <v>0</v>
      </c>
      <c r="G244" s="1658" t="n">
        <v>0</v>
      </c>
      <c r="H244" s="1660" t="n">
        <f aca="false">SUM(B244:F244)</f>
        <v>0</v>
      </c>
      <c r="I244" s="1662" t="n">
        <f aca="false">SUM(B244:F244)</f>
        <v>0</v>
      </c>
    </row>
    <row r="245" customFormat="false" ht="15" hidden="false" customHeight="false" outlineLevel="0" collapsed="false">
      <c r="A245" s="1046" t="s">
        <v>708</v>
      </c>
      <c r="B245" s="1660" t="n">
        <v>0</v>
      </c>
      <c r="C245" s="1657" t="n">
        <v>0</v>
      </c>
      <c r="D245" s="1657" t="n">
        <v>0</v>
      </c>
      <c r="E245" s="1661" t="n">
        <v>0</v>
      </c>
      <c r="F245" s="1661" t="n">
        <f aca="false">'7.2.3 Turnover Service &amp; Body'!I52</f>
        <v>12000</v>
      </c>
      <c r="G245" s="1658" t="n">
        <v>0</v>
      </c>
      <c r="H245" s="1660" t="n">
        <f aca="false">SUM(B245:F245)</f>
        <v>12000</v>
      </c>
      <c r="I245" s="1662" t="n">
        <f aca="false">SUM(B245:F245)</f>
        <v>12000</v>
      </c>
    </row>
    <row r="246" customFormat="false" ht="15" hidden="false" customHeight="false" outlineLevel="0" collapsed="false">
      <c r="A246" s="1046" t="s">
        <v>983</v>
      </c>
      <c r="B246" s="1663" t="n">
        <v>0</v>
      </c>
      <c r="C246" s="1664" t="n">
        <v>0</v>
      </c>
      <c r="D246" s="1664" t="n">
        <v>0</v>
      </c>
      <c r="E246" s="1665" t="n">
        <f aca="false">'7.2.2 Turnover Parts'!I28</f>
        <v>0</v>
      </c>
      <c r="F246" s="1665" t="n">
        <f aca="false">'7.2.3 Turnover Service &amp; Body'!I39+'7.2.3 Turnover Service &amp; Body'!I40</f>
        <v>0</v>
      </c>
      <c r="G246" s="1666" t="n">
        <v>0</v>
      </c>
      <c r="H246" s="1663" t="n">
        <f aca="false">SUM(B246:F246)</f>
        <v>0</v>
      </c>
      <c r="I246" s="1682" t="n">
        <v>0</v>
      </c>
    </row>
    <row r="247" customFormat="false" ht="15" hidden="false" customHeight="false" outlineLevel="0" collapsed="false">
      <c r="A247" s="1060" t="s">
        <v>984</v>
      </c>
      <c r="B247" s="1668" t="n">
        <f aca="false">SUM(B241:B246)</f>
        <v>0</v>
      </c>
      <c r="C247" s="1669" t="n">
        <f aca="false">SUM(C242:C246)</f>
        <v>0</v>
      </c>
      <c r="D247" s="1669" t="n">
        <f aca="false">SUM(D241:D246)</f>
        <v>0</v>
      </c>
      <c r="E247" s="1669" t="e">
        <f aca="false">SUM(E241:E246)</f>
        <v>#VALUE!</v>
      </c>
      <c r="F247" s="1669" t="n">
        <f aca="false">SUM(F241:F246)</f>
        <v>12000</v>
      </c>
      <c r="G247" s="1670" t="n">
        <v>0</v>
      </c>
      <c r="H247" s="1668" t="e">
        <f aca="false">SUM(H241:H246)</f>
        <v>#VALUE!</v>
      </c>
      <c r="I247" s="1671" t="e">
        <f aca="false">SUM(I241:I246)</f>
        <v>#VALUE!</v>
      </c>
    </row>
    <row r="248" customFormat="false" ht="15" hidden="false" customHeight="false" outlineLevel="0" collapsed="false">
      <c r="A248" s="1672"/>
      <c r="B248" s="1673"/>
      <c r="C248" s="1674"/>
      <c r="D248" s="1674"/>
      <c r="E248" s="1674"/>
      <c r="F248" s="1674"/>
      <c r="G248" s="1675"/>
      <c r="H248" s="1673"/>
      <c r="I248" s="1676"/>
    </row>
    <row r="249" customFormat="false" ht="15" hidden="false" customHeight="false" outlineLevel="0" collapsed="false">
      <c r="A249" s="1677"/>
      <c r="B249" s="1652"/>
      <c r="C249" s="1653"/>
      <c r="D249" s="1653"/>
      <c r="E249" s="1653"/>
      <c r="F249" s="1653"/>
      <c r="G249" s="1654"/>
      <c r="H249" s="1652"/>
      <c r="I249" s="1655"/>
    </row>
    <row r="250" customFormat="false" ht="15" hidden="false" customHeight="false" outlineLevel="0" collapsed="false">
      <c r="A250" s="1060" t="s">
        <v>985</v>
      </c>
      <c r="B250" s="1656"/>
      <c r="C250" s="1657"/>
      <c r="D250" s="1657"/>
      <c r="E250" s="1657"/>
      <c r="F250" s="1657"/>
      <c r="G250" s="1658"/>
      <c r="H250" s="1656"/>
      <c r="I250" s="1659"/>
    </row>
    <row r="251" customFormat="false" ht="15" hidden="false" customHeight="false" outlineLevel="0" collapsed="false">
      <c r="A251" s="1046" t="s">
        <v>978</v>
      </c>
      <c r="B251" s="1656"/>
      <c r="C251" s="1657"/>
      <c r="D251" s="1657"/>
      <c r="E251" s="1657"/>
      <c r="F251" s="1657"/>
      <c r="G251" s="1658"/>
      <c r="H251" s="1656"/>
      <c r="I251" s="1659"/>
    </row>
    <row r="252" customFormat="false" ht="15" hidden="false" customHeight="false" outlineLevel="0" collapsed="false">
      <c r="A252" s="1046" t="s">
        <v>979</v>
      </c>
      <c r="B252" s="1660" t="n">
        <f aca="false">'7.3 Cost of sales'!I58+'7.3 Cost of sales'!I59</f>
        <v>0</v>
      </c>
      <c r="C252" s="1657" t="n">
        <v>0</v>
      </c>
      <c r="D252" s="1657" t="n">
        <v>0</v>
      </c>
      <c r="E252" s="1661" t="e">
        <f aca="false">'7.3 Cost of sales'!I76+'7.3 Cost of sales'!I78+'7.3 Cost of sales'!I80+'7.3 Cost of sales'!I81</f>
        <v>#VALUE!</v>
      </c>
      <c r="F252" s="1657" t="n">
        <v>0</v>
      </c>
      <c r="G252" s="1658" t="n">
        <v>0</v>
      </c>
      <c r="H252" s="1660" t="e">
        <f aca="false">SUM(B252:F252)</f>
        <v>#VALUE!</v>
      </c>
      <c r="I252" s="1662" t="e">
        <f aca="false">SUM(B252:F252)</f>
        <v>#VALUE!</v>
      </c>
    </row>
    <row r="253" customFormat="false" ht="15" hidden="false" customHeight="false" outlineLevel="0" collapsed="false">
      <c r="A253" s="1046" t="s">
        <v>980</v>
      </c>
      <c r="B253" s="1656" t="n">
        <v>0</v>
      </c>
      <c r="C253" s="1661" t="n">
        <f aca="false">'7.3 Cost of sales'!I60</f>
        <v>0</v>
      </c>
      <c r="D253" s="1661" t="n">
        <f aca="false">'7.3 Cost of sales'!I61</f>
        <v>0</v>
      </c>
      <c r="E253" s="1661" t="n">
        <f aca="false">'7.3 Cost of sales'!I77+'7.3 Cost of sales'!I79+'7.3 Cost of sales'!I82</f>
        <v>0</v>
      </c>
      <c r="F253" s="1657" t="n">
        <v>0</v>
      </c>
      <c r="G253" s="1658" t="n">
        <v>0</v>
      </c>
      <c r="H253" s="1660" t="n">
        <f aca="false">SUM(B253:F253)</f>
        <v>0</v>
      </c>
      <c r="I253" s="1662" t="n">
        <f aca="false">SUM(B253:F253)</f>
        <v>0</v>
      </c>
    </row>
    <row r="254" customFormat="false" ht="15" hidden="false" customHeight="false" outlineLevel="0" collapsed="false">
      <c r="A254" s="1046" t="s">
        <v>981</v>
      </c>
      <c r="B254" s="1656" t="n">
        <v>0</v>
      </c>
      <c r="C254" s="1661" t="n">
        <v>0</v>
      </c>
      <c r="D254" s="1661" t="n">
        <v>0</v>
      </c>
      <c r="E254" s="1661" t="n">
        <f aca="false">'7.3 Cost of sales'!I83</f>
        <v>0</v>
      </c>
      <c r="F254" s="1657" t="n">
        <v>0</v>
      </c>
      <c r="G254" s="1658" t="n">
        <v>0</v>
      </c>
      <c r="H254" s="1660" t="n">
        <f aca="false">SUM(B254:F254)</f>
        <v>0</v>
      </c>
      <c r="I254" s="1662" t="n">
        <f aca="false">SUM(B254:F254)</f>
        <v>0</v>
      </c>
    </row>
    <row r="255" customFormat="false" ht="15" hidden="false" customHeight="false" outlineLevel="0" collapsed="false">
      <c r="A255" s="1046" t="s">
        <v>982</v>
      </c>
      <c r="B255" s="1656" t="n">
        <v>0</v>
      </c>
      <c r="C255" s="1657" t="n">
        <v>0</v>
      </c>
      <c r="D255" s="1657" t="n">
        <v>0</v>
      </c>
      <c r="E255" s="1661" t="n">
        <f aca="false">'7.3 Cost of sales'!I84</f>
        <v>0</v>
      </c>
      <c r="F255" s="1657" t="n">
        <v>0</v>
      </c>
      <c r="G255" s="1658" t="n">
        <v>0</v>
      </c>
      <c r="H255" s="1660" t="n">
        <f aca="false">SUM(B255:F255)</f>
        <v>0</v>
      </c>
      <c r="I255" s="1662" t="n">
        <f aca="false">SUM(B255:F255)</f>
        <v>0</v>
      </c>
    </row>
    <row r="256" customFormat="false" ht="15" hidden="false" customHeight="false" outlineLevel="0" collapsed="false">
      <c r="A256" s="1046" t="s">
        <v>986</v>
      </c>
      <c r="B256" s="1660" t="n">
        <v>0</v>
      </c>
      <c r="C256" s="1661" t="n">
        <v>0</v>
      </c>
      <c r="D256" s="1661" t="n">
        <v>0</v>
      </c>
      <c r="E256" s="1661" t="n">
        <v>0</v>
      </c>
      <c r="F256" s="1661" t="n">
        <f aca="false">'7.4.1 Salaries &amp; Wages'!I105+'7.4.1 Salaries &amp; Wages'!I114</f>
        <v>0</v>
      </c>
      <c r="G256" s="1658" t="n">
        <v>0</v>
      </c>
      <c r="H256" s="1660" t="n">
        <f aca="false">SUM(B256:F256)</f>
        <v>0</v>
      </c>
      <c r="I256" s="1662" t="n">
        <f aca="false">SUM(B256:F256)</f>
        <v>0</v>
      </c>
    </row>
    <row r="257" customFormat="false" ht="15" hidden="false" customHeight="false" outlineLevel="0" collapsed="false">
      <c r="A257" s="1046" t="s">
        <v>987</v>
      </c>
      <c r="B257" s="1660" t="n">
        <f aca="false">-'7.3 Cost of sales'!I67</f>
        <v>-0</v>
      </c>
      <c r="C257" s="1657" t="n">
        <v>0</v>
      </c>
      <c r="D257" s="1661" t="n">
        <f aca="false">-'7.3 Cost of sales'!I68</f>
        <v>-0</v>
      </c>
      <c r="E257" s="1661" t="e">
        <f aca="false">-'7.3 Cost of sales'!I93</f>
        <v>#VALUE!</v>
      </c>
      <c r="F257" s="1657" t="n">
        <v>0</v>
      </c>
      <c r="G257" s="1658" t="n">
        <v>0</v>
      </c>
      <c r="H257" s="1660" t="e">
        <f aca="false">SUM(B257:F257)</f>
        <v>#VALUE!</v>
      </c>
      <c r="I257" s="1662" t="e">
        <f aca="false">SUM(B257:F257)</f>
        <v>#VALUE!</v>
      </c>
    </row>
    <row r="258" customFormat="false" ht="15" hidden="false" customHeight="false" outlineLevel="0" collapsed="false">
      <c r="A258" s="1046" t="s">
        <v>708</v>
      </c>
      <c r="B258" s="1660" t="n">
        <v>0</v>
      </c>
      <c r="C258" s="1657" t="n">
        <v>0</v>
      </c>
      <c r="D258" s="1661" t="n">
        <v>0</v>
      </c>
      <c r="E258" s="1661" t="n">
        <v>0</v>
      </c>
      <c r="F258" s="1661" t="n">
        <f aca="false">'7.3 Cost of sales'!I102</f>
        <v>12000</v>
      </c>
      <c r="G258" s="1658" t="n">
        <v>0</v>
      </c>
      <c r="H258" s="1660" t="n">
        <f aca="false">SUM(B258:F258)</f>
        <v>12000</v>
      </c>
      <c r="I258" s="1662" t="n">
        <f aca="false">SUM(B258:F258)</f>
        <v>12000</v>
      </c>
    </row>
    <row r="259" customFormat="false" ht="15" hidden="false" customHeight="false" outlineLevel="0" collapsed="false">
      <c r="A259" s="1046" t="s">
        <v>983</v>
      </c>
      <c r="B259" s="1663" t="n">
        <f aca="false">'7.2.3 Turnover Service &amp; Body'!I39+'7.2.2 Turnover Parts'!I26</f>
        <v>0</v>
      </c>
      <c r="C259" s="1665" t="n">
        <f aca="false">'7.2.3 Turnover Service &amp; Body'!I40+'7.2.2 Turnover Parts'!I27</f>
        <v>0</v>
      </c>
      <c r="D259" s="1664" t="n">
        <v>0</v>
      </c>
      <c r="E259" s="1664" t="n">
        <v>0</v>
      </c>
      <c r="F259" s="1664" t="n">
        <v>0</v>
      </c>
      <c r="G259" s="1666" t="n">
        <v>0</v>
      </c>
      <c r="H259" s="1663" t="n">
        <f aca="false">SUM(B259:F259)</f>
        <v>0</v>
      </c>
      <c r="I259" s="1667" t="n">
        <v>0</v>
      </c>
    </row>
    <row r="260" customFormat="false" ht="15" hidden="false" customHeight="false" outlineLevel="0" collapsed="false">
      <c r="A260" s="1060" t="s">
        <v>988</v>
      </c>
      <c r="B260" s="1668" t="n">
        <f aca="false">SUM(B252:B259)</f>
        <v>0</v>
      </c>
      <c r="C260" s="1669" t="n">
        <f aca="false">SUM(C252:C259)</f>
        <v>0</v>
      </c>
      <c r="D260" s="1669" t="n">
        <f aca="false">SUM(D252:D259)</f>
        <v>0</v>
      </c>
      <c r="E260" s="1669" t="e">
        <f aca="false">SUM(E252:E259)</f>
        <v>#VALUE!</v>
      </c>
      <c r="F260" s="1669" t="n">
        <f aca="false">SUM(F252:F259)</f>
        <v>12000</v>
      </c>
      <c r="G260" s="1678" t="n">
        <v>0</v>
      </c>
      <c r="H260" s="1668" t="e">
        <f aca="false">SUM(H252:H259)</f>
        <v>#VALUE!</v>
      </c>
      <c r="I260" s="1671" t="e">
        <f aca="false">SUM(I252:I259)</f>
        <v>#VALUE!</v>
      </c>
    </row>
    <row r="261" customFormat="false" ht="15" hidden="false" customHeight="false" outlineLevel="0" collapsed="false">
      <c r="A261" s="1672"/>
      <c r="B261" s="1673"/>
      <c r="C261" s="1674"/>
      <c r="D261" s="1674"/>
      <c r="E261" s="1674"/>
      <c r="F261" s="1674"/>
      <c r="G261" s="1679"/>
      <c r="H261" s="1680"/>
      <c r="I261" s="1676"/>
    </row>
    <row r="262" customFormat="false" ht="15" hidden="false" customHeight="false" outlineLevel="0" collapsed="false">
      <c r="A262" s="1677"/>
      <c r="B262" s="1652"/>
      <c r="C262" s="1653"/>
      <c r="D262" s="1653"/>
      <c r="E262" s="1653"/>
      <c r="F262" s="1653"/>
      <c r="G262" s="1654"/>
      <c r="H262" s="1652"/>
      <c r="I262" s="1655"/>
    </row>
    <row r="263" customFormat="false" ht="15" hidden="false" customHeight="false" outlineLevel="0" collapsed="false">
      <c r="A263" s="1060" t="s">
        <v>989</v>
      </c>
      <c r="B263" s="1668" t="n">
        <f aca="false">B247-B260</f>
        <v>0</v>
      </c>
      <c r="C263" s="1669" t="n">
        <f aca="false">C247-C260</f>
        <v>0</v>
      </c>
      <c r="D263" s="1669" t="n">
        <f aca="false">D247-D260</f>
        <v>0</v>
      </c>
      <c r="E263" s="1669" t="e">
        <f aca="false">E247-E260</f>
        <v>#VALUE!</v>
      </c>
      <c r="F263" s="1669" t="n">
        <f aca="false">F247-F260</f>
        <v>0</v>
      </c>
      <c r="G263" s="1670" t="n">
        <v>0</v>
      </c>
      <c r="H263" s="1668" t="e">
        <f aca="false">H247-H260</f>
        <v>#VALUE!</v>
      </c>
      <c r="I263" s="1671" t="e">
        <f aca="false">I247-I260</f>
        <v>#VALUE!</v>
      </c>
    </row>
    <row r="264" customFormat="false" ht="15" hidden="false" customHeight="false" outlineLevel="0" collapsed="false">
      <c r="A264" s="1672"/>
      <c r="B264" s="1673"/>
      <c r="C264" s="1674"/>
      <c r="D264" s="1674"/>
      <c r="E264" s="1674"/>
      <c r="F264" s="1674"/>
      <c r="G264" s="1675"/>
      <c r="H264" s="1673"/>
      <c r="I264" s="1676"/>
    </row>
    <row r="265" customFormat="false" ht="15" hidden="false" customHeight="false" outlineLevel="0" collapsed="false">
      <c r="A265" s="1677"/>
      <c r="B265" s="1652"/>
      <c r="C265" s="1653"/>
      <c r="D265" s="1653"/>
      <c r="E265" s="1653"/>
      <c r="F265" s="1653"/>
      <c r="G265" s="1654"/>
      <c r="H265" s="1652"/>
      <c r="I265" s="1655"/>
    </row>
    <row r="266" s="273" customFormat="true" ht="15" hidden="false" customHeight="false" outlineLevel="0" collapsed="false">
      <c r="A266" s="1060" t="s">
        <v>990</v>
      </c>
      <c r="B266" s="1668" t="n">
        <f aca="false">'7.2.1 Turnover Vehicles'!$I$84*'7.4.1 Salaries &amp; Wages'!$I$77*(1+'7.4.1 Salaries &amp; Wages'!$B$78)+('7.4.2 Selling &amp; Oper. expenses'!I9*'7.4.2 Selling &amp; Oper. expenses'!E63)</f>
        <v>0</v>
      </c>
      <c r="C266" s="1669" t="n">
        <f aca="false">'7.2.1 Turnover Vehicles'!$I$85*'7.4.1 Salaries &amp; Wages'!$I$77*(1+'7.4.1 Salaries &amp; Wages'!$B$78)+('7.4.2 Selling &amp; Oper. expenses'!I9*'7.4.2 Selling &amp; Oper. expenses'!F63)</f>
        <v>0</v>
      </c>
      <c r="D266" s="1669" t="n">
        <f aca="false">'7.2.1 Turnover Vehicles'!$I$86*'7.4.1 Salaries &amp; Wages'!$I$77*(1+'7.4.1 Salaries &amp; Wages'!$B$78)+('7.4.2 Selling &amp; Oper. expenses'!I9*'7.4.2 Selling &amp; Oper. expenses'!G63)</f>
        <v>0</v>
      </c>
      <c r="E266" s="1669" t="n">
        <f aca="false">'7.4.2 Selling &amp; Oper. expenses'!I9*'7.4.2 Selling &amp; Oper. expenses'!I63</f>
        <v>0</v>
      </c>
      <c r="F266" s="1669" t="n">
        <f aca="false">'7.4.2 Selling &amp; Oper. expenses'!I9*'7.4.2 Selling &amp; Oper. expenses'!H63</f>
        <v>0</v>
      </c>
      <c r="G266" s="1670" t="n">
        <f aca="false">'7.4.2 Selling &amp; Oper. expenses'!I9*'7.4.2 Selling &amp; Oper. expenses'!J63</f>
        <v>0</v>
      </c>
      <c r="H266" s="1668" t="n">
        <f aca="false">SUM(B266:G266)</f>
        <v>0</v>
      </c>
      <c r="I266" s="1671" t="n">
        <f aca="false">B266+C266+D266+F266+E266+G266</f>
        <v>0</v>
      </c>
    </row>
    <row r="267" customFormat="false" ht="15" hidden="false" customHeight="false" outlineLevel="0" collapsed="false">
      <c r="A267" s="1046"/>
      <c r="B267" s="1660"/>
      <c r="C267" s="1661"/>
      <c r="D267" s="1661"/>
      <c r="E267" s="1661"/>
      <c r="F267" s="1661"/>
      <c r="G267" s="1681"/>
      <c r="H267" s="1660"/>
      <c r="I267" s="1662"/>
    </row>
    <row r="268" s="273" customFormat="true" ht="15" hidden="false" customHeight="false" outlineLevel="0" collapsed="false">
      <c r="A268" s="1060" t="s">
        <v>986</v>
      </c>
      <c r="B268" s="1668" t="n">
        <f aca="false">'7.2.1 Turnover Vehicles'!I84*'7.4.1 Salaries &amp; Wages'!I80+(B247/(B247+C247+D247+0.00001)*('7.4.1 Salaries &amp; Wages'!I71+'7.4.1 Salaries &amp; Wages'!I91))-'7.2.1 Turnover Vehicles'!$I$84*'7.4.1 Salaries &amp; Wages'!$I$77*(1+'7.4.1 Salaries &amp; Wages'!$B$78)</f>
        <v>53938.732608</v>
      </c>
      <c r="C268" s="1669" t="n">
        <f aca="false">'7.2.1 Turnover Vehicles'!I85*'7.4.1 Salaries &amp; Wages'!I80+(C247/(B247+C247+D247+0.00001)*('7.4.1 Salaries &amp; Wages'!I71+'7.4.1 Salaries &amp; Wages'!I91))-'7.2.1 Turnover Vehicles'!$I$85*'7.4.1 Salaries &amp; Wages'!$I$77*(1+'7.4.1 Salaries &amp; Wages'!$B$78)</f>
        <v>0</v>
      </c>
      <c r="D268" s="1669" t="n">
        <f aca="false">'7.2.1 Turnover Vehicles'!I86*'7.4.1 Salaries &amp; Wages'!I80+(D247/(B247+C247+D247+0.00001)*('7.4.1 Salaries &amp; Wages'!I71+'7.4.1 Salaries &amp; Wages'!I91))-'7.2.1 Turnover Vehicles'!$I$86*'7.4.1 Salaries &amp; Wages'!$I$77*(1+'7.4.1 Salaries &amp; Wages'!$B$78)</f>
        <v>0</v>
      </c>
      <c r="E268" s="1669" t="n">
        <f aca="false">'7.4.1 Salaries &amp; Wages'!I141+'7.4.1 Salaries &amp; Wages'!I150+'7.4.1 Salaries &amp; Wages'!I159+'7.4.1 Salaries &amp; Wages'!I168</f>
        <v>0</v>
      </c>
      <c r="F268" s="1669" t="n">
        <f aca="false">'7.4.1 Salaries &amp; Wages'!I132+'7.4.1 Salaries &amp; Wages'!I123</f>
        <v>0</v>
      </c>
      <c r="G268" s="1670" t="n">
        <f aca="false">'7.4.1 Salaries &amp; Wages'!I35+'7.4.1 Salaries &amp; Wages'!I44+'7.4.1 Salaries &amp; Wages'!I53+'7.4.1 Salaries &amp; Wages'!I62</f>
        <v>0</v>
      </c>
      <c r="H268" s="1668" t="n">
        <f aca="false">SUM(B268:G268)</f>
        <v>53938.732608</v>
      </c>
      <c r="I268" s="1671" t="n">
        <f aca="false">B268+C268+D268+F268+E268+G268</f>
        <v>53938.732608</v>
      </c>
    </row>
    <row r="269" customFormat="false" ht="15" hidden="false" customHeight="false" outlineLevel="0" collapsed="false">
      <c r="A269" s="1046"/>
      <c r="B269" s="1660"/>
      <c r="C269" s="1661"/>
      <c r="D269" s="1661"/>
      <c r="E269" s="1661"/>
      <c r="F269" s="1661"/>
      <c r="G269" s="1681"/>
      <c r="H269" s="1660"/>
      <c r="I269" s="1681"/>
    </row>
    <row r="270" customFormat="false" ht="15" hidden="false" customHeight="false" outlineLevel="0" collapsed="false">
      <c r="A270" s="1060" t="s">
        <v>991</v>
      </c>
      <c r="B270" s="1656"/>
      <c r="C270" s="1657"/>
      <c r="D270" s="1657"/>
      <c r="E270" s="1657"/>
      <c r="F270" s="1661"/>
      <c r="G270" s="1658"/>
      <c r="H270" s="1656"/>
      <c r="I270" s="1658"/>
    </row>
    <row r="271" customFormat="false" ht="15" hidden="false" customHeight="false" outlineLevel="0" collapsed="false">
      <c r="A271" s="1046" t="s">
        <v>760</v>
      </c>
      <c r="B271" s="1660" t="n">
        <f aca="false">'7.4.2 Selling &amp; Oper. expenses'!I37*'7.4.2 Selling &amp; Oper. expenses'!E68</f>
        <v>3226</v>
      </c>
      <c r="C271" s="1661" t="n">
        <f aca="false">'7.4.2 Selling &amp; Oper. expenses'!I37*'7.4.2 Selling &amp; Oper. expenses'!F68</f>
        <v>0</v>
      </c>
      <c r="D271" s="1661" t="n">
        <f aca="false">'7.4.2 Selling &amp; Oper. expenses'!I37*'7.4.2 Selling &amp; Oper. expenses'!G68</f>
        <v>0</v>
      </c>
      <c r="E271" s="1661" t="n">
        <f aca="false">'7.4.2 Selling &amp; Oper. expenses'!I37*'7.4.2 Selling &amp; Oper. expenses'!H68</f>
        <v>0</v>
      </c>
      <c r="F271" s="1661" t="n">
        <f aca="false">'7.4.2 Selling &amp; Oper. expenses'!I37*'7.4.2 Selling &amp; Oper. expenses'!I68</f>
        <v>0</v>
      </c>
      <c r="G271" s="1681" t="n">
        <f aca="false">'7.4.2 Selling &amp; Oper. expenses'!I37*'7.4.2 Selling &amp; Oper. expenses'!J68</f>
        <v>0</v>
      </c>
      <c r="H271" s="1660" t="n">
        <f aca="false">SUM(B271:G271)</f>
        <v>3226</v>
      </c>
      <c r="I271" s="1681" t="n">
        <f aca="false">SUM(B271:G271)</f>
        <v>3226</v>
      </c>
    </row>
    <row r="272" customFormat="false" ht="15" hidden="false" customHeight="false" outlineLevel="0" collapsed="false">
      <c r="A272" s="1046" t="s">
        <v>761</v>
      </c>
      <c r="B272" s="1660" t="n">
        <f aca="false">'7.4.2 Selling &amp; Oper. expenses'!I38*'7.4.2 Selling &amp; Oper. expenses'!E69</f>
        <v>7742</v>
      </c>
      <c r="C272" s="1661" t="n">
        <f aca="false">'7.4.2 Selling &amp; Oper. expenses'!I38*'7.4.2 Selling &amp; Oper. expenses'!F69</f>
        <v>0</v>
      </c>
      <c r="D272" s="1661" t="n">
        <f aca="false">'7.4.2 Selling &amp; Oper. expenses'!I38*'7.4.2 Selling &amp; Oper. expenses'!G69</f>
        <v>0</v>
      </c>
      <c r="E272" s="1661" t="n">
        <f aca="false">'7.4.2 Selling &amp; Oper. expenses'!I38*'7.4.2 Selling &amp; Oper. expenses'!H69</f>
        <v>0</v>
      </c>
      <c r="F272" s="1661" t="n">
        <f aca="false">'7.4.2 Selling &amp; Oper. expenses'!I38*'7.4.2 Selling &amp; Oper. expenses'!I69</f>
        <v>0</v>
      </c>
      <c r="G272" s="1681" t="n">
        <f aca="false">'7.4.2 Selling &amp; Oper. expenses'!I38*'7.4.2 Selling &amp; Oper. expenses'!J69</f>
        <v>0</v>
      </c>
      <c r="H272" s="1660" t="n">
        <f aca="false">SUM(B272:G272)</f>
        <v>7742</v>
      </c>
      <c r="I272" s="1681" t="n">
        <f aca="false">SUM(B272:G272)</f>
        <v>7742</v>
      </c>
    </row>
    <row r="273" customFormat="false" ht="15" hidden="false" customHeight="false" outlineLevel="0" collapsed="false">
      <c r="A273" s="1046" t="s">
        <v>762</v>
      </c>
      <c r="B273" s="1660" t="n">
        <f aca="false">'7.4.2 Selling &amp; Oper. expenses'!I39*'7.4.2 Selling &amp; Oper. expenses'!E70</f>
        <v>5000</v>
      </c>
      <c r="C273" s="1661" t="n">
        <f aca="false">'7.4.2 Selling &amp; Oper. expenses'!I39*'7.4.2 Selling &amp; Oper. expenses'!F70</f>
        <v>0</v>
      </c>
      <c r="D273" s="1661" t="n">
        <f aca="false">'7.4.2 Selling &amp; Oper. expenses'!I39*'7.4.2 Selling &amp; Oper. expenses'!G70</f>
        <v>0</v>
      </c>
      <c r="E273" s="1661" t="n">
        <f aca="false">'7.4.2 Selling &amp; Oper. expenses'!I39*'7.4.2 Selling &amp; Oper. expenses'!H70</f>
        <v>0</v>
      </c>
      <c r="F273" s="1661" t="n">
        <f aca="false">'7.4.2 Selling &amp; Oper. expenses'!I39*'7.4.2 Selling &amp; Oper. expenses'!I70</f>
        <v>0</v>
      </c>
      <c r="G273" s="1681" t="n">
        <f aca="false">'7.4.2 Selling &amp; Oper. expenses'!I39*'7.4.2 Selling &amp; Oper. expenses'!J70</f>
        <v>0</v>
      </c>
      <c r="H273" s="1660" t="n">
        <f aca="false">SUM(B273:G273)</f>
        <v>5000</v>
      </c>
      <c r="I273" s="1681" t="n">
        <f aca="false">SUM(B273:G273)</f>
        <v>5000</v>
      </c>
    </row>
    <row r="274" customFormat="false" ht="15" hidden="false" customHeight="false" outlineLevel="0" collapsed="false">
      <c r="A274" s="1046" t="s">
        <v>763</v>
      </c>
      <c r="B274" s="1660" t="n">
        <f aca="false">'7.4.2 Selling &amp; Oper. expenses'!I40*'7.4.2 Selling &amp; Oper. expenses'!E71</f>
        <v>6000</v>
      </c>
      <c r="C274" s="1661" t="n">
        <f aca="false">'7.4.2 Selling &amp; Oper. expenses'!I40*'7.4.2 Selling &amp; Oper. expenses'!F71</f>
        <v>0</v>
      </c>
      <c r="D274" s="1661" t="n">
        <f aca="false">'7.4.2 Selling &amp; Oper. expenses'!I40*'7.4.2 Selling &amp; Oper. expenses'!G71</f>
        <v>0</v>
      </c>
      <c r="E274" s="1661" t="n">
        <f aca="false">'7.4.2 Selling &amp; Oper. expenses'!I40*'7.4.2 Selling &amp; Oper. expenses'!H71</f>
        <v>0</v>
      </c>
      <c r="F274" s="1661" t="n">
        <f aca="false">'7.4.2 Selling &amp; Oper. expenses'!I40*'7.4.2 Selling &amp; Oper. expenses'!I71</f>
        <v>0</v>
      </c>
      <c r="G274" s="1681" t="n">
        <f aca="false">'7.4.2 Selling &amp; Oper. expenses'!I40*'7.4.2 Selling &amp; Oper. expenses'!J71</f>
        <v>0</v>
      </c>
      <c r="H274" s="1660" t="n">
        <f aca="false">SUM(B274:G274)</f>
        <v>6000</v>
      </c>
      <c r="I274" s="1681" t="n">
        <f aca="false">SUM(B274:G274)</f>
        <v>6000</v>
      </c>
    </row>
    <row r="275" customFormat="false" ht="15" hidden="false" customHeight="false" outlineLevel="0" collapsed="false">
      <c r="A275" s="1046" t="s">
        <v>764</v>
      </c>
      <c r="B275" s="1660" t="n">
        <f aca="false">'7.4.2 Selling &amp; Oper. expenses'!I41*'7.4.2 Selling &amp; Oper. expenses'!E72</f>
        <v>20000</v>
      </c>
      <c r="C275" s="1661" t="n">
        <f aca="false">'7.4.2 Selling &amp; Oper. expenses'!I41*'7.4.2 Selling &amp; Oper. expenses'!F72</f>
        <v>0</v>
      </c>
      <c r="D275" s="1661" t="n">
        <f aca="false">'7.4.2 Selling &amp; Oper. expenses'!I41*'7.4.2 Selling &amp; Oper. expenses'!G72</f>
        <v>0</v>
      </c>
      <c r="E275" s="1661" t="n">
        <f aca="false">'7.4.2 Selling &amp; Oper. expenses'!I41*'7.4.2 Selling &amp; Oper. expenses'!H72</f>
        <v>0</v>
      </c>
      <c r="F275" s="1661" t="n">
        <f aca="false">'7.4.2 Selling &amp; Oper. expenses'!I41*'7.4.2 Selling &amp; Oper. expenses'!I72</f>
        <v>0</v>
      </c>
      <c r="G275" s="1681" t="n">
        <f aca="false">'7.4.2 Selling &amp; Oper. expenses'!I41*'7.4.2 Selling &amp; Oper. expenses'!J72</f>
        <v>0</v>
      </c>
      <c r="H275" s="1660" t="n">
        <f aca="false">SUM(B275:G275)</f>
        <v>20000</v>
      </c>
      <c r="I275" s="1681" t="n">
        <f aca="false">SUM(B275:G275)</f>
        <v>20000</v>
      </c>
    </row>
    <row r="276" customFormat="false" ht="15" hidden="false" customHeight="false" outlineLevel="0" collapsed="false">
      <c r="A276" s="1046" t="s">
        <v>992</v>
      </c>
      <c r="B276" s="1660" t="n">
        <f aca="false">'7.4.2 Selling &amp; Oper. expenses'!I42*'7.4.2 Selling &amp; Oper. expenses'!E73</f>
        <v>90000</v>
      </c>
      <c r="C276" s="1661" t="n">
        <f aca="false">'7.4.2 Selling &amp; Oper. expenses'!I42*'7.4.2 Selling &amp; Oper. expenses'!F73</f>
        <v>0</v>
      </c>
      <c r="D276" s="1661" t="n">
        <f aca="false">'7.4.2 Selling &amp; Oper. expenses'!I42*'7.4.2 Selling &amp; Oper. expenses'!G73</f>
        <v>0</v>
      </c>
      <c r="E276" s="1661" t="n">
        <f aca="false">'7.4.2 Selling &amp; Oper. expenses'!I42*'7.4.2 Selling &amp; Oper. expenses'!H73</f>
        <v>0</v>
      </c>
      <c r="F276" s="1661" t="n">
        <f aca="false">'7.4.2 Selling &amp; Oper. expenses'!I42*'7.4.2 Selling &amp; Oper. expenses'!I73</f>
        <v>0</v>
      </c>
      <c r="G276" s="1681" t="n">
        <f aca="false">'7.4.2 Selling &amp; Oper. expenses'!I42*'7.4.2 Selling &amp; Oper. expenses'!J73</f>
        <v>0</v>
      </c>
      <c r="H276" s="1660" t="n">
        <f aca="false">SUM(B276:G276)</f>
        <v>90000</v>
      </c>
      <c r="I276" s="1681" t="n">
        <f aca="false">SUM(B276:G276)</f>
        <v>90000</v>
      </c>
    </row>
    <row r="277" customFormat="false" ht="15" hidden="false" customHeight="false" outlineLevel="0" collapsed="false">
      <c r="A277" s="1046" t="s">
        <v>766</v>
      </c>
      <c r="B277" s="1660" t="n">
        <f aca="false">'7.4.2 Selling &amp; Oper. expenses'!I43*'7.4.2 Selling &amp; Oper. expenses'!E74</f>
        <v>25000</v>
      </c>
      <c r="C277" s="1661" t="n">
        <f aca="false">'7.4.2 Selling &amp; Oper. expenses'!I43*'7.4.2 Selling &amp; Oper. expenses'!F74</f>
        <v>0</v>
      </c>
      <c r="D277" s="1661" t="n">
        <f aca="false">'7.4.2 Selling &amp; Oper. expenses'!I43*'7.4.2 Selling &amp; Oper. expenses'!G74</f>
        <v>0</v>
      </c>
      <c r="E277" s="1661" t="n">
        <f aca="false">'7.4.2 Selling &amp; Oper. expenses'!I43*'7.4.2 Selling &amp; Oper. expenses'!H74</f>
        <v>0</v>
      </c>
      <c r="F277" s="1661" t="n">
        <f aca="false">'7.4.2 Selling &amp; Oper. expenses'!I43*'7.4.2 Selling &amp; Oper. expenses'!I74</f>
        <v>0</v>
      </c>
      <c r="G277" s="1681" t="n">
        <f aca="false">'7.4.2 Selling &amp; Oper. expenses'!I43*'7.4.2 Selling &amp; Oper. expenses'!J74</f>
        <v>0</v>
      </c>
      <c r="H277" s="1660" t="n">
        <f aca="false">SUM(B277:G277)</f>
        <v>25000</v>
      </c>
      <c r="I277" s="1681" t="n">
        <f aca="false">SUM(B277:G277)</f>
        <v>25000</v>
      </c>
    </row>
    <row r="278" customFormat="false" ht="15" hidden="false" customHeight="false" outlineLevel="0" collapsed="false">
      <c r="A278" s="1046" t="s">
        <v>993</v>
      </c>
      <c r="B278" s="1660" t="n">
        <f aca="false">'7.4.2 Selling &amp; Oper. expenses'!I44*'7.4.2 Selling &amp; Oper. expenses'!E75</f>
        <v>8065</v>
      </c>
      <c r="C278" s="1661" t="n">
        <f aca="false">'7.4.2 Selling &amp; Oper. expenses'!I44*'7.4.2 Selling &amp; Oper. expenses'!F75</f>
        <v>0</v>
      </c>
      <c r="D278" s="1661" t="n">
        <f aca="false">'7.4.2 Selling &amp; Oper. expenses'!I44*'7.4.2 Selling &amp; Oper. expenses'!G75</f>
        <v>0</v>
      </c>
      <c r="E278" s="1661" t="n">
        <f aca="false">'7.4.2 Selling &amp; Oper. expenses'!I44*'7.4.2 Selling &amp; Oper. expenses'!H75</f>
        <v>0</v>
      </c>
      <c r="F278" s="1661" t="n">
        <f aca="false">'7.4.2 Selling &amp; Oper. expenses'!I44*'7.4.2 Selling &amp; Oper. expenses'!I75</f>
        <v>0</v>
      </c>
      <c r="G278" s="1681" t="n">
        <f aca="false">'7.4.2 Selling &amp; Oper. expenses'!I44*'7.4.2 Selling &amp; Oper. expenses'!J75</f>
        <v>0</v>
      </c>
      <c r="H278" s="1660" t="n">
        <f aca="false">SUM(B278:G278)</f>
        <v>8065</v>
      </c>
      <c r="I278" s="1681" t="n">
        <f aca="false">SUM(B278:G278)</f>
        <v>8065</v>
      </c>
    </row>
    <row r="279" customFormat="false" ht="15" hidden="false" customHeight="false" outlineLevel="0" collapsed="false">
      <c r="A279" s="1046" t="s">
        <v>994</v>
      </c>
      <c r="B279" s="1660" t="n">
        <f aca="false">'7.4.2 Selling &amp; Oper. expenses'!I45*'7.4.2 Selling &amp; Oper. expenses'!E76</f>
        <v>3226</v>
      </c>
      <c r="C279" s="1661" t="n">
        <f aca="false">'7.4.2 Selling &amp; Oper. expenses'!I45*'7.4.2 Selling &amp; Oper. expenses'!F76</f>
        <v>0</v>
      </c>
      <c r="D279" s="1661" t="n">
        <f aca="false">'7.4.2 Selling &amp; Oper. expenses'!I45*'7.4.2 Selling &amp; Oper. expenses'!G76</f>
        <v>0</v>
      </c>
      <c r="E279" s="1661" t="n">
        <f aca="false">'7.4.2 Selling &amp; Oper. expenses'!I45*'7.4.2 Selling &amp; Oper. expenses'!H76</f>
        <v>0</v>
      </c>
      <c r="F279" s="1661" t="n">
        <f aca="false">'7.4.2 Selling &amp; Oper. expenses'!I45*'7.4.2 Selling &amp; Oper. expenses'!I76</f>
        <v>0</v>
      </c>
      <c r="G279" s="1681" t="n">
        <f aca="false">'7.4.2 Selling &amp; Oper. expenses'!I45*'7.4.2 Selling &amp; Oper. expenses'!J76</f>
        <v>0</v>
      </c>
      <c r="H279" s="1660" t="n">
        <f aca="false">SUM(B279:G279)</f>
        <v>3226</v>
      </c>
      <c r="I279" s="1681" t="n">
        <f aca="false">SUM(B279:G279)</f>
        <v>3226</v>
      </c>
    </row>
    <row r="280" customFormat="false" ht="15" hidden="false" customHeight="false" outlineLevel="0" collapsed="false">
      <c r="A280" s="1046" t="s">
        <v>769</v>
      </c>
      <c r="B280" s="1660" t="n">
        <f aca="false">'7.4.2 Selling &amp; Oper. expenses'!I46*'7.4.2 Selling &amp; Oper. expenses'!E77</f>
        <v>9677</v>
      </c>
      <c r="C280" s="1661" t="n">
        <f aca="false">'7.4.2 Selling &amp; Oper. expenses'!I46*'7.4.2 Selling &amp; Oper. expenses'!F77</f>
        <v>0</v>
      </c>
      <c r="D280" s="1661" t="n">
        <f aca="false">'7.4.2 Selling &amp; Oper. expenses'!I46*'7.4.2 Selling &amp; Oper. expenses'!G77</f>
        <v>0</v>
      </c>
      <c r="E280" s="1661" t="n">
        <f aca="false">'7.4.2 Selling &amp; Oper. expenses'!I46*'7.4.2 Selling &amp; Oper. expenses'!H77</f>
        <v>0</v>
      </c>
      <c r="F280" s="1661" t="n">
        <f aca="false">'7.4.2 Selling &amp; Oper. expenses'!I46*'7.4.2 Selling &amp; Oper. expenses'!I77</f>
        <v>0</v>
      </c>
      <c r="G280" s="1681" t="n">
        <f aca="false">'7.4.2 Selling &amp; Oper. expenses'!I46*'7.4.2 Selling &amp; Oper. expenses'!J77</f>
        <v>0</v>
      </c>
      <c r="H280" s="1660" t="n">
        <f aca="false">SUM(B280:G280)</f>
        <v>9677</v>
      </c>
      <c r="I280" s="1681" t="n">
        <f aca="false">SUM(B280:G280)</f>
        <v>9677</v>
      </c>
    </row>
    <row r="281" customFormat="false" ht="15" hidden="false" customHeight="false" outlineLevel="0" collapsed="false">
      <c r="A281" s="1046" t="s">
        <v>252</v>
      </c>
      <c r="B281" s="1660" t="n">
        <f aca="false">'7.4.2 Selling &amp; Oper. expenses'!I47*'7.4.2 Selling &amp; Oper. expenses'!E78</f>
        <v>9677</v>
      </c>
      <c r="C281" s="1661" t="n">
        <f aca="false">'7.4.2 Selling &amp; Oper. expenses'!I47*'7.4.2 Selling &amp; Oper. expenses'!F78</f>
        <v>0</v>
      </c>
      <c r="D281" s="1661" t="n">
        <f aca="false">'7.4.2 Selling &amp; Oper. expenses'!I47*'7.4.2 Selling &amp; Oper. expenses'!G78</f>
        <v>0</v>
      </c>
      <c r="E281" s="1661" t="n">
        <f aca="false">'7.4.2 Selling &amp; Oper. expenses'!I47*'7.4.2 Selling &amp; Oper. expenses'!H78</f>
        <v>0</v>
      </c>
      <c r="F281" s="1661" t="n">
        <f aca="false">'7.4.2 Selling &amp; Oper. expenses'!I47*'7.4.2 Selling &amp; Oper. expenses'!I78</f>
        <v>0</v>
      </c>
      <c r="G281" s="1681" t="n">
        <f aca="false">'7.4.2 Selling &amp; Oper. expenses'!I47*'7.4.2 Selling &amp; Oper. expenses'!J78</f>
        <v>0</v>
      </c>
      <c r="H281" s="1660" t="n">
        <f aca="false">SUM(B281:G281)</f>
        <v>9677</v>
      </c>
      <c r="I281" s="1681" t="n">
        <f aca="false">SUM(B281:G281)</f>
        <v>9677</v>
      </c>
    </row>
    <row r="282" customFormat="false" ht="15" hidden="false" customHeight="false" outlineLevel="0" collapsed="false">
      <c r="A282" s="1046" t="s">
        <v>995</v>
      </c>
      <c r="B282" s="1660" t="n">
        <f aca="false">'7.4.2 Selling &amp; Oper. expenses'!I48*'7.4.2 Selling &amp; Oper. expenses'!E79</f>
        <v>11290</v>
      </c>
      <c r="C282" s="1661" t="n">
        <f aca="false">'7.4.2 Selling &amp; Oper. expenses'!I48*'7.4.2 Selling &amp; Oper. expenses'!F79</f>
        <v>0</v>
      </c>
      <c r="D282" s="1661" t="n">
        <f aca="false">'7.4.2 Selling &amp; Oper. expenses'!I48*'7.4.2 Selling &amp; Oper. expenses'!G79</f>
        <v>0</v>
      </c>
      <c r="E282" s="1661" t="n">
        <f aca="false">'7.4.2 Selling &amp; Oper. expenses'!I48*'7.4.2 Selling &amp; Oper. expenses'!H79</f>
        <v>0</v>
      </c>
      <c r="F282" s="1661" t="n">
        <f aca="false">'7.4.2 Selling &amp; Oper. expenses'!I48*'7.4.2 Selling &amp; Oper. expenses'!I79</f>
        <v>0</v>
      </c>
      <c r="G282" s="1681" t="n">
        <f aca="false">'7.4.2 Selling &amp; Oper. expenses'!I48*'7.4.2 Selling &amp; Oper. expenses'!J79</f>
        <v>0</v>
      </c>
      <c r="H282" s="1660" t="n">
        <f aca="false">SUM(B282:G282)</f>
        <v>11290</v>
      </c>
      <c r="I282" s="1681" t="n">
        <f aca="false">SUM(B282:G282)</f>
        <v>11290</v>
      </c>
    </row>
    <row r="283" customFormat="false" ht="15" hidden="false" customHeight="false" outlineLevel="0" collapsed="false">
      <c r="A283" s="1046" t="s">
        <v>798</v>
      </c>
      <c r="B283" s="1660" t="n">
        <f aca="false">'7.4.2 Selling &amp; Oper. expenses'!I49*'7.4.2 Selling &amp; Oper. expenses'!E80</f>
        <v>1613</v>
      </c>
      <c r="C283" s="1661" t="n">
        <f aca="false">'7.4.2 Selling &amp; Oper. expenses'!I49*'7.4.2 Selling &amp; Oper. expenses'!F80</f>
        <v>0</v>
      </c>
      <c r="D283" s="1661" t="n">
        <f aca="false">'7.4.2 Selling &amp; Oper. expenses'!I49*'7.4.2 Selling &amp; Oper. expenses'!G80</f>
        <v>0</v>
      </c>
      <c r="E283" s="1661" t="n">
        <f aca="false">'7.4.2 Selling &amp; Oper. expenses'!I49*'7.4.2 Selling &amp; Oper. expenses'!H80</f>
        <v>0</v>
      </c>
      <c r="F283" s="1661" t="n">
        <f aca="false">'7.4.2 Selling &amp; Oper. expenses'!I49*'7.4.2 Selling &amp; Oper. expenses'!I80</f>
        <v>0</v>
      </c>
      <c r="G283" s="1681" t="n">
        <f aca="false">'7.4.2 Selling &amp; Oper. expenses'!I49*'7.4.2 Selling &amp; Oper. expenses'!J80</f>
        <v>0</v>
      </c>
      <c r="H283" s="1660" t="n">
        <f aca="false">SUM(B283:G283)</f>
        <v>1613</v>
      </c>
      <c r="I283" s="1681" t="n">
        <f aca="false">SUM(B283:G283)</f>
        <v>1613</v>
      </c>
    </row>
    <row r="284" customFormat="false" ht="15" hidden="false" customHeight="false" outlineLevel="0" collapsed="false">
      <c r="A284" s="1046" t="s">
        <v>772</v>
      </c>
      <c r="B284" s="1660" t="n">
        <f aca="false">'7.4.2 Selling &amp; Oper. expenses'!I50*'7.4.2 Selling &amp; Oper. expenses'!E81</f>
        <v>6452</v>
      </c>
      <c r="C284" s="1661" t="n">
        <f aca="false">'7.4.2 Selling &amp; Oper. expenses'!I50*'7.4.2 Selling &amp; Oper. expenses'!F81</f>
        <v>0</v>
      </c>
      <c r="D284" s="1661" t="n">
        <f aca="false">'7.4.2 Selling &amp; Oper. expenses'!I50*'7.4.2 Selling &amp; Oper. expenses'!G81</f>
        <v>0</v>
      </c>
      <c r="E284" s="1661" t="n">
        <f aca="false">'7.4.2 Selling &amp; Oper. expenses'!I50*'7.4.2 Selling &amp; Oper. expenses'!H81</f>
        <v>0</v>
      </c>
      <c r="F284" s="1661" t="n">
        <f aca="false">'7.4.2 Selling &amp; Oper. expenses'!I50*'7.4.2 Selling &amp; Oper. expenses'!I81</f>
        <v>0</v>
      </c>
      <c r="G284" s="1681" t="n">
        <f aca="false">'7.4.2 Selling &amp; Oper. expenses'!I50*'7.4.2 Selling &amp; Oper. expenses'!J81</f>
        <v>0</v>
      </c>
      <c r="H284" s="1660" t="n">
        <f aca="false">SUM(B284:G284)</f>
        <v>6452</v>
      </c>
      <c r="I284" s="1681" t="n">
        <f aca="false">SUM(B284:G284)</f>
        <v>6452</v>
      </c>
    </row>
    <row r="285" customFormat="false" ht="15" hidden="false" customHeight="false" outlineLevel="0" collapsed="false">
      <c r="A285" s="1046" t="s">
        <v>773</v>
      </c>
      <c r="B285" s="1660" t="n">
        <f aca="false">'7.4.2 Selling &amp; Oper. expenses'!I51*'7.4.2 Selling &amp; Oper. expenses'!E82</f>
        <v>130000</v>
      </c>
      <c r="C285" s="1661" t="n">
        <f aca="false">'7.4.2 Selling &amp; Oper. expenses'!I51*'7.4.2 Selling &amp; Oper. expenses'!F82</f>
        <v>0</v>
      </c>
      <c r="D285" s="1661" t="n">
        <f aca="false">'7.4.2 Selling &amp; Oper. expenses'!I51*'7.4.2 Selling &amp; Oper. expenses'!G82</f>
        <v>0</v>
      </c>
      <c r="E285" s="1661" t="n">
        <f aca="false">'7.4.2 Selling &amp; Oper. expenses'!I51*'7.4.2 Selling &amp; Oper. expenses'!H82</f>
        <v>0</v>
      </c>
      <c r="F285" s="1661" t="n">
        <f aca="false">'7.4.2 Selling &amp; Oper. expenses'!I51*'7.4.2 Selling &amp; Oper. expenses'!I82</f>
        <v>0</v>
      </c>
      <c r="G285" s="1681" t="n">
        <f aca="false">'7.4.2 Selling &amp; Oper. expenses'!I51*'7.4.2 Selling &amp; Oper. expenses'!J82</f>
        <v>0</v>
      </c>
      <c r="H285" s="1660" t="n">
        <f aca="false">SUM(B285:G285)</f>
        <v>130000</v>
      </c>
      <c r="I285" s="1681" t="n">
        <f aca="false">SUM(B285:G285)</f>
        <v>130000</v>
      </c>
    </row>
    <row r="286" customFormat="false" ht="15" hidden="false" customHeight="false" outlineLevel="0" collapsed="false">
      <c r="A286" s="1046" t="s">
        <v>996</v>
      </c>
      <c r="B286" s="1660" t="n">
        <f aca="false">'7.4.2 Selling &amp; Oper. expenses'!I52*'7.4.2 Selling &amp; Oper. expenses'!E83</f>
        <v>0</v>
      </c>
      <c r="C286" s="1661" t="n">
        <f aca="false">'7.4.2 Selling &amp; Oper. expenses'!I52*'7.4.2 Selling &amp; Oper. expenses'!F83</f>
        <v>0</v>
      </c>
      <c r="D286" s="1661" t="n">
        <f aca="false">'7.4.2 Selling &amp; Oper. expenses'!I52*'7.4.2 Selling &amp; Oper. expenses'!G83</f>
        <v>0</v>
      </c>
      <c r="E286" s="1661" t="n">
        <f aca="false">'7.4.2 Selling &amp; Oper. expenses'!I52*'7.4.2 Selling &amp; Oper. expenses'!H83</f>
        <v>0</v>
      </c>
      <c r="F286" s="1661" t="n">
        <f aca="false">'7.4.2 Selling &amp; Oper. expenses'!I52*'7.4.2 Selling &amp; Oper. expenses'!I83</f>
        <v>0</v>
      </c>
      <c r="G286" s="1681" t="n">
        <f aca="false">'7.4.2 Selling &amp; Oper. expenses'!I52*'7.4.2 Selling &amp; Oper. expenses'!J83</f>
        <v>0</v>
      </c>
      <c r="H286" s="1660" t="n">
        <f aca="false">SUM(B286:G286)</f>
        <v>0</v>
      </c>
      <c r="I286" s="1681" t="n">
        <f aca="false">SUM(B286:G286)</f>
        <v>0</v>
      </c>
    </row>
    <row r="287" customFormat="false" ht="15" hidden="false" customHeight="false" outlineLevel="0" collapsed="false">
      <c r="A287" s="1046" t="s">
        <v>775</v>
      </c>
      <c r="B287" s="1660" t="n">
        <f aca="false">'7.4.2 Selling &amp; Oper. expenses'!I53*'7.4.2 Selling &amp; Oper. expenses'!E84</f>
        <v>10000</v>
      </c>
      <c r="C287" s="1661" t="n">
        <f aca="false">'7.4.2 Selling &amp; Oper. expenses'!I53*'7.4.2 Selling &amp; Oper. expenses'!F84</f>
        <v>0</v>
      </c>
      <c r="D287" s="1661" t="n">
        <f aca="false">'7.4.2 Selling &amp; Oper. expenses'!I53*'7.4.2 Selling &amp; Oper. expenses'!G84</f>
        <v>0</v>
      </c>
      <c r="E287" s="1661" t="n">
        <f aca="false">'7.4.2 Selling &amp; Oper. expenses'!I53*'7.4.2 Selling &amp; Oper. expenses'!H84</f>
        <v>0</v>
      </c>
      <c r="F287" s="1661" t="n">
        <f aca="false">'7.4.2 Selling &amp; Oper. expenses'!I53*'7.4.2 Selling &amp; Oper. expenses'!I84</f>
        <v>0</v>
      </c>
      <c r="G287" s="1681" t="n">
        <f aca="false">'7.4.2 Selling &amp; Oper. expenses'!I53*'7.4.2 Selling &amp; Oper. expenses'!J84</f>
        <v>0</v>
      </c>
      <c r="H287" s="1660" t="n">
        <f aca="false">SUM(B287:G287)</f>
        <v>10000</v>
      </c>
      <c r="I287" s="1681" t="n">
        <f aca="false">SUM(B287:G287)</f>
        <v>10000</v>
      </c>
    </row>
    <row r="288" customFormat="false" ht="12" hidden="false" customHeight="true" outlineLevel="0" collapsed="false">
      <c r="A288" s="1046" t="s">
        <v>776</v>
      </c>
      <c r="B288" s="1660" t="n">
        <f aca="false">'7.4.2 Selling &amp; Oper. expenses'!I54*'7.4.2 Selling &amp; Oper. expenses'!E85</f>
        <v>0</v>
      </c>
      <c r="C288" s="1661" t="n">
        <f aca="false">'7.4.2 Selling &amp; Oper. expenses'!I54*'7.4.2 Selling &amp; Oper. expenses'!F85</f>
        <v>0</v>
      </c>
      <c r="D288" s="1661" t="n">
        <f aca="false">'7.4.2 Selling &amp; Oper. expenses'!I54*'7.4.2 Selling &amp; Oper. expenses'!G85</f>
        <v>0</v>
      </c>
      <c r="E288" s="1661" t="n">
        <f aca="false">'7.4.2 Selling &amp; Oper. expenses'!I54*'7.4.2 Selling &amp; Oper. expenses'!H85</f>
        <v>0</v>
      </c>
      <c r="F288" s="1661" t="n">
        <f aca="false">'7.4.2 Selling &amp; Oper. expenses'!I54*'7.4.2 Selling &amp; Oper. expenses'!I85</f>
        <v>0</v>
      </c>
      <c r="G288" s="1681" t="n">
        <f aca="false">'7.4.2 Selling &amp; Oper. expenses'!I54*'7.4.2 Selling &amp; Oper. expenses'!J85</f>
        <v>0</v>
      </c>
      <c r="H288" s="1660" t="n">
        <f aca="false">SUM(B288:G288)</f>
        <v>0</v>
      </c>
      <c r="I288" s="1681" t="n">
        <f aca="false">SUM(B288:G288)</f>
        <v>0</v>
      </c>
    </row>
    <row r="289" s="273" customFormat="true" ht="15" hidden="false" customHeight="false" outlineLevel="0" collapsed="false">
      <c r="A289" s="1060" t="s">
        <v>997</v>
      </c>
      <c r="B289" s="1713" t="n">
        <f aca="false">SUM(B271:B288)</f>
        <v>346968</v>
      </c>
      <c r="C289" s="1714" t="n">
        <f aca="false">SUM(C271:C288)</f>
        <v>0</v>
      </c>
      <c r="D289" s="1715" t="n">
        <f aca="false">SUM(D271:D288)</f>
        <v>0</v>
      </c>
      <c r="E289" s="1715" t="n">
        <f aca="false">SUM(E271:E288)</f>
        <v>0</v>
      </c>
      <c r="F289" s="1715" t="n">
        <f aca="false">SUM(F271:F288)</f>
        <v>0</v>
      </c>
      <c r="G289" s="1714" t="n">
        <f aca="false">SUM(G271:G288)</f>
        <v>0</v>
      </c>
      <c r="H289" s="1713" t="n">
        <f aca="false">SUM(H271:H288)</f>
        <v>346968</v>
      </c>
      <c r="I289" s="1716" t="n">
        <f aca="false">SUM(I271:I288)</f>
        <v>346968</v>
      </c>
    </row>
    <row r="290" customFormat="false" ht="15" hidden="false" customHeight="false" outlineLevel="0" collapsed="false">
      <c r="A290" s="1060"/>
      <c r="B290" s="1660"/>
      <c r="C290" s="1661"/>
      <c r="D290" s="1661"/>
      <c r="E290" s="1661"/>
      <c r="F290" s="1661"/>
      <c r="G290" s="1681"/>
      <c r="H290" s="1660"/>
      <c r="I290" s="1681"/>
    </row>
    <row r="291" s="273" customFormat="true" ht="15" hidden="false" customHeight="false" outlineLevel="0" collapsed="false">
      <c r="A291" s="1060" t="s">
        <v>998</v>
      </c>
      <c r="B291" s="1668" t="n">
        <f aca="false">'7.4.3 Inv. &amp; Depr.'!J126</f>
        <v>0</v>
      </c>
      <c r="C291" s="1669" t="n">
        <f aca="false">'7.4.3 Inv. &amp; Depr.'!J127</f>
        <v>0</v>
      </c>
      <c r="D291" s="1669" t="n">
        <f aca="false">'7.4.3 Inv. &amp; Depr.'!J128</f>
        <v>0</v>
      </c>
      <c r="E291" s="1669" t="n">
        <f aca="false">'7.4.3 Inv. &amp; Depr.'!J129</f>
        <v>0</v>
      </c>
      <c r="F291" s="1669" t="n">
        <v>0</v>
      </c>
      <c r="G291" s="1670" t="n">
        <f aca="false">'7.4.3 Inv. &amp; Depr.'!J121+'7.4.3 Inv. &amp; Depr.'!J130</f>
        <v>58425.8</v>
      </c>
      <c r="H291" s="1668" t="n">
        <f aca="false">SUM(B291:G291)</f>
        <v>58425.8</v>
      </c>
      <c r="I291" s="1670" t="n">
        <f aca="false">SUM(B291:G291)</f>
        <v>58425.8</v>
      </c>
    </row>
    <row r="292" customFormat="false" ht="15" hidden="false" customHeight="false" outlineLevel="0" collapsed="false">
      <c r="A292" s="1046"/>
      <c r="B292" s="1660"/>
      <c r="C292" s="1661"/>
      <c r="D292" s="1661"/>
      <c r="E292" s="1661"/>
      <c r="F292" s="1661"/>
      <c r="G292" s="1681"/>
      <c r="H292" s="1660"/>
      <c r="I292" s="1681"/>
    </row>
    <row r="293" customFormat="false" ht="15" hidden="false" customHeight="false" outlineLevel="0" collapsed="false">
      <c r="A293" s="1677"/>
      <c r="B293" s="1652"/>
      <c r="C293" s="1653"/>
      <c r="D293" s="1653"/>
      <c r="E293" s="1653"/>
      <c r="F293" s="1653"/>
      <c r="G293" s="1700"/>
      <c r="H293" s="1701"/>
      <c r="I293" s="1654"/>
    </row>
    <row r="294" customFormat="false" ht="15" hidden="false" customHeight="false" outlineLevel="0" collapsed="false">
      <c r="A294" s="1060" t="s">
        <v>999</v>
      </c>
      <c r="B294" s="1668" t="n">
        <f aca="false">B263-B266-B268-B289-B291</f>
        <v>-400906.732608</v>
      </c>
      <c r="C294" s="1669" t="n">
        <f aca="false">C263-C266-C268-C289-C291</f>
        <v>0</v>
      </c>
      <c r="D294" s="1669" t="n">
        <f aca="false">D263-D266-D268-D289-D291</f>
        <v>0</v>
      </c>
      <c r="E294" s="1669" t="e">
        <f aca="false">E263-E266-E268-E289-E291</f>
        <v>#VALUE!</v>
      </c>
      <c r="F294" s="1669" t="n">
        <f aca="false">F263-F266-F268-F289-F291</f>
        <v>0</v>
      </c>
      <c r="G294" s="1689" t="n">
        <f aca="false">G263-G266-G268-G289-G291</f>
        <v>-58425.8</v>
      </c>
      <c r="H294" s="1668" t="e">
        <f aca="false">H263-H266-H268-H289-H291</f>
        <v>#VALUE!</v>
      </c>
      <c r="I294" s="1671" t="e">
        <f aca="false">I263-I266-I268-I289-I291</f>
        <v>#VALUE!</v>
      </c>
    </row>
    <row r="295" customFormat="false" ht="15.75" hidden="false" customHeight="false" outlineLevel="0" collapsed="false">
      <c r="A295" s="1686"/>
      <c r="B295" s="1702"/>
      <c r="C295" s="1703"/>
      <c r="D295" s="1703"/>
      <c r="E295" s="1703"/>
      <c r="F295" s="1703"/>
      <c r="G295" s="1704"/>
      <c r="H295" s="1702"/>
      <c r="I295" s="1704"/>
    </row>
    <row r="296" customFormat="false" ht="15" hidden="false" customHeight="false" outlineLevel="0" collapsed="false">
      <c r="A296" s="1046"/>
      <c r="B296" s="1660"/>
      <c r="C296" s="1661"/>
      <c r="D296" s="1661"/>
      <c r="E296" s="1661"/>
      <c r="F296" s="1661"/>
      <c r="G296" s="1681"/>
      <c r="H296" s="1660"/>
      <c r="I296" s="1681"/>
    </row>
    <row r="297" customFormat="false" ht="15" hidden="false" customHeight="false" outlineLevel="0" collapsed="false">
      <c r="A297" s="1046" t="s">
        <v>1000</v>
      </c>
      <c r="B297" s="1660" t="n">
        <v>0</v>
      </c>
      <c r="C297" s="1661" t="n">
        <v>0</v>
      </c>
      <c r="D297" s="1661" t="n">
        <v>0</v>
      </c>
      <c r="E297" s="1661" t="n">
        <v>0</v>
      </c>
      <c r="F297" s="1661" t="n">
        <v>0</v>
      </c>
      <c r="G297" s="1681" t="e">
        <f aca="false">-'7.5.2 Fin. Income &amp; Expenses '!K70</f>
        <v>#VALUE!</v>
      </c>
      <c r="H297" s="1660" t="e">
        <f aca="false">SUM(B297:G297)</f>
        <v>#VALUE!</v>
      </c>
      <c r="I297" s="1681" t="e">
        <f aca="false">SUM(B297:G297)</f>
        <v>#VALUE!</v>
      </c>
    </row>
    <row r="298" customFormat="false" ht="15" hidden="false" customHeight="false" outlineLevel="0" collapsed="false">
      <c r="A298" s="1046" t="s">
        <v>1001</v>
      </c>
      <c r="B298" s="1660" t="n">
        <v>0</v>
      </c>
      <c r="C298" s="1661" t="n">
        <v>0</v>
      </c>
      <c r="D298" s="1661" t="n">
        <v>0</v>
      </c>
      <c r="E298" s="1661" t="n">
        <v>0</v>
      </c>
      <c r="F298" s="1661" t="n">
        <v>0</v>
      </c>
      <c r="G298" s="1681" t="n">
        <f aca="false">-'7.5.2 Fin. Income &amp; Expenses '!K71</f>
        <v>-21000</v>
      </c>
      <c r="H298" s="1660" t="n">
        <f aca="false">SUM(B298:G298)</f>
        <v>-21000</v>
      </c>
      <c r="I298" s="1681" t="n">
        <f aca="false">SUM(B298:G298)</f>
        <v>-21000</v>
      </c>
    </row>
    <row r="299" customFormat="false" ht="15" hidden="false" customHeight="false" outlineLevel="0" collapsed="false">
      <c r="A299" s="1046" t="s">
        <v>1002</v>
      </c>
      <c r="B299" s="1660" t="n">
        <v>0</v>
      </c>
      <c r="C299" s="1661" t="n">
        <v>0</v>
      </c>
      <c r="D299" s="1661" t="n">
        <v>0</v>
      </c>
      <c r="E299" s="1661" t="n">
        <v>0</v>
      </c>
      <c r="F299" s="1661" t="n">
        <v>0</v>
      </c>
      <c r="G299" s="1681" t="n">
        <f aca="false">-'7.5.2 Fin. Income &amp; Expenses '!K72</f>
        <v>-0</v>
      </c>
      <c r="H299" s="1660" t="n">
        <f aca="false">SUM(B299:G299)</f>
        <v>0</v>
      </c>
      <c r="I299" s="1681" t="n">
        <f aca="false">SUM(B299:G299)</f>
        <v>0</v>
      </c>
    </row>
    <row r="300" customFormat="false" ht="15" hidden="false" customHeight="false" outlineLevel="0" collapsed="false">
      <c r="A300" s="1046" t="s">
        <v>930</v>
      </c>
      <c r="B300" s="1663" t="n">
        <f aca="false">'7.5.1 Financial Requirements'!J38*'7.5.2 Fin. Income &amp; Expenses '!K52*'7.5.2 Fin. Income &amp; Expenses '!C73</f>
        <v>0</v>
      </c>
      <c r="C300" s="1665" t="e">
        <f aca="false">(('7.2.1 Turnover Vehicles'!I87+'7.2.1 Turnover Vehicles'!I88)/2)*'7.5.2 Fin. Income &amp; Expenses '!K86*'7.5.2 Fin. Income &amp; Expenses '!C104</f>
        <v>#VALUE!</v>
      </c>
      <c r="D300" s="1665" t="n">
        <f aca="false">'7.5.1 Financial Requirements'!J72*'7.5.2 Fin. Income &amp; Expenses '!K87*'7.5.2 Fin. Income &amp; Expenses '!C104</f>
        <v>0</v>
      </c>
      <c r="E300" s="1665" t="n">
        <v>0</v>
      </c>
      <c r="F300" s="1665" t="n">
        <v>0</v>
      </c>
      <c r="G300" s="1682" t="n">
        <v>0</v>
      </c>
      <c r="H300" s="1663" t="e">
        <f aca="false">SUM(B300:G300)</f>
        <v>#VALUE!</v>
      </c>
      <c r="I300" s="1667" t="e">
        <f aca="false">B300+C300+D300+F300+E300+G300</f>
        <v>#VALUE!</v>
      </c>
    </row>
    <row r="301" customFormat="false" ht="15" hidden="false" customHeight="false" outlineLevel="0" collapsed="false">
      <c r="A301" s="1687" t="s">
        <v>1003</v>
      </c>
      <c r="B301" s="1683" t="n">
        <f aca="false">SUM(B297:B300)</f>
        <v>0</v>
      </c>
      <c r="C301" s="1684" t="e">
        <f aca="false">SUM(C297:C300)</f>
        <v>#VALUE!</v>
      </c>
      <c r="D301" s="1684" t="n">
        <f aca="false">SUM(D297:D300)</f>
        <v>0</v>
      </c>
      <c r="E301" s="1684" t="n">
        <f aca="false">SUM(E297:E300)</f>
        <v>0</v>
      </c>
      <c r="F301" s="1684" t="n">
        <f aca="false">SUM(F297:F300)</f>
        <v>0</v>
      </c>
      <c r="G301" s="1685" t="e">
        <f aca="false">SUM(G297:G300)</f>
        <v>#VALUE!</v>
      </c>
      <c r="H301" s="1701" t="e">
        <f aca="false">SUM(H297:H300)</f>
        <v>#VALUE!</v>
      </c>
      <c r="I301" s="1662" t="e">
        <f aca="false">SUM(I297:I300)</f>
        <v>#VALUE!</v>
      </c>
    </row>
    <row r="302" customFormat="false" ht="15" hidden="false" customHeight="false" outlineLevel="0" collapsed="false">
      <c r="A302" s="1060"/>
      <c r="B302" s="1660"/>
      <c r="C302" s="1717"/>
      <c r="D302" s="1717"/>
      <c r="E302" s="1717"/>
      <c r="F302" s="1717"/>
      <c r="G302" s="1662"/>
      <c r="H302" s="1660"/>
      <c r="I302" s="1662"/>
    </row>
    <row r="303" customFormat="false" ht="15" hidden="false" customHeight="false" outlineLevel="0" collapsed="false">
      <c r="A303" s="1060" t="s">
        <v>1007</v>
      </c>
      <c r="B303" s="1668" t="n">
        <v>0</v>
      </c>
      <c r="C303" s="1669" t="n">
        <v>0</v>
      </c>
      <c r="D303" s="1669" t="n">
        <v>0</v>
      </c>
      <c r="E303" s="1669" t="n">
        <v>0</v>
      </c>
      <c r="F303" s="1669" t="n">
        <v>0</v>
      </c>
      <c r="G303" s="1670" t="e">
        <f aca="false">'7.5.2 Fin. Income &amp; Expenses '!K86</f>
        <v>#VALUE!</v>
      </c>
      <c r="H303" s="1668" t="e">
        <f aca="false">SUM(B303:G303)</f>
        <v>#VALUE!</v>
      </c>
      <c r="I303" s="1689" t="e">
        <f aca="false">SUM(B303:G303)</f>
        <v>#VALUE!</v>
      </c>
    </row>
    <row r="304" customFormat="false" ht="15" hidden="false" customHeight="false" outlineLevel="0" collapsed="false">
      <c r="A304" s="1672"/>
      <c r="B304" s="1680"/>
      <c r="C304" s="1709"/>
      <c r="D304" s="1709"/>
      <c r="E304" s="1709"/>
      <c r="F304" s="1709"/>
      <c r="G304" s="1675"/>
      <c r="H304" s="1673"/>
      <c r="I304" s="1679"/>
    </row>
    <row r="305" customFormat="false" ht="15" hidden="false" customHeight="false" outlineLevel="0" collapsed="false">
      <c r="A305" s="1046"/>
      <c r="B305" s="1656"/>
      <c r="C305" s="1657"/>
      <c r="D305" s="1657"/>
      <c r="E305" s="1657"/>
      <c r="F305" s="1657"/>
      <c r="G305" s="1681"/>
      <c r="H305" s="1660"/>
      <c r="I305" s="1658"/>
    </row>
    <row r="306" customFormat="false" ht="15" hidden="false" customHeight="false" outlineLevel="0" collapsed="false">
      <c r="A306" s="1060" t="s">
        <v>999</v>
      </c>
      <c r="B306" s="1668" t="n">
        <f aca="false">B294+B303+B301</f>
        <v>-400906.732608</v>
      </c>
      <c r="C306" s="1669" t="e">
        <f aca="false">C294+C303+C301</f>
        <v>#VALUE!</v>
      </c>
      <c r="D306" s="1669" t="n">
        <f aca="false">D294+D303+D301</f>
        <v>0</v>
      </c>
      <c r="E306" s="1669" t="e">
        <f aca="false">E294+E303+E301</f>
        <v>#VALUE!</v>
      </c>
      <c r="F306" s="1669" t="n">
        <f aca="false">F294+F303+F301</f>
        <v>0</v>
      </c>
      <c r="G306" s="1670" t="e">
        <f aca="false">G294+G303+G301</f>
        <v>#VALUE!</v>
      </c>
      <c r="H306" s="1668" t="e">
        <f aca="false">H294+H303+H301</f>
        <v>#VALUE!</v>
      </c>
      <c r="I306" s="1670" t="e">
        <f aca="false">I294+I303+I301</f>
        <v>#VALUE!</v>
      </c>
    </row>
    <row r="307" customFormat="false" ht="15.75" hidden="false" customHeight="false" outlineLevel="0" collapsed="false">
      <c r="A307" s="1686"/>
      <c r="B307" s="1702"/>
      <c r="C307" s="1703"/>
      <c r="D307" s="1703"/>
      <c r="E307" s="1703"/>
      <c r="F307" s="1703"/>
      <c r="G307" s="1704"/>
      <c r="H307" s="1702"/>
      <c r="I307" s="1704"/>
    </row>
    <row r="308" customFormat="false" ht="15" hidden="false" customHeight="false" outlineLevel="0" collapsed="false">
      <c r="A308" s="107"/>
      <c r="B308" s="1569"/>
      <c r="C308" s="1569"/>
      <c r="D308" s="1569"/>
      <c r="E308" s="1569"/>
      <c r="F308" s="1569"/>
      <c r="G308" s="1569"/>
      <c r="H308" s="1569"/>
      <c r="I308" s="1569"/>
    </row>
    <row r="309" customFormat="false" ht="28.5" hidden="false" customHeight="false" outlineLevel="0" collapsed="false">
      <c r="A309" s="113" t="s">
        <v>525</v>
      </c>
      <c r="B309" s="114"/>
      <c r="C309" s="114"/>
      <c r="D309" s="114"/>
      <c r="E309" s="114"/>
      <c r="F309" s="114"/>
      <c r="G309" s="114"/>
      <c r="H309" s="114"/>
      <c r="I309" s="385" t="str">
        <f aca="false">I1</f>
        <v>7.6.1 Activity Contribution</v>
      </c>
    </row>
    <row r="310" customFormat="false" ht="15" hidden="false" customHeight="false" outlineLevel="0" collapsed="false">
      <c r="A310" s="1046"/>
      <c r="B310" s="682"/>
      <c r="C310" s="1637"/>
      <c r="D310" s="682"/>
      <c r="E310" s="682"/>
      <c r="F310" s="682"/>
      <c r="G310" s="682"/>
      <c r="H310" s="682"/>
      <c r="I310" s="1692"/>
    </row>
    <row r="311" customFormat="false" ht="18" hidden="false" customHeight="false" outlineLevel="0" collapsed="false">
      <c r="A311" s="1693" t="s">
        <v>34</v>
      </c>
      <c r="B311" s="1694" t="str">
        <f aca="false">'Reference sheet'!$C$12</f>
        <v>TEST</v>
      </c>
      <c r="D311" s="853" t="s">
        <v>46</v>
      </c>
      <c r="E311" s="853" t="s">
        <v>49</v>
      </c>
      <c r="F311" s="852" t="n">
        <f aca="false">'Reference sheet'!$C$15</f>
        <v>1</v>
      </c>
      <c r="G311" s="368" t="str">
        <f aca="false">'Reference sheet'!C$17</f>
        <v>July</v>
      </c>
      <c r="H311" s="854" t="n">
        <f aca="false">'Reference sheet'!D$17</f>
        <v>2018</v>
      </c>
      <c r="I311" s="1695" t="str">
        <f aca="false">'Reference sheet'!$C$21</f>
        <v>EUR</v>
      </c>
    </row>
    <row r="312" customFormat="false" ht="15" hidden="false" customHeight="false" outlineLevel="0" collapsed="false">
      <c r="A312" s="1686"/>
      <c r="B312" s="1640"/>
      <c r="C312" s="1569"/>
      <c r="D312" s="1569"/>
      <c r="E312" s="1569"/>
      <c r="F312" s="1569"/>
      <c r="G312" s="1569"/>
      <c r="H312" s="1569"/>
      <c r="I312" s="1696"/>
    </row>
    <row r="313" customFormat="false" ht="21.75" hidden="false" customHeight="false" outlineLevel="0" collapsed="false">
      <c r="A313" s="1697" t="s">
        <v>973</v>
      </c>
      <c r="B313" s="1643" t="n">
        <f aca="false">'7.5.2 Fin. Income &amp; Expenses '!M6</f>
        <v>2023</v>
      </c>
      <c r="C313" s="1644"/>
      <c r="D313" s="1643"/>
      <c r="E313" s="1645"/>
      <c r="F313" s="1645"/>
      <c r="G313" s="1645"/>
      <c r="H313" s="1645"/>
      <c r="I313" s="1698"/>
    </row>
    <row r="314" customFormat="false" ht="18.75" hidden="false" customHeight="false" outlineLevel="0" collapsed="false">
      <c r="A314" s="1699"/>
      <c r="B314" s="1648" t="s">
        <v>974</v>
      </c>
      <c r="C314" s="1649" t="s">
        <v>684</v>
      </c>
      <c r="D314" s="1649" t="s">
        <v>42</v>
      </c>
      <c r="E314" s="1649" t="str">
        <f aca="false">E6</f>
        <v>Parts</v>
      </c>
      <c r="F314" s="1649" t="str">
        <f aca="false">F6</f>
        <v>Service</v>
      </c>
      <c r="G314" s="1650" t="s">
        <v>975</v>
      </c>
      <c r="H314" s="1648" t="s">
        <v>976</v>
      </c>
      <c r="I314" s="1651" t="s">
        <v>977</v>
      </c>
    </row>
    <row r="315" customFormat="false" ht="15" hidden="false" customHeight="false" outlineLevel="0" collapsed="false">
      <c r="A315" s="1677"/>
      <c r="B315" s="1652"/>
      <c r="C315" s="1653"/>
      <c r="D315" s="1653"/>
      <c r="E315" s="1653"/>
      <c r="F315" s="1653"/>
      <c r="G315" s="1654"/>
      <c r="H315" s="1652"/>
      <c r="I315" s="1655"/>
    </row>
    <row r="316" customFormat="false" ht="15" hidden="false" customHeight="false" outlineLevel="0" collapsed="false">
      <c r="A316" s="1060" t="s">
        <v>604</v>
      </c>
      <c r="B316" s="1656"/>
      <c r="C316" s="1657"/>
      <c r="D316" s="1657"/>
      <c r="E316" s="1657"/>
      <c r="F316" s="1657"/>
      <c r="G316" s="1658"/>
      <c r="H316" s="1656"/>
      <c r="I316" s="1659"/>
    </row>
    <row r="317" customFormat="false" ht="15" hidden="false" customHeight="false" outlineLevel="0" collapsed="false">
      <c r="A317" s="1046" t="s">
        <v>978</v>
      </c>
      <c r="B317" s="1660"/>
      <c r="C317" s="1657"/>
      <c r="D317" s="1657"/>
      <c r="E317" s="1657"/>
      <c r="F317" s="1657"/>
      <c r="G317" s="1658"/>
      <c r="H317" s="1656"/>
      <c r="I317" s="1659"/>
    </row>
    <row r="318" customFormat="false" ht="15" hidden="false" customHeight="false" outlineLevel="0" collapsed="false">
      <c r="A318" s="1046" t="s">
        <v>979</v>
      </c>
      <c r="B318" s="1660" t="n">
        <f aca="false">'7.2.1 Turnover Vehicles'!K36</f>
        <v>0</v>
      </c>
      <c r="C318" s="1657" t="n">
        <v>0</v>
      </c>
      <c r="D318" s="1657" t="n">
        <v>0</v>
      </c>
      <c r="E318" s="1661" t="e">
        <f aca="false">'7.2.2 Turnover Parts'!K17-'7.2.2 Turnover Parts'!K26</f>
        <v>#VALUE!</v>
      </c>
      <c r="F318" s="1661" t="n">
        <f aca="false">'7.2.3 Turnover Service &amp; Body'!K38</f>
        <v>0</v>
      </c>
      <c r="G318" s="1658" t="n">
        <v>0</v>
      </c>
      <c r="H318" s="1660" t="e">
        <f aca="false">SUM(B318:F318)</f>
        <v>#VALUE!</v>
      </c>
      <c r="I318" s="1662" t="e">
        <f aca="false">SUM(B318:F318)</f>
        <v>#VALUE!</v>
      </c>
    </row>
    <row r="319" customFormat="false" ht="15" hidden="false" customHeight="false" outlineLevel="0" collapsed="false">
      <c r="A319" s="1046" t="s">
        <v>980</v>
      </c>
      <c r="B319" s="1656" t="n">
        <v>0</v>
      </c>
      <c r="C319" s="1661" t="n">
        <f aca="false">'7.2.1 Turnover Vehicles'!K48</f>
        <v>0</v>
      </c>
      <c r="D319" s="1661" t="n">
        <f aca="false">'7.2.1 Turnover Vehicles'!K72</f>
        <v>0</v>
      </c>
      <c r="E319" s="1661" t="n">
        <f aca="false">'7.2.2 Turnover Parts'!K18-'7.2.2 Turnover Parts'!K27</f>
        <v>0</v>
      </c>
      <c r="F319" s="1661" t="n">
        <f aca="false">'7.2.3 Turnover Service &amp; Body'!K41</f>
        <v>0</v>
      </c>
      <c r="G319" s="1658" t="n">
        <v>0</v>
      </c>
      <c r="H319" s="1660" t="n">
        <f aca="false">SUM(B319:F319)</f>
        <v>0</v>
      </c>
      <c r="I319" s="1662" t="n">
        <f aca="false">SUM(B319:F319)</f>
        <v>0</v>
      </c>
    </row>
    <row r="320" customFormat="false" ht="15" hidden="false" customHeight="false" outlineLevel="0" collapsed="false">
      <c r="A320" s="1046" t="s">
        <v>981</v>
      </c>
      <c r="B320" s="1656" t="n">
        <v>0</v>
      </c>
      <c r="C320" s="1661" t="n">
        <v>0</v>
      </c>
      <c r="D320" s="1661" t="n">
        <v>0</v>
      </c>
      <c r="E320" s="1661" t="n">
        <f aca="false">'7.2.2 Turnover Parts'!K19</f>
        <v>0</v>
      </c>
      <c r="F320" s="1661" t="n">
        <v>0</v>
      </c>
      <c r="G320" s="1658" t="n">
        <v>0</v>
      </c>
      <c r="H320" s="1660" t="n">
        <f aca="false">SUM(B320:F320)</f>
        <v>0</v>
      </c>
      <c r="I320" s="1662" t="n">
        <f aca="false">SUM(B320:F320)</f>
        <v>0</v>
      </c>
    </row>
    <row r="321" s="312" customFormat="true" ht="21" hidden="false" customHeight="false" outlineLevel="0" collapsed="false">
      <c r="A321" s="1046" t="s">
        <v>982</v>
      </c>
      <c r="B321" s="1660" t="n">
        <v>0</v>
      </c>
      <c r="C321" s="1657" t="n">
        <v>0</v>
      </c>
      <c r="D321" s="1657" t="n">
        <v>0</v>
      </c>
      <c r="E321" s="1661" t="n">
        <f aca="false">'7.2.2 Turnover Parts'!K20</f>
        <v>0</v>
      </c>
      <c r="F321" s="1661" t="n">
        <v>0</v>
      </c>
      <c r="G321" s="1658" t="n">
        <v>0</v>
      </c>
      <c r="H321" s="1660" t="n">
        <f aca="false">SUM(B321:F321)</f>
        <v>0</v>
      </c>
      <c r="I321" s="1662" t="n">
        <f aca="false">SUM(B321:F321)</f>
        <v>0</v>
      </c>
    </row>
    <row r="322" customFormat="false" ht="15" hidden="false" customHeight="false" outlineLevel="0" collapsed="false">
      <c r="A322" s="1046" t="s">
        <v>708</v>
      </c>
      <c r="B322" s="1660" t="n">
        <v>0</v>
      </c>
      <c r="C322" s="1657" t="n">
        <v>0</v>
      </c>
      <c r="D322" s="1657" t="n">
        <v>0</v>
      </c>
      <c r="E322" s="1661" t="n">
        <v>0</v>
      </c>
      <c r="F322" s="1661" t="n">
        <f aca="false">'7.2.3 Turnover Service &amp; Body'!K52</f>
        <v>16000</v>
      </c>
      <c r="G322" s="1658" t="n">
        <v>0</v>
      </c>
      <c r="H322" s="1660" t="n">
        <f aca="false">SUM(B322:F322)</f>
        <v>16000</v>
      </c>
      <c r="I322" s="1662" t="n">
        <f aca="false">SUM(B322:F322)</f>
        <v>16000</v>
      </c>
    </row>
    <row r="323" customFormat="false" ht="15" hidden="false" customHeight="false" outlineLevel="0" collapsed="false">
      <c r="A323" s="1046" t="s">
        <v>983</v>
      </c>
      <c r="B323" s="1663" t="n">
        <v>0</v>
      </c>
      <c r="C323" s="1664" t="n">
        <v>0</v>
      </c>
      <c r="D323" s="1664" t="n">
        <v>0</v>
      </c>
      <c r="E323" s="1665" t="n">
        <f aca="false">'7.2.2 Turnover Parts'!K28</f>
        <v>0</v>
      </c>
      <c r="F323" s="1665" t="n">
        <f aca="false">'7.2.3 Turnover Service &amp; Body'!K39+'7.2.3 Turnover Service &amp; Body'!K40</f>
        <v>0</v>
      </c>
      <c r="G323" s="1666" t="n">
        <v>0</v>
      </c>
      <c r="H323" s="1663" t="n">
        <f aca="false">SUM(B323:F323)</f>
        <v>0</v>
      </c>
      <c r="I323" s="1682" t="n">
        <v>0</v>
      </c>
    </row>
    <row r="324" customFormat="false" ht="15" hidden="false" customHeight="false" outlineLevel="0" collapsed="false">
      <c r="A324" s="1060" t="s">
        <v>984</v>
      </c>
      <c r="B324" s="1668" t="n">
        <f aca="false">SUM(B318:B323)</f>
        <v>0</v>
      </c>
      <c r="C324" s="1669" t="n">
        <f aca="false">SUM(C319:C323)</f>
        <v>0</v>
      </c>
      <c r="D324" s="1669" t="n">
        <f aca="false">SUM(D318:D323)</f>
        <v>0</v>
      </c>
      <c r="E324" s="1669" t="e">
        <f aca="false">SUM(E318:E323)</f>
        <v>#VALUE!</v>
      </c>
      <c r="F324" s="1669" t="n">
        <f aca="false">SUM(F318:F323)</f>
        <v>16000</v>
      </c>
      <c r="G324" s="1670" t="n">
        <v>0</v>
      </c>
      <c r="H324" s="1668" t="e">
        <f aca="false">SUM(H318:H323)</f>
        <v>#VALUE!</v>
      </c>
      <c r="I324" s="1671" t="e">
        <f aca="false">SUM(I318:I323)</f>
        <v>#VALUE!</v>
      </c>
    </row>
    <row r="325" customFormat="false" ht="15" hidden="false" customHeight="false" outlineLevel="0" collapsed="false">
      <c r="A325" s="1672"/>
      <c r="B325" s="1673"/>
      <c r="C325" s="1674"/>
      <c r="D325" s="1674"/>
      <c r="E325" s="1674"/>
      <c r="F325" s="1674"/>
      <c r="G325" s="1675"/>
      <c r="H325" s="1673"/>
      <c r="I325" s="1676"/>
    </row>
    <row r="326" customFormat="false" ht="15" hidden="false" customHeight="false" outlineLevel="0" collapsed="false">
      <c r="A326" s="1677"/>
      <c r="B326" s="1652"/>
      <c r="C326" s="1653"/>
      <c r="D326" s="1653"/>
      <c r="E326" s="1653"/>
      <c r="F326" s="1653"/>
      <c r="G326" s="1654"/>
      <c r="H326" s="1652"/>
      <c r="I326" s="1655"/>
    </row>
    <row r="327" customFormat="false" ht="15" hidden="false" customHeight="false" outlineLevel="0" collapsed="false">
      <c r="A327" s="1060" t="s">
        <v>985</v>
      </c>
      <c r="B327" s="1656"/>
      <c r="C327" s="1657"/>
      <c r="D327" s="1657"/>
      <c r="E327" s="1657"/>
      <c r="F327" s="1657"/>
      <c r="G327" s="1658"/>
      <c r="H327" s="1656"/>
      <c r="I327" s="1659"/>
    </row>
    <row r="328" customFormat="false" ht="15" hidden="false" customHeight="false" outlineLevel="0" collapsed="false">
      <c r="A328" s="1046" t="s">
        <v>978</v>
      </c>
      <c r="B328" s="1656"/>
      <c r="C328" s="1657"/>
      <c r="D328" s="1657"/>
      <c r="E328" s="1657"/>
      <c r="F328" s="1657"/>
      <c r="G328" s="1658"/>
      <c r="H328" s="1656"/>
      <c r="I328" s="1659"/>
    </row>
    <row r="329" customFormat="false" ht="15" hidden="false" customHeight="false" outlineLevel="0" collapsed="false">
      <c r="A329" s="1046" t="s">
        <v>979</v>
      </c>
      <c r="B329" s="1660" t="n">
        <f aca="false">'7.3 Cost of sales'!K58+'7.3 Cost of sales'!K59</f>
        <v>0</v>
      </c>
      <c r="C329" s="1657" t="n">
        <v>0</v>
      </c>
      <c r="D329" s="1657" t="n">
        <v>0</v>
      </c>
      <c r="E329" s="1661" t="e">
        <f aca="false">'7.3 Cost of sales'!K76+'7.3 Cost of sales'!K78+'7.3 Cost of sales'!K80+'7.3 Cost of sales'!K81</f>
        <v>#VALUE!</v>
      </c>
      <c r="F329" s="1657" t="n">
        <v>0</v>
      </c>
      <c r="G329" s="1658" t="n">
        <v>0</v>
      </c>
      <c r="H329" s="1660" t="e">
        <f aca="false">SUM(B329:F329)</f>
        <v>#VALUE!</v>
      </c>
      <c r="I329" s="1662" t="e">
        <f aca="false">SUM(B329:F329)</f>
        <v>#VALUE!</v>
      </c>
    </row>
    <row r="330" customFormat="false" ht="15" hidden="false" customHeight="false" outlineLevel="0" collapsed="false">
      <c r="A330" s="1046" t="s">
        <v>980</v>
      </c>
      <c r="B330" s="1656" t="n">
        <v>0</v>
      </c>
      <c r="C330" s="1661" t="n">
        <f aca="false">'7.3 Cost of sales'!K60</f>
        <v>0</v>
      </c>
      <c r="D330" s="1661" t="n">
        <f aca="false">'7.3 Cost of sales'!K61</f>
        <v>0</v>
      </c>
      <c r="E330" s="1661" t="n">
        <f aca="false">'7.3 Cost of sales'!K77+'7.3 Cost of sales'!K79+'7.3 Cost of sales'!K82</f>
        <v>0</v>
      </c>
      <c r="F330" s="1657" t="n">
        <v>0</v>
      </c>
      <c r="G330" s="1658" t="n">
        <v>0</v>
      </c>
      <c r="H330" s="1660" t="n">
        <f aca="false">SUM(B330:F330)</f>
        <v>0</v>
      </c>
      <c r="I330" s="1662" t="n">
        <f aca="false">SUM(B330:F330)</f>
        <v>0</v>
      </c>
    </row>
    <row r="331" customFormat="false" ht="15" hidden="false" customHeight="false" outlineLevel="0" collapsed="false">
      <c r="A331" s="1046" t="s">
        <v>981</v>
      </c>
      <c r="B331" s="1656" t="n">
        <v>0</v>
      </c>
      <c r="C331" s="1661" t="n">
        <v>0</v>
      </c>
      <c r="D331" s="1661" t="n">
        <v>0</v>
      </c>
      <c r="E331" s="1661" t="n">
        <f aca="false">'7.3 Cost of sales'!K83</f>
        <v>0</v>
      </c>
      <c r="F331" s="1657" t="n">
        <v>0</v>
      </c>
      <c r="G331" s="1658" t="n">
        <v>0</v>
      </c>
      <c r="H331" s="1660" t="n">
        <f aca="false">SUM(B331:F331)</f>
        <v>0</v>
      </c>
      <c r="I331" s="1662" t="n">
        <f aca="false">SUM(B331:F331)</f>
        <v>0</v>
      </c>
    </row>
    <row r="332" customFormat="false" ht="15" hidden="false" customHeight="false" outlineLevel="0" collapsed="false">
      <c r="A332" s="1046" t="s">
        <v>982</v>
      </c>
      <c r="B332" s="1656" t="n">
        <v>0</v>
      </c>
      <c r="C332" s="1657" t="n">
        <v>0</v>
      </c>
      <c r="D332" s="1657" t="n">
        <v>0</v>
      </c>
      <c r="E332" s="1661" t="n">
        <f aca="false">'7.3 Cost of sales'!K84</f>
        <v>0</v>
      </c>
      <c r="F332" s="1657" t="n">
        <v>0</v>
      </c>
      <c r="G332" s="1658" t="n">
        <v>0</v>
      </c>
      <c r="H332" s="1660" t="n">
        <f aca="false">SUM(B332:F332)</f>
        <v>0</v>
      </c>
      <c r="I332" s="1662" t="n">
        <f aca="false">SUM(B332:F332)</f>
        <v>0</v>
      </c>
    </row>
    <row r="333" customFormat="false" ht="15" hidden="false" customHeight="false" outlineLevel="0" collapsed="false">
      <c r="A333" s="1046" t="s">
        <v>986</v>
      </c>
      <c r="B333" s="1660" t="n">
        <v>0</v>
      </c>
      <c r="C333" s="1661" t="n">
        <v>0</v>
      </c>
      <c r="D333" s="1661" t="n">
        <v>0</v>
      </c>
      <c r="E333" s="1661" t="n">
        <v>0</v>
      </c>
      <c r="F333" s="1661" t="n">
        <f aca="false">'7.4.1 Salaries &amp; Wages'!K105+'7.4.1 Salaries &amp; Wages'!K114</f>
        <v>0</v>
      </c>
      <c r="G333" s="1658" t="n">
        <v>0</v>
      </c>
      <c r="H333" s="1660" t="n">
        <f aca="false">SUM(B333:F333)</f>
        <v>0</v>
      </c>
      <c r="I333" s="1662" t="n">
        <f aca="false">SUM(B333:F333)</f>
        <v>0</v>
      </c>
    </row>
    <row r="334" customFormat="false" ht="15" hidden="false" customHeight="false" outlineLevel="0" collapsed="false">
      <c r="A334" s="1046" t="s">
        <v>987</v>
      </c>
      <c r="B334" s="1660" t="n">
        <f aca="false">-'7.3 Cost of sales'!K67</f>
        <v>-0</v>
      </c>
      <c r="C334" s="1657" t="n">
        <v>0</v>
      </c>
      <c r="D334" s="1661" t="n">
        <f aca="false">-'7.3 Cost of sales'!K68</f>
        <v>-0</v>
      </c>
      <c r="E334" s="1661" t="e">
        <f aca="false">-'7.3 Cost of sales'!K93</f>
        <v>#VALUE!</v>
      </c>
      <c r="F334" s="1657" t="n">
        <v>0</v>
      </c>
      <c r="G334" s="1658" t="n">
        <v>0</v>
      </c>
      <c r="H334" s="1660" t="e">
        <f aca="false">SUM(B334:F334)</f>
        <v>#VALUE!</v>
      </c>
      <c r="I334" s="1662" t="e">
        <f aca="false">SUM(B334:F334)</f>
        <v>#VALUE!</v>
      </c>
    </row>
    <row r="335" customFormat="false" ht="15" hidden="false" customHeight="false" outlineLevel="0" collapsed="false">
      <c r="A335" s="1046" t="s">
        <v>708</v>
      </c>
      <c r="B335" s="1660" t="n">
        <v>0</v>
      </c>
      <c r="C335" s="1657" t="n">
        <v>0</v>
      </c>
      <c r="D335" s="1661" t="n">
        <v>0</v>
      </c>
      <c r="E335" s="1661" t="n">
        <v>0</v>
      </c>
      <c r="F335" s="1661" t="n">
        <f aca="false">'7.3 Cost of sales'!K102</f>
        <v>16000</v>
      </c>
      <c r="G335" s="1658" t="n">
        <v>0</v>
      </c>
      <c r="H335" s="1660" t="n">
        <f aca="false">SUM(B335:F335)</f>
        <v>16000</v>
      </c>
      <c r="I335" s="1662" t="n">
        <f aca="false">SUM(B335:F335)</f>
        <v>16000</v>
      </c>
    </row>
    <row r="336" customFormat="false" ht="15" hidden="false" customHeight="false" outlineLevel="0" collapsed="false">
      <c r="A336" s="1046" t="s">
        <v>983</v>
      </c>
      <c r="B336" s="1663" t="n">
        <f aca="false">'7.2.3 Turnover Service &amp; Body'!K39+'7.2.2 Turnover Parts'!K26</f>
        <v>0</v>
      </c>
      <c r="C336" s="1665" t="n">
        <f aca="false">'7.2.3 Turnover Service &amp; Body'!K40+'7.2.2 Turnover Parts'!K27</f>
        <v>0</v>
      </c>
      <c r="D336" s="1664" t="n">
        <v>0</v>
      </c>
      <c r="E336" s="1664" t="n">
        <v>0</v>
      </c>
      <c r="F336" s="1664" t="n">
        <v>0</v>
      </c>
      <c r="G336" s="1666" t="n">
        <v>0</v>
      </c>
      <c r="H336" s="1663" t="n">
        <f aca="false">SUM(B336:F336)</f>
        <v>0</v>
      </c>
      <c r="I336" s="1667" t="n">
        <v>0</v>
      </c>
    </row>
    <row r="337" customFormat="false" ht="15" hidden="false" customHeight="false" outlineLevel="0" collapsed="false">
      <c r="A337" s="1060" t="s">
        <v>988</v>
      </c>
      <c r="B337" s="1668" t="n">
        <f aca="false">SUM(B329:B336)</f>
        <v>0</v>
      </c>
      <c r="C337" s="1669" t="n">
        <f aca="false">SUM(C329:C336)</f>
        <v>0</v>
      </c>
      <c r="D337" s="1669" t="n">
        <f aca="false">SUM(D329:D336)</f>
        <v>0</v>
      </c>
      <c r="E337" s="1669" t="e">
        <f aca="false">SUM(E329:E336)</f>
        <v>#VALUE!</v>
      </c>
      <c r="F337" s="1669" t="n">
        <f aca="false">SUM(F329:F336)</f>
        <v>16000</v>
      </c>
      <c r="G337" s="1678" t="n">
        <v>0</v>
      </c>
      <c r="H337" s="1668" t="e">
        <f aca="false">SUM(H329:H336)</f>
        <v>#VALUE!</v>
      </c>
      <c r="I337" s="1671" t="e">
        <f aca="false">SUM(I329:I336)</f>
        <v>#VALUE!</v>
      </c>
    </row>
    <row r="338" customFormat="false" ht="15" hidden="false" customHeight="false" outlineLevel="0" collapsed="false">
      <c r="A338" s="1672"/>
      <c r="B338" s="1673"/>
      <c r="C338" s="1674"/>
      <c r="D338" s="1674"/>
      <c r="E338" s="1674"/>
      <c r="F338" s="1674"/>
      <c r="G338" s="1679"/>
      <c r="H338" s="1680"/>
      <c r="I338" s="1676"/>
    </row>
    <row r="339" customFormat="false" ht="15" hidden="false" customHeight="false" outlineLevel="0" collapsed="false">
      <c r="A339" s="1677"/>
      <c r="B339" s="1652"/>
      <c r="C339" s="1653"/>
      <c r="D339" s="1653"/>
      <c r="E339" s="1653"/>
      <c r="F339" s="1653"/>
      <c r="G339" s="1654"/>
      <c r="H339" s="1652"/>
      <c r="I339" s="1655"/>
    </row>
    <row r="340" customFormat="false" ht="15" hidden="false" customHeight="false" outlineLevel="0" collapsed="false">
      <c r="A340" s="1060" t="s">
        <v>989</v>
      </c>
      <c r="B340" s="1668" t="n">
        <f aca="false">B324-B337</f>
        <v>0</v>
      </c>
      <c r="C340" s="1669" t="n">
        <f aca="false">C324-C337</f>
        <v>0</v>
      </c>
      <c r="D340" s="1669" t="n">
        <f aca="false">D324-D337</f>
        <v>0</v>
      </c>
      <c r="E340" s="1669" t="e">
        <f aca="false">E324-E337</f>
        <v>#VALUE!</v>
      </c>
      <c r="F340" s="1669" t="n">
        <f aca="false">F324-F337</f>
        <v>0</v>
      </c>
      <c r="G340" s="1670" t="n">
        <v>0</v>
      </c>
      <c r="H340" s="1668" t="e">
        <f aca="false">H324-H337</f>
        <v>#VALUE!</v>
      </c>
      <c r="I340" s="1671" t="e">
        <f aca="false">I324-I337</f>
        <v>#VALUE!</v>
      </c>
    </row>
    <row r="341" customFormat="false" ht="15" hidden="false" customHeight="false" outlineLevel="0" collapsed="false">
      <c r="A341" s="1672"/>
      <c r="B341" s="1673"/>
      <c r="C341" s="1674"/>
      <c r="D341" s="1674"/>
      <c r="E341" s="1674"/>
      <c r="F341" s="1674"/>
      <c r="G341" s="1675"/>
      <c r="H341" s="1673"/>
      <c r="I341" s="1676"/>
    </row>
    <row r="342" customFormat="false" ht="15" hidden="false" customHeight="false" outlineLevel="0" collapsed="false">
      <c r="A342" s="1677"/>
      <c r="B342" s="1652"/>
      <c r="C342" s="1653"/>
      <c r="D342" s="1653"/>
      <c r="E342" s="1653"/>
      <c r="F342" s="1653"/>
      <c r="G342" s="1654"/>
      <c r="H342" s="1652"/>
      <c r="I342" s="1655"/>
    </row>
    <row r="343" s="273" customFormat="true" ht="15" hidden="false" customHeight="false" outlineLevel="0" collapsed="false">
      <c r="A343" s="1060" t="s">
        <v>990</v>
      </c>
      <c r="B343" s="1668" t="n">
        <f aca="false">'7.2.1 Turnover Vehicles'!$K$84*'7.4.1 Salaries &amp; Wages'!$K$77*(1+'7.4.1 Salaries &amp; Wages'!$B$78)+('7.4.2 Selling &amp; Oper. expenses'!K9*'7.4.2 Selling &amp; Oper. expenses'!E63)</f>
        <v>0</v>
      </c>
      <c r="C343" s="1669" t="n">
        <f aca="false">'7.2.1 Turnover Vehicles'!$K$85*'7.4.1 Salaries &amp; Wages'!$K$77*(1+'7.4.1 Salaries &amp; Wages'!$B$78)+('7.4.2 Selling &amp; Oper. expenses'!K9*'7.4.2 Selling &amp; Oper. expenses'!F63)</f>
        <v>0</v>
      </c>
      <c r="D343" s="1669" t="n">
        <f aca="false">'7.2.1 Turnover Vehicles'!$K$86*'7.4.1 Salaries &amp; Wages'!$K$77*(1+'7.4.1 Salaries &amp; Wages'!$B$78)+('7.4.2 Selling &amp; Oper. expenses'!K9*'7.4.2 Selling &amp; Oper. expenses'!G63)</f>
        <v>0</v>
      </c>
      <c r="E343" s="1669" t="n">
        <f aca="false">'7.4.2 Selling &amp; Oper. expenses'!K9*'7.4.2 Selling &amp; Oper. expenses'!I63</f>
        <v>0</v>
      </c>
      <c r="F343" s="1669" t="n">
        <f aca="false">'7.4.2 Selling &amp; Oper. expenses'!K9*'7.4.2 Selling &amp; Oper. expenses'!H63</f>
        <v>0</v>
      </c>
      <c r="G343" s="1670" t="n">
        <f aca="false">'7.4.2 Selling &amp; Oper. expenses'!K9*'7.4.2 Selling &amp; Oper. expenses'!J63</f>
        <v>0</v>
      </c>
      <c r="H343" s="1668" t="n">
        <f aca="false">SUM(B343:G343)</f>
        <v>0</v>
      </c>
      <c r="I343" s="1671" t="n">
        <f aca="false">B343+C343+D343+F343+E343+G343</f>
        <v>0</v>
      </c>
    </row>
    <row r="344" customFormat="false" ht="15" hidden="false" customHeight="false" outlineLevel="0" collapsed="false">
      <c r="A344" s="1060"/>
      <c r="B344" s="1660"/>
      <c r="C344" s="1661"/>
      <c r="D344" s="1661"/>
      <c r="E344" s="1661"/>
      <c r="F344" s="1661"/>
      <c r="G344" s="1681"/>
      <c r="H344" s="1660"/>
      <c r="I344" s="1662"/>
    </row>
    <row r="345" s="273" customFormat="true" ht="15" hidden="false" customHeight="false" outlineLevel="0" collapsed="false">
      <c r="A345" s="1060" t="s">
        <v>986</v>
      </c>
      <c r="B345" s="1668" t="n">
        <f aca="false">'7.2.1 Turnover Vehicles'!K84*'7.4.1 Salaries &amp; Wages'!K80+(B324/(B324+C324+D324+0.00001)*('7.4.1 Salaries &amp; Wages'!K71+'7.4.1 Salaries &amp; Wages'!K91))-'7.2.1 Turnover Vehicles'!$K$84*'7.4.1 Salaries &amp; Wages'!$K$77*(1+'7.4.1 Salaries &amp; Wages'!$B$78)</f>
        <v>57175.05656448</v>
      </c>
      <c r="C345" s="1669" t="n">
        <f aca="false">'7.2.1 Turnover Vehicles'!K85*'7.4.1 Salaries &amp; Wages'!K80+(C324/(B324+C324+D324+0.00001)*('7.4.1 Salaries &amp; Wages'!K71+'7.4.1 Salaries &amp; Wages'!K91))-'7.2.1 Turnover Vehicles'!$K$85*'7.4.1 Salaries &amp; Wages'!$K$77*(1+'7.4.1 Salaries &amp; Wages'!$B$78)</f>
        <v>0</v>
      </c>
      <c r="D345" s="1669" t="n">
        <f aca="false">'7.2.1 Turnover Vehicles'!K86*'7.4.1 Salaries &amp; Wages'!K80+(D324/(B324+C324+D324+0.00001)*('7.4.1 Salaries &amp; Wages'!K71+'7.4.1 Salaries &amp; Wages'!K91))-'7.2.1 Turnover Vehicles'!$K$86*'7.4.1 Salaries &amp; Wages'!$K$77*(1+'7.4.1 Salaries &amp; Wages'!$B$78)</f>
        <v>0</v>
      </c>
      <c r="E345" s="1669" t="n">
        <f aca="false">'7.4.1 Salaries &amp; Wages'!K141+'7.4.1 Salaries &amp; Wages'!K150+'7.4.1 Salaries &amp; Wages'!K159+'7.4.1 Salaries &amp; Wages'!K168</f>
        <v>0</v>
      </c>
      <c r="F345" s="1669" t="n">
        <f aca="false">'7.4.1 Salaries &amp; Wages'!K132+'7.4.1 Salaries &amp; Wages'!K123</f>
        <v>0</v>
      </c>
      <c r="G345" s="1670" t="n">
        <f aca="false">'7.4.1 Salaries &amp; Wages'!K35+'7.4.1 Salaries &amp; Wages'!K44+'7.4.1 Salaries &amp; Wages'!K53+'7.4.1 Salaries &amp; Wages'!K62</f>
        <v>0</v>
      </c>
      <c r="H345" s="1668" t="n">
        <f aca="false">SUM(B345:G345)</f>
        <v>57175.05656448</v>
      </c>
      <c r="I345" s="1671" t="n">
        <f aca="false">B345+C345+D345+F345+E345+G345</f>
        <v>57175.05656448</v>
      </c>
    </row>
    <row r="346" customFormat="false" ht="15" hidden="false" customHeight="false" outlineLevel="0" collapsed="false">
      <c r="A346" s="1060"/>
      <c r="B346" s="1656"/>
      <c r="C346" s="1657"/>
      <c r="D346" s="1657"/>
      <c r="E346" s="1657"/>
      <c r="F346" s="1661"/>
      <c r="G346" s="1658"/>
      <c r="H346" s="1656"/>
      <c r="I346" s="1658"/>
    </row>
    <row r="347" customFormat="false" ht="15" hidden="false" customHeight="false" outlineLevel="0" collapsed="false">
      <c r="A347" s="1060" t="s">
        <v>991</v>
      </c>
      <c r="B347" s="1656"/>
      <c r="C347" s="1657"/>
      <c r="D347" s="1657"/>
      <c r="E347" s="1657"/>
      <c r="F347" s="1661"/>
      <c r="G347" s="1658"/>
      <c r="H347" s="1656"/>
      <c r="I347" s="1658"/>
    </row>
    <row r="348" customFormat="false" ht="15" hidden="false" customHeight="false" outlineLevel="0" collapsed="false">
      <c r="A348" s="1046" t="s">
        <v>760</v>
      </c>
      <c r="B348" s="1660" t="n">
        <f aca="false">'7.4.2 Selling &amp; Oper. expenses'!K37*'7.4.2 Selling &amp; Oper. expenses'!E68</f>
        <v>3548</v>
      </c>
      <c r="C348" s="1661" t="n">
        <f aca="false">'7.4.2 Selling &amp; Oper. expenses'!K37*'7.4.2 Selling &amp; Oper. expenses'!F68</f>
        <v>0</v>
      </c>
      <c r="D348" s="1661" t="n">
        <f aca="false">'7.4.2 Selling &amp; Oper. expenses'!K37*'7.4.2 Selling &amp; Oper. expenses'!G68</f>
        <v>0</v>
      </c>
      <c r="E348" s="1661" t="n">
        <f aca="false">'7.4.2 Selling &amp; Oper. expenses'!K37*'7.4.2 Selling &amp; Oper. expenses'!H68</f>
        <v>0</v>
      </c>
      <c r="F348" s="1661" t="n">
        <f aca="false">'7.4.2 Selling &amp; Oper. expenses'!K37*'7.4.2 Selling &amp; Oper. expenses'!I68</f>
        <v>0</v>
      </c>
      <c r="G348" s="1681" t="n">
        <f aca="false">'7.4.2 Selling &amp; Oper. expenses'!K37*'7.4.2 Selling &amp; Oper. expenses'!J68</f>
        <v>0</v>
      </c>
      <c r="H348" s="1660" t="n">
        <f aca="false">SUM(B348:G348)</f>
        <v>3548</v>
      </c>
      <c r="I348" s="1681" t="n">
        <f aca="false">SUM(B348:G348)</f>
        <v>3548</v>
      </c>
    </row>
    <row r="349" customFormat="false" ht="15" hidden="false" customHeight="false" outlineLevel="0" collapsed="false">
      <c r="A349" s="1046" t="s">
        <v>761</v>
      </c>
      <c r="B349" s="1660" t="n">
        <f aca="false">'7.4.2 Selling &amp; Oper. expenses'!K38*'7.4.2 Selling &amp; Oper. expenses'!E69</f>
        <v>8387</v>
      </c>
      <c r="C349" s="1661" t="n">
        <f aca="false">'7.4.2 Selling &amp; Oper. expenses'!K38*'7.4.2 Selling &amp; Oper. expenses'!F69</f>
        <v>0</v>
      </c>
      <c r="D349" s="1661" t="n">
        <f aca="false">'7.4.2 Selling &amp; Oper. expenses'!K38*'7.4.2 Selling &amp; Oper. expenses'!G69</f>
        <v>0</v>
      </c>
      <c r="E349" s="1661" t="n">
        <f aca="false">'7.4.2 Selling &amp; Oper. expenses'!K38*'7.4.2 Selling &amp; Oper. expenses'!H69</f>
        <v>0</v>
      </c>
      <c r="F349" s="1661" t="n">
        <f aca="false">'7.4.2 Selling &amp; Oper. expenses'!K38*'7.4.2 Selling &amp; Oper. expenses'!I69</f>
        <v>0</v>
      </c>
      <c r="G349" s="1681" t="n">
        <f aca="false">'7.4.2 Selling &amp; Oper. expenses'!K38*'7.4.2 Selling &amp; Oper. expenses'!J69</f>
        <v>0</v>
      </c>
      <c r="H349" s="1660" t="n">
        <f aca="false">SUM(B349:G349)</f>
        <v>8387</v>
      </c>
      <c r="I349" s="1681" t="n">
        <f aca="false">SUM(B349:G349)</f>
        <v>8387</v>
      </c>
    </row>
    <row r="350" customFormat="false" ht="15" hidden="false" customHeight="false" outlineLevel="0" collapsed="false">
      <c r="A350" s="1046" t="s">
        <v>762</v>
      </c>
      <c r="B350" s="1660" t="n">
        <f aca="false">'7.4.2 Selling &amp; Oper. expenses'!K39*'7.4.2 Selling &amp; Oper. expenses'!E70</f>
        <v>5000</v>
      </c>
      <c r="C350" s="1661" t="n">
        <f aca="false">'7.4.2 Selling &amp; Oper. expenses'!K39*'7.4.2 Selling &amp; Oper. expenses'!F70</f>
        <v>0</v>
      </c>
      <c r="D350" s="1661" t="n">
        <f aca="false">'7.4.2 Selling &amp; Oper. expenses'!K39*'7.4.2 Selling &amp; Oper. expenses'!G70</f>
        <v>0</v>
      </c>
      <c r="E350" s="1661" t="n">
        <f aca="false">'7.4.2 Selling &amp; Oper. expenses'!K39*'7.4.2 Selling &amp; Oper. expenses'!H70</f>
        <v>0</v>
      </c>
      <c r="F350" s="1661" t="n">
        <f aca="false">'7.4.2 Selling &amp; Oper. expenses'!K39*'7.4.2 Selling &amp; Oper. expenses'!I70</f>
        <v>0</v>
      </c>
      <c r="G350" s="1681" t="n">
        <f aca="false">'7.4.2 Selling &amp; Oper. expenses'!K39*'7.4.2 Selling &amp; Oper. expenses'!J70</f>
        <v>0</v>
      </c>
      <c r="H350" s="1660" t="n">
        <f aca="false">SUM(B350:G350)</f>
        <v>5000</v>
      </c>
      <c r="I350" s="1681" t="n">
        <f aca="false">SUM(B350:G350)</f>
        <v>5000</v>
      </c>
    </row>
    <row r="351" customFormat="false" ht="15" hidden="false" customHeight="false" outlineLevel="0" collapsed="false">
      <c r="A351" s="1046" t="s">
        <v>763</v>
      </c>
      <c r="B351" s="1660" t="n">
        <f aca="false">'7.4.2 Selling &amp; Oper. expenses'!K40*'7.4.2 Selling &amp; Oper. expenses'!E71</f>
        <v>6000</v>
      </c>
      <c r="C351" s="1661" t="n">
        <f aca="false">'7.4.2 Selling &amp; Oper. expenses'!K40*'7.4.2 Selling &amp; Oper. expenses'!F71</f>
        <v>0</v>
      </c>
      <c r="D351" s="1661" t="n">
        <f aca="false">'7.4.2 Selling &amp; Oper. expenses'!K40*'7.4.2 Selling &amp; Oper. expenses'!G71</f>
        <v>0</v>
      </c>
      <c r="E351" s="1661" t="n">
        <f aca="false">'7.4.2 Selling &amp; Oper. expenses'!K40*'7.4.2 Selling &amp; Oper. expenses'!H71</f>
        <v>0</v>
      </c>
      <c r="F351" s="1661" t="n">
        <f aca="false">'7.4.2 Selling &amp; Oper. expenses'!K40*'7.4.2 Selling &amp; Oper. expenses'!I71</f>
        <v>0</v>
      </c>
      <c r="G351" s="1681" t="n">
        <f aca="false">'7.4.2 Selling &amp; Oper. expenses'!K40*'7.4.2 Selling &amp; Oper. expenses'!J71</f>
        <v>0</v>
      </c>
      <c r="H351" s="1660" t="n">
        <f aca="false">SUM(B351:G351)</f>
        <v>6000</v>
      </c>
      <c r="I351" s="1681" t="n">
        <f aca="false">SUM(B351:G351)</f>
        <v>6000</v>
      </c>
    </row>
    <row r="352" customFormat="false" ht="15" hidden="false" customHeight="false" outlineLevel="0" collapsed="false">
      <c r="A352" s="1046" t="s">
        <v>764</v>
      </c>
      <c r="B352" s="1660" t="n">
        <f aca="false">'7.4.2 Selling &amp; Oper. expenses'!K41*'7.4.2 Selling &amp; Oper. expenses'!E72</f>
        <v>20000</v>
      </c>
      <c r="C352" s="1661" t="n">
        <f aca="false">'7.4.2 Selling &amp; Oper. expenses'!K41*'7.4.2 Selling &amp; Oper. expenses'!F72</f>
        <v>0</v>
      </c>
      <c r="D352" s="1661" t="n">
        <f aca="false">'7.4.2 Selling &amp; Oper. expenses'!K41*'7.4.2 Selling &amp; Oper. expenses'!G72</f>
        <v>0</v>
      </c>
      <c r="E352" s="1661" t="n">
        <f aca="false">'7.4.2 Selling &amp; Oper. expenses'!K41*'7.4.2 Selling &amp; Oper. expenses'!H72</f>
        <v>0</v>
      </c>
      <c r="F352" s="1661" t="n">
        <f aca="false">'7.4.2 Selling &amp; Oper. expenses'!K41*'7.4.2 Selling &amp; Oper. expenses'!I72</f>
        <v>0</v>
      </c>
      <c r="G352" s="1681" t="n">
        <f aca="false">'7.4.2 Selling &amp; Oper. expenses'!K41*'7.4.2 Selling &amp; Oper. expenses'!J72</f>
        <v>0</v>
      </c>
      <c r="H352" s="1660" t="n">
        <f aca="false">SUM(B352:G352)</f>
        <v>20000</v>
      </c>
      <c r="I352" s="1681" t="n">
        <f aca="false">SUM(B352:G352)</f>
        <v>20000</v>
      </c>
    </row>
    <row r="353" customFormat="false" ht="15" hidden="false" customHeight="false" outlineLevel="0" collapsed="false">
      <c r="A353" s="1046" t="s">
        <v>992</v>
      </c>
      <c r="B353" s="1660" t="n">
        <f aca="false">'7.4.2 Selling &amp; Oper. expenses'!K42*'7.4.2 Selling &amp; Oper. expenses'!E73</f>
        <v>90000</v>
      </c>
      <c r="C353" s="1661" t="n">
        <f aca="false">'7.4.2 Selling &amp; Oper. expenses'!K42*'7.4.2 Selling &amp; Oper. expenses'!F73</f>
        <v>0</v>
      </c>
      <c r="D353" s="1661" t="n">
        <f aca="false">'7.4.2 Selling &amp; Oper. expenses'!K42*'7.4.2 Selling &amp; Oper. expenses'!G73</f>
        <v>0</v>
      </c>
      <c r="E353" s="1661" t="n">
        <f aca="false">'7.4.2 Selling &amp; Oper. expenses'!K42*'7.4.2 Selling &amp; Oper. expenses'!H73</f>
        <v>0</v>
      </c>
      <c r="F353" s="1661" t="n">
        <f aca="false">'7.4.2 Selling &amp; Oper. expenses'!K42*'7.4.2 Selling &amp; Oper. expenses'!I73</f>
        <v>0</v>
      </c>
      <c r="G353" s="1681" t="n">
        <f aca="false">'7.4.2 Selling &amp; Oper. expenses'!K42*'7.4.2 Selling &amp; Oper. expenses'!J73</f>
        <v>0</v>
      </c>
      <c r="H353" s="1660" t="n">
        <f aca="false">SUM(B353:G353)</f>
        <v>90000</v>
      </c>
      <c r="I353" s="1681" t="n">
        <f aca="false">SUM(B353:G353)</f>
        <v>90000</v>
      </c>
    </row>
    <row r="354" customFormat="false" ht="15" hidden="false" customHeight="false" outlineLevel="0" collapsed="false">
      <c r="A354" s="1046" t="s">
        <v>766</v>
      </c>
      <c r="B354" s="1660" t="n">
        <f aca="false">'7.4.2 Selling &amp; Oper. expenses'!K43*'7.4.2 Selling &amp; Oper. expenses'!E74</f>
        <v>25000</v>
      </c>
      <c r="C354" s="1661" t="n">
        <f aca="false">'7.4.2 Selling &amp; Oper. expenses'!K43*'7.4.2 Selling &amp; Oper. expenses'!F74</f>
        <v>0</v>
      </c>
      <c r="D354" s="1661" t="n">
        <f aca="false">'7.4.2 Selling &amp; Oper. expenses'!K43*'7.4.2 Selling &amp; Oper. expenses'!G74</f>
        <v>0</v>
      </c>
      <c r="E354" s="1661" t="n">
        <f aca="false">'7.4.2 Selling &amp; Oper. expenses'!K43*'7.4.2 Selling &amp; Oper. expenses'!H74</f>
        <v>0</v>
      </c>
      <c r="F354" s="1661" t="n">
        <f aca="false">'7.4.2 Selling &amp; Oper. expenses'!K43*'7.4.2 Selling &amp; Oper. expenses'!I74</f>
        <v>0</v>
      </c>
      <c r="G354" s="1681" t="n">
        <f aca="false">'7.4.2 Selling &amp; Oper. expenses'!K43*'7.4.2 Selling &amp; Oper. expenses'!J74</f>
        <v>0</v>
      </c>
      <c r="H354" s="1660" t="n">
        <f aca="false">SUM(B354:G354)</f>
        <v>25000</v>
      </c>
      <c r="I354" s="1681" t="n">
        <f aca="false">SUM(B354:G354)</f>
        <v>25000</v>
      </c>
    </row>
    <row r="355" customFormat="false" ht="15" hidden="false" customHeight="false" outlineLevel="0" collapsed="false">
      <c r="A355" s="1046" t="s">
        <v>993</v>
      </c>
      <c r="B355" s="1660" t="n">
        <f aca="false">'7.4.2 Selling &amp; Oper. expenses'!K44*'7.4.2 Selling &amp; Oper. expenses'!E75</f>
        <v>9677</v>
      </c>
      <c r="C355" s="1661" t="n">
        <f aca="false">'7.4.2 Selling &amp; Oper. expenses'!K44*'7.4.2 Selling &amp; Oper. expenses'!F75</f>
        <v>0</v>
      </c>
      <c r="D355" s="1661" t="n">
        <f aca="false">'7.4.2 Selling &amp; Oper. expenses'!K44*'7.4.2 Selling &amp; Oper. expenses'!G75</f>
        <v>0</v>
      </c>
      <c r="E355" s="1661" t="n">
        <f aca="false">'7.4.2 Selling &amp; Oper. expenses'!K44*'7.4.2 Selling &amp; Oper. expenses'!H75</f>
        <v>0</v>
      </c>
      <c r="F355" s="1661" t="n">
        <f aca="false">'7.4.2 Selling &amp; Oper. expenses'!K44*'7.4.2 Selling &amp; Oper. expenses'!I75</f>
        <v>0</v>
      </c>
      <c r="G355" s="1681" t="n">
        <f aca="false">'7.4.2 Selling &amp; Oper. expenses'!K44*'7.4.2 Selling &amp; Oper. expenses'!J75</f>
        <v>0</v>
      </c>
      <c r="H355" s="1660" t="n">
        <f aca="false">SUM(B355:G355)</f>
        <v>9677</v>
      </c>
      <c r="I355" s="1681" t="n">
        <f aca="false">SUM(B355:G355)</f>
        <v>9677</v>
      </c>
    </row>
    <row r="356" customFormat="false" ht="15" hidden="false" customHeight="false" outlineLevel="0" collapsed="false">
      <c r="A356" s="1046" t="s">
        <v>994</v>
      </c>
      <c r="B356" s="1660" t="n">
        <f aca="false">'7.4.2 Selling &amp; Oper. expenses'!K45*'7.4.2 Selling &amp; Oper. expenses'!E76</f>
        <v>3871</v>
      </c>
      <c r="C356" s="1661" t="n">
        <f aca="false">'7.4.2 Selling &amp; Oper. expenses'!K45*'7.4.2 Selling &amp; Oper. expenses'!F76</f>
        <v>0</v>
      </c>
      <c r="D356" s="1661" t="n">
        <f aca="false">'7.4.2 Selling &amp; Oper. expenses'!K45*'7.4.2 Selling &amp; Oper. expenses'!G76</f>
        <v>0</v>
      </c>
      <c r="E356" s="1661" t="n">
        <f aca="false">'7.4.2 Selling &amp; Oper. expenses'!K45*'7.4.2 Selling &amp; Oper. expenses'!H76</f>
        <v>0</v>
      </c>
      <c r="F356" s="1661" t="n">
        <f aca="false">'7.4.2 Selling &amp; Oper. expenses'!K45*'7.4.2 Selling &amp; Oper. expenses'!I76</f>
        <v>0</v>
      </c>
      <c r="G356" s="1681" t="n">
        <f aca="false">'7.4.2 Selling &amp; Oper. expenses'!K45*'7.4.2 Selling &amp; Oper. expenses'!J76</f>
        <v>0</v>
      </c>
      <c r="H356" s="1660" t="n">
        <f aca="false">SUM(B356:G356)</f>
        <v>3871</v>
      </c>
      <c r="I356" s="1681" t="n">
        <f aca="false">SUM(B356:G356)</f>
        <v>3871</v>
      </c>
    </row>
    <row r="357" customFormat="false" ht="15" hidden="false" customHeight="false" outlineLevel="0" collapsed="false">
      <c r="A357" s="1046" t="s">
        <v>769</v>
      </c>
      <c r="B357" s="1660" t="n">
        <f aca="false">'7.4.2 Selling &amp; Oper. expenses'!K46*'7.4.2 Selling &amp; Oper. expenses'!E77</f>
        <v>9677</v>
      </c>
      <c r="C357" s="1661" t="n">
        <f aca="false">'7.4.2 Selling &amp; Oper. expenses'!K46*'7.4.2 Selling &amp; Oper. expenses'!F77</f>
        <v>0</v>
      </c>
      <c r="D357" s="1661" t="n">
        <f aca="false">'7.4.2 Selling &amp; Oper. expenses'!K46*'7.4.2 Selling &amp; Oper. expenses'!G77</f>
        <v>0</v>
      </c>
      <c r="E357" s="1661" t="n">
        <f aca="false">'7.4.2 Selling &amp; Oper. expenses'!K46*'7.4.2 Selling &amp; Oper. expenses'!H77</f>
        <v>0</v>
      </c>
      <c r="F357" s="1661" t="n">
        <f aca="false">'7.4.2 Selling &amp; Oper. expenses'!K46*'7.4.2 Selling &amp; Oper. expenses'!I77</f>
        <v>0</v>
      </c>
      <c r="G357" s="1681" t="n">
        <f aca="false">'7.4.2 Selling &amp; Oper. expenses'!K46*'7.4.2 Selling &amp; Oper. expenses'!J77</f>
        <v>0</v>
      </c>
      <c r="H357" s="1660" t="n">
        <f aca="false">SUM(B357:G357)</f>
        <v>9677</v>
      </c>
      <c r="I357" s="1681" t="n">
        <f aca="false">SUM(B357:G357)</f>
        <v>9677</v>
      </c>
    </row>
    <row r="358" customFormat="false" ht="15" hidden="false" customHeight="false" outlineLevel="0" collapsed="false">
      <c r="A358" s="1046" t="s">
        <v>252</v>
      </c>
      <c r="B358" s="1660" t="n">
        <f aca="false">'7.4.2 Selling &amp; Oper. expenses'!K47*'7.4.2 Selling &amp; Oper. expenses'!E78</f>
        <v>9677</v>
      </c>
      <c r="C358" s="1661" t="n">
        <f aca="false">'7.4.2 Selling &amp; Oper. expenses'!K47*'7.4.2 Selling &amp; Oper. expenses'!F78</f>
        <v>0</v>
      </c>
      <c r="D358" s="1661" t="n">
        <f aca="false">'7.4.2 Selling &amp; Oper. expenses'!K47*'7.4.2 Selling &amp; Oper. expenses'!G78</f>
        <v>0</v>
      </c>
      <c r="E358" s="1661" t="n">
        <f aca="false">'7.4.2 Selling &amp; Oper. expenses'!K47*'7.4.2 Selling &amp; Oper. expenses'!H78</f>
        <v>0</v>
      </c>
      <c r="F358" s="1661" t="n">
        <f aca="false">'7.4.2 Selling &amp; Oper. expenses'!K47*'7.4.2 Selling &amp; Oper. expenses'!I78</f>
        <v>0</v>
      </c>
      <c r="G358" s="1681" t="n">
        <f aca="false">'7.4.2 Selling &amp; Oper. expenses'!K47*'7.4.2 Selling &amp; Oper. expenses'!J78</f>
        <v>0</v>
      </c>
      <c r="H358" s="1660" t="n">
        <f aca="false">SUM(B358:G358)</f>
        <v>9677</v>
      </c>
      <c r="I358" s="1681" t="n">
        <f aca="false">SUM(B358:G358)</f>
        <v>9677</v>
      </c>
    </row>
    <row r="359" customFormat="false" ht="15" hidden="false" customHeight="false" outlineLevel="0" collapsed="false">
      <c r="A359" s="1046" t="s">
        <v>995</v>
      </c>
      <c r="B359" s="1660" t="n">
        <f aca="false">'7.4.2 Selling &amp; Oper. expenses'!K48*'7.4.2 Selling &amp; Oper. expenses'!E79</f>
        <v>12903</v>
      </c>
      <c r="C359" s="1661" t="n">
        <f aca="false">'7.4.2 Selling &amp; Oper. expenses'!K48*'7.4.2 Selling &amp; Oper. expenses'!F79</f>
        <v>0</v>
      </c>
      <c r="D359" s="1661" t="n">
        <f aca="false">'7.4.2 Selling &amp; Oper. expenses'!K48*'7.4.2 Selling &amp; Oper. expenses'!G79</f>
        <v>0</v>
      </c>
      <c r="E359" s="1661" t="n">
        <f aca="false">'7.4.2 Selling &amp; Oper. expenses'!K48*'7.4.2 Selling &amp; Oper. expenses'!H79</f>
        <v>0</v>
      </c>
      <c r="F359" s="1661" t="n">
        <f aca="false">'7.4.2 Selling &amp; Oper. expenses'!K48*'7.4.2 Selling &amp; Oper. expenses'!I79</f>
        <v>0</v>
      </c>
      <c r="G359" s="1681" t="n">
        <f aca="false">'7.4.2 Selling &amp; Oper. expenses'!K48*'7.4.2 Selling &amp; Oper. expenses'!J79</f>
        <v>0</v>
      </c>
      <c r="H359" s="1660" t="n">
        <f aca="false">SUM(B359:G359)</f>
        <v>12903</v>
      </c>
      <c r="I359" s="1681" t="n">
        <f aca="false">SUM(B359:G359)</f>
        <v>12903</v>
      </c>
    </row>
    <row r="360" customFormat="false" ht="15" hidden="false" customHeight="false" outlineLevel="0" collapsed="false">
      <c r="A360" s="1046" t="s">
        <v>798</v>
      </c>
      <c r="B360" s="1660" t="n">
        <f aca="false">'7.4.2 Selling &amp; Oper. expenses'!K49*'7.4.2 Selling &amp; Oper. expenses'!E80</f>
        <v>1613</v>
      </c>
      <c r="C360" s="1661" t="n">
        <f aca="false">'7.4.2 Selling &amp; Oper. expenses'!K49*'7.4.2 Selling &amp; Oper. expenses'!F80</f>
        <v>0</v>
      </c>
      <c r="D360" s="1661" t="n">
        <f aca="false">'7.4.2 Selling &amp; Oper. expenses'!K49*'7.4.2 Selling &amp; Oper. expenses'!G80</f>
        <v>0</v>
      </c>
      <c r="E360" s="1661" t="n">
        <f aca="false">'7.4.2 Selling &amp; Oper. expenses'!K49*'7.4.2 Selling &amp; Oper. expenses'!H80</f>
        <v>0</v>
      </c>
      <c r="F360" s="1661" t="n">
        <f aca="false">'7.4.2 Selling &amp; Oper. expenses'!K49*'7.4.2 Selling &amp; Oper. expenses'!I80</f>
        <v>0</v>
      </c>
      <c r="G360" s="1681" t="n">
        <f aca="false">'7.4.2 Selling &amp; Oper. expenses'!K49*'7.4.2 Selling &amp; Oper. expenses'!J80</f>
        <v>0</v>
      </c>
      <c r="H360" s="1660" t="n">
        <f aca="false">SUM(B360:G360)</f>
        <v>1613</v>
      </c>
      <c r="I360" s="1681" t="n">
        <f aca="false">SUM(B360:G360)</f>
        <v>1613</v>
      </c>
    </row>
    <row r="361" customFormat="false" ht="15" hidden="false" customHeight="false" outlineLevel="0" collapsed="false">
      <c r="A361" s="1046" t="s">
        <v>772</v>
      </c>
      <c r="B361" s="1660" t="n">
        <f aca="false">'7.4.2 Selling &amp; Oper. expenses'!K50*'7.4.2 Selling &amp; Oper. expenses'!E81</f>
        <v>8065</v>
      </c>
      <c r="C361" s="1661" t="n">
        <f aca="false">'7.4.2 Selling &amp; Oper. expenses'!K50*'7.4.2 Selling &amp; Oper. expenses'!F81</f>
        <v>0</v>
      </c>
      <c r="D361" s="1661" t="n">
        <f aca="false">'7.4.2 Selling &amp; Oper. expenses'!K50*'7.4.2 Selling &amp; Oper. expenses'!G81</f>
        <v>0</v>
      </c>
      <c r="E361" s="1661" t="n">
        <f aca="false">'7.4.2 Selling &amp; Oper. expenses'!K50*'7.4.2 Selling &amp; Oper. expenses'!H81</f>
        <v>0</v>
      </c>
      <c r="F361" s="1661" t="n">
        <f aca="false">'7.4.2 Selling &amp; Oper. expenses'!K50*'7.4.2 Selling &amp; Oper. expenses'!I81</f>
        <v>0</v>
      </c>
      <c r="G361" s="1681" t="n">
        <f aca="false">'7.4.2 Selling &amp; Oper. expenses'!K50*'7.4.2 Selling &amp; Oper. expenses'!J81</f>
        <v>0</v>
      </c>
      <c r="H361" s="1660" t="n">
        <f aca="false">SUM(B361:G361)</f>
        <v>8065</v>
      </c>
      <c r="I361" s="1681" t="n">
        <f aca="false">SUM(B361:G361)</f>
        <v>8065</v>
      </c>
    </row>
    <row r="362" customFormat="false" ht="15" hidden="false" customHeight="false" outlineLevel="0" collapsed="false">
      <c r="A362" s="1046" t="s">
        <v>773</v>
      </c>
      <c r="B362" s="1660" t="n">
        <f aca="false">'7.4.2 Selling &amp; Oper. expenses'!K51*'7.4.2 Selling &amp; Oper. expenses'!E82</f>
        <v>130000</v>
      </c>
      <c r="C362" s="1661" t="n">
        <f aca="false">'7.4.2 Selling &amp; Oper. expenses'!K51*'7.4.2 Selling &amp; Oper. expenses'!F82</f>
        <v>0</v>
      </c>
      <c r="D362" s="1661" t="n">
        <f aca="false">'7.4.2 Selling &amp; Oper. expenses'!K51*'7.4.2 Selling &amp; Oper. expenses'!G82</f>
        <v>0</v>
      </c>
      <c r="E362" s="1661" t="n">
        <f aca="false">'7.4.2 Selling &amp; Oper. expenses'!K51*'7.4.2 Selling &amp; Oper. expenses'!H82</f>
        <v>0</v>
      </c>
      <c r="F362" s="1661" t="n">
        <f aca="false">'7.4.2 Selling &amp; Oper. expenses'!K51*'7.4.2 Selling &amp; Oper. expenses'!I82</f>
        <v>0</v>
      </c>
      <c r="G362" s="1681" t="n">
        <f aca="false">'7.4.2 Selling &amp; Oper. expenses'!K51*'7.4.2 Selling &amp; Oper. expenses'!J82</f>
        <v>0</v>
      </c>
      <c r="H362" s="1660" t="n">
        <f aca="false">SUM(B362:G362)</f>
        <v>130000</v>
      </c>
      <c r="I362" s="1681" t="n">
        <f aca="false">SUM(B362:G362)</f>
        <v>130000</v>
      </c>
    </row>
    <row r="363" customFormat="false" ht="15" hidden="false" customHeight="false" outlineLevel="0" collapsed="false">
      <c r="A363" s="1046" t="s">
        <v>996</v>
      </c>
      <c r="B363" s="1660" t="n">
        <f aca="false">'7.4.2 Selling &amp; Oper. expenses'!K52*'7.4.2 Selling &amp; Oper. expenses'!E83</f>
        <v>0</v>
      </c>
      <c r="C363" s="1661" t="n">
        <f aca="false">'7.4.2 Selling &amp; Oper. expenses'!K52*'7.4.2 Selling &amp; Oper. expenses'!F83</f>
        <v>0</v>
      </c>
      <c r="D363" s="1661" t="n">
        <f aca="false">'7.4.2 Selling &amp; Oper. expenses'!K52*'7.4.2 Selling &amp; Oper. expenses'!G83</f>
        <v>0</v>
      </c>
      <c r="E363" s="1661" t="n">
        <f aca="false">'7.4.2 Selling &amp; Oper. expenses'!K52*'7.4.2 Selling &amp; Oper. expenses'!H83</f>
        <v>0</v>
      </c>
      <c r="F363" s="1661" t="n">
        <f aca="false">'7.4.2 Selling &amp; Oper. expenses'!K52*'7.4.2 Selling &amp; Oper. expenses'!I83</f>
        <v>0</v>
      </c>
      <c r="G363" s="1681" t="n">
        <f aca="false">'7.4.2 Selling &amp; Oper. expenses'!K52*'7.4.2 Selling &amp; Oper. expenses'!J83</f>
        <v>0</v>
      </c>
      <c r="H363" s="1660" t="n">
        <f aca="false">SUM(B363:G363)</f>
        <v>0</v>
      </c>
      <c r="I363" s="1681" t="n">
        <f aca="false">SUM(B363:G363)</f>
        <v>0</v>
      </c>
    </row>
    <row r="364" customFormat="false" ht="15" hidden="false" customHeight="false" outlineLevel="0" collapsed="false">
      <c r="A364" s="1046" t="s">
        <v>775</v>
      </c>
      <c r="B364" s="1660" t="n">
        <f aca="false">'7.4.2 Selling &amp; Oper. expenses'!K53*'7.4.2 Selling &amp; Oper. expenses'!E84</f>
        <v>10000</v>
      </c>
      <c r="C364" s="1661" t="n">
        <f aca="false">'7.4.2 Selling &amp; Oper. expenses'!K53*'7.4.2 Selling &amp; Oper. expenses'!F84</f>
        <v>0</v>
      </c>
      <c r="D364" s="1661" t="n">
        <f aca="false">'7.4.2 Selling &amp; Oper. expenses'!K53*'7.4.2 Selling &amp; Oper. expenses'!G84</f>
        <v>0</v>
      </c>
      <c r="E364" s="1661" t="n">
        <f aca="false">'7.4.2 Selling &amp; Oper. expenses'!K53*'7.4.2 Selling &amp; Oper. expenses'!H84</f>
        <v>0</v>
      </c>
      <c r="F364" s="1661" t="n">
        <f aca="false">'7.4.2 Selling &amp; Oper. expenses'!K53*'7.4.2 Selling &amp; Oper. expenses'!I84</f>
        <v>0</v>
      </c>
      <c r="G364" s="1681" t="n">
        <f aca="false">'7.4.2 Selling &amp; Oper. expenses'!K53*'7.4.2 Selling &amp; Oper. expenses'!J84</f>
        <v>0</v>
      </c>
      <c r="H364" s="1660" t="n">
        <f aca="false">SUM(B364:G364)</f>
        <v>10000</v>
      </c>
      <c r="I364" s="1681" t="n">
        <f aca="false">SUM(B364:G364)</f>
        <v>10000</v>
      </c>
    </row>
    <row r="365" customFormat="false" ht="15" hidden="false" customHeight="false" outlineLevel="0" collapsed="false">
      <c r="A365" s="1046" t="s">
        <v>776</v>
      </c>
      <c r="B365" s="1663" t="n">
        <f aca="false">'7.4.2 Selling &amp; Oper. expenses'!K54*'7.4.2 Selling &amp; Oper. expenses'!E85</f>
        <v>0</v>
      </c>
      <c r="C365" s="1665" t="n">
        <f aca="false">'7.4.2 Selling &amp; Oper. expenses'!K54*'7.4.2 Selling &amp; Oper. expenses'!F85</f>
        <v>0</v>
      </c>
      <c r="D365" s="1665" t="n">
        <f aca="false">'7.4.2 Selling &amp; Oper. expenses'!K54*'7.4.2 Selling &amp; Oper. expenses'!G85</f>
        <v>0</v>
      </c>
      <c r="E365" s="1665" t="n">
        <f aca="false">'7.4.2 Selling &amp; Oper. expenses'!K54*'7.4.2 Selling &amp; Oper. expenses'!H85</f>
        <v>0</v>
      </c>
      <c r="F365" s="1665" t="n">
        <f aca="false">'7.4.2 Selling &amp; Oper. expenses'!K54*'7.4.2 Selling &amp; Oper. expenses'!I85</f>
        <v>0</v>
      </c>
      <c r="G365" s="1682" t="n">
        <f aca="false">'7.4.2 Selling &amp; Oper. expenses'!K54*'7.4.2 Selling &amp; Oper. expenses'!J85</f>
        <v>0</v>
      </c>
      <c r="H365" s="1663" t="n">
        <f aca="false">SUM(B365:G365)</f>
        <v>0</v>
      </c>
      <c r="I365" s="1682" t="n">
        <f aca="false">SUM(B365:G365)</f>
        <v>0</v>
      </c>
    </row>
    <row r="366" customFormat="false" ht="15" hidden="false" customHeight="false" outlineLevel="0" collapsed="false">
      <c r="A366" s="1060" t="s">
        <v>997</v>
      </c>
      <c r="B366" s="1683" t="n">
        <f aca="false">SUM(B348:B365)</f>
        <v>353418</v>
      </c>
      <c r="C366" s="1684" t="n">
        <f aca="false">SUM(C348:C365)</f>
        <v>0</v>
      </c>
      <c r="D366" s="1684" t="n">
        <f aca="false">SUM(D348:D365)</f>
        <v>0</v>
      </c>
      <c r="E366" s="1684" t="n">
        <f aca="false">SUM(E348:E365)</f>
        <v>0</v>
      </c>
      <c r="F366" s="1684" t="n">
        <f aca="false">SUM(F348:F365)</f>
        <v>0</v>
      </c>
      <c r="G366" s="1685" t="n">
        <f aca="false">SUM(G348:G365)</f>
        <v>0</v>
      </c>
      <c r="H366" s="1683" t="n">
        <f aca="false">SUM(H348:H365)</f>
        <v>353418</v>
      </c>
      <c r="I366" s="1671" t="n">
        <f aca="false">SUM(I348:I365)</f>
        <v>353418</v>
      </c>
    </row>
    <row r="367" customFormat="false" ht="15" hidden="false" customHeight="false" outlineLevel="0" collapsed="false">
      <c r="A367" s="1046"/>
      <c r="B367" s="1660"/>
      <c r="C367" s="1661"/>
      <c r="D367" s="1661"/>
      <c r="E367" s="1661"/>
      <c r="F367" s="1661"/>
      <c r="G367" s="1681"/>
      <c r="H367" s="1660"/>
      <c r="I367" s="1681"/>
    </row>
    <row r="368" s="273" customFormat="true" ht="15" hidden="false" customHeight="false" outlineLevel="0" collapsed="false">
      <c r="A368" s="1706" t="s">
        <v>998</v>
      </c>
      <c r="B368" s="1689" t="n">
        <f aca="false">'7.4.3 Inv. &amp; Depr.'!L126</f>
        <v>0</v>
      </c>
      <c r="C368" s="1669" t="n">
        <f aca="false">'7.4.3 Inv. &amp; Depr.'!L127</f>
        <v>0</v>
      </c>
      <c r="D368" s="1669" t="n">
        <f aca="false">'7.4.3 Inv. &amp; Depr.'!L128</f>
        <v>0</v>
      </c>
      <c r="E368" s="1669" t="n">
        <f aca="false">'7.4.3 Inv. &amp; Depr.'!L129</f>
        <v>0</v>
      </c>
      <c r="F368" s="1718" t="n">
        <v>0</v>
      </c>
      <c r="G368" s="1670" t="n">
        <f aca="false">'7.4.3 Inv. &amp; Depr.'!L121+'7.4.3 Inv. &amp; Depr.'!L130</f>
        <v>59971</v>
      </c>
      <c r="H368" s="1668" t="n">
        <f aca="false">SUM(B368:G368)</f>
        <v>59971</v>
      </c>
      <c r="I368" s="1670" t="n">
        <f aca="false">SUM(B368:G368)</f>
        <v>59971</v>
      </c>
    </row>
    <row r="369" customFormat="false" ht="15" hidden="false" customHeight="false" outlineLevel="0" collapsed="false">
      <c r="A369" s="1046"/>
      <c r="B369" s="1660"/>
      <c r="C369" s="1661"/>
      <c r="D369" s="1661"/>
      <c r="E369" s="1661"/>
      <c r="F369" s="1661"/>
      <c r="G369" s="1681"/>
      <c r="H369" s="1660"/>
      <c r="I369" s="1681"/>
    </row>
    <row r="370" customFormat="false" ht="15" hidden="false" customHeight="false" outlineLevel="0" collapsed="false">
      <c r="A370" s="1677"/>
      <c r="B370" s="1652"/>
      <c r="C370" s="1653"/>
      <c r="D370" s="1653"/>
      <c r="E370" s="1653"/>
      <c r="F370" s="1653"/>
      <c r="G370" s="1700"/>
      <c r="H370" s="1701"/>
      <c r="I370" s="1654"/>
    </row>
    <row r="371" customFormat="false" ht="15" hidden="false" customHeight="false" outlineLevel="0" collapsed="false">
      <c r="A371" s="1060" t="s">
        <v>999</v>
      </c>
      <c r="B371" s="1668" t="n">
        <f aca="false">B340-B343-B345-B366-B368</f>
        <v>-410593.05656448</v>
      </c>
      <c r="C371" s="1669" t="n">
        <f aca="false">C340-C343-C345-C366-C368</f>
        <v>0</v>
      </c>
      <c r="D371" s="1669" t="n">
        <f aca="false">D340-D343-D345-D366-D368</f>
        <v>0</v>
      </c>
      <c r="E371" s="1669" t="e">
        <f aca="false">E340-E343-E345-E366-E368</f>
        <v>#VALUE!</v>
      </c>
      <c r="F371" s="1669" t="n">
        <f aca="false">F340-F343-F345-F366-F368</f>
        <v>0</v>
      </c>
      <c r="G371" s="1670" t="n">
        <f aca="false">G340-G343-G345-G366-G368</f>
        <v>-59971</v>
      </c>
      <c r="H371" s="1668" t="e">
        <f aca="false">H340-H343-H345-H366-H368</f>
        <v>#VALUE!</v>
      </c>
      <c r="I371" s="1671" t="e">
        <f aca="false">I340-I343-I345-I366-I368</f>
        <v>#VALUE!</v>
      </c>
    </row>
    <row r="372" customFormat="false" ht="15.75" hidden="false" customHeight="false" outlineLevel="0" collapsed="false">
      <c r="A372" s="1686"/>
      <c r="B372" s="1702"/>
      <c r="C372" s="1703"/>
      <c r="D372" s="1703"/>
      <c r="E372" s="1703"/>
      <c r="F372" s="1703"/>
      <c r="G372" s="1704"/>
      <c r="H372" s="1702"/>
      <c r="I372" s="1704"/>
    </row>
    <row r="373" customFormat="false" ht="15" hidden="false" customHeight="false" outlineLevel="0" collapsed="false">
      <c r="A373" s="1060"/>
      <c r="B373" s="1656"/>
      <c r="C373" s="1657"/>
      <c r="D373" s="1657"/>
      <c r="E373" s="1657"/>
      <c r="F373" s="1657"/>
      <c r="G373" s="1658"/>
      <c r="H373" s="1656"/>
      <c r="I373" s="1658"/>
    </row>
    <row r="374" customFormat="false" ht="15" hidden="false" customHeight="false" outlineLevel="0" collapsed="false">
      <c r="A374" s="1046" t="s">
        <v>1000</v>
      </c>
      <c r="B374" s="1660" t="n">
        <v>0</v>
      </c>
      <c r="C374" s="1661" t="n">
        <v>0</v>
      </c>
      <c r="D374" s="1661" t="n">
        <v>0</v>
      </c>
      <c r="E374" s="1661" t="n">
        <v>0</v>
      </c>
      <c r="F374" s="1661" t="n">
        <v>0</v>
      </c>
      <c r="G374" s="1681" t="e">
        <f aca="false">-'7.5.2 Fin. Income &amp; Expenses '!M70</f>
        <v>#VALUE!</v>
      </c>
      <c r="H374" s="1660" t="e">
        <f aca="false">SUM(B374:G374)</f>
        <v>#VALUE!</v>
      </c>
      <c r="I374" s="1681" t="e">
        <f aca="false">SUM(B374:G374)</f>
        <v>#VALUE!</v>
      </c>
    </row>
    <row r="375" customFormat="false" ht="15" hidden="false" customHeight="false" outlineLevel="0" collapsed="false">
      <c r="A375" s="1046" t="s">
        <v>1001</v>
      </c>
      <c r="B375" s="1660" t="n">
        <v>0</v>
      </c>
      <c r="C375" s="1661" t="n">
        <v>0</v>
      </c>
      <c r="D375" s="1661" t="n">
        <v>0</v>
      </c>
      <c r="E375" s="1661" t="n">
        <v>0</v>
      </c>
      <c r="F375" s="1661" t="n">
        <v>0</v>
      </c>
      <c r="G375" s="1681" t="n">
        <f aca="false">-'7.5.2 Fin. Income &amp; Expenses '!M71</f>
        <v>-15000</v>
      </c>
      <c r="H375" s="1660" t="n">
        <f aca="false">SUM(B375:G375)</f>
        <v>-15000</v>
      </c>
      <c r="I375" s="1681" t="n">
        <f aca="false">SUM(B375:G375)</f>
        <v>-15000</v>
      </c>
    </row>
    <row r="376" customFormat="false" ht="15" hidden="false" customHeight="false" outlineLevel="0" collapsed="false">
      <c r="A376" s="1046" t="s">
        <v>1002</v>
      </c>
      <c r="B376" s="1660" t="n">
        <v>0</v>
      </c>
      <c r="C376" s="1661" t="n">
        <v>0</v>
      </c>
      <c r="D376" s="1661" t="n">
        <v>0</v>
      </c>
      <c r="E376" s="1661" t="n">
        <v>0</v>
      </c>
      <c r="F376" s="1661" t="n">
        <v>0</v>
      </c>
      <c r="G376" s="1681" t="n">
        <f aca="false">-'7.5.2 Fin. Income &amp; Expenses '!M72</f>
        <v>-0</v>
      </c>
      <c r="H376" s="1660" t="n">
        <f aca="false">SUM(B376:G376)</f>
        <v>0</v>
      </c>
      <c r="I376" s="1681" t="n">
        <f aca="false">SUM(B376:G376)</f>
        <v>0</v>
      </c>
    </row>
    <row r="377" customFormat="false" ht="15" hidden="false" customHeight="false" outlineLevel="0" collapsed="false">
      <c r="A377" s="1046" t="s">
        <v>930</v>
      </c>
      <c r="B377" s="1663" t="n">
        <f aca="false">'7.5.1 Financial Requirements'!L38*'7.5.2 Fin. Income &amp; Expenses '!M52*'7.5.2 Fin. Income &amp; Expenses '!C73</f>
        <v>0</v>
      </c>
      <c r="C377" s="1665" t="n">
        <f aca="false">(('7.2.1 Turnover Vehicles'!K53+'7.2.1 Turnover Vehicles'!K54)/2)*'7.5.2 Fin. Income &amp; Expenses '!M53*'7.5.2 Fin. Income &amp; Expenses '!C73</f>
        <v>0</v>
      </c>
      <c r="D377" s="1665" t="n">
        <f aca="false">'7.5.1 Financial Requirements'!L39*'7.5.2 Fin. Income &amp; Expenses '!M54*'7.5.2 Fin. Income &amp; Expenses '!C73</f>
        <v>0</v>
      </c>
      <c r="E377" s="1665" t="n">
        <v>0</v>
      </c>
      <c r="F377" s="1665" t="n">
        <v>0</v>
      </c>
      <c r="G377" s="1681" t="n">
        <v>0</v>
      </c>
      <c r="H377" s="1663" t="n">
        <f aca="false">SUM(B377:G377)</f>
        <v>0</v>
      </c>
      <c r="I377" s="1667" t="n">
        <f aca="false">B377+C377+D377+F377+E377+G377</f>
        <v>0</v>
      </c>
    </row>
    <row r="378" s="273" customFormat="true" ht="15" hidden="false" customHeight="false" outlineLevel="0" collapsed="false">
      <c r="A378" s="1687" t="s">
        <v>1003</v>
      </c>
      <c r="B378" s="1668" t="n">
        <f aca="false">SUM(B374:B377)</f>
        <v>0</v>
      </c>
      <c r="C378" s="1669" t="n">
        <f aca="false">SUM(C374:C377)</f>
        <v>0</v>
      </c>
      <c r="D378" s="1669" t="n">
        <f aca="false">SUM(D374:D377)</f>
        <v>0</v>
      </c>
      <c r="E378" s="1669" t="n">
        <f aca="false">SUM(E374:E377)</f>
        <v>0</v>
      </c>
      <c r="F378" s="1669" t="n">
        <f aca="false">SUM(F374:F377)</f>
        <v>0</v>
      </c>
      <c r="G378" s="1685" t="e">
        <f aca="false">SUM(G374:G377)</f>
        <v>#VALUE!</v>
      </c>
      <c r="H378" s="1668" t="e">
        <f aca="false">SUM(H374:H377)</f>
        <v>#VALUE!</v>
      </c>
      <c r="I378" s="1670" t="e">
        <f aca="false">SUM(I374:I377)</f>
        <v>#VALUE!</v>
      </c>
    </row>
    <row r="379" s="273" customFormat="true" ht="15" hidden="false" customHeight="false" outlineLevel="0" collapsed="false">
      <c r="A379" s="1060"/>
      <c r="B379" s="1668"/>
      <c r="C379" s="1669"/>
      <c r="D379" s="1669"/>
      <c r="E379" s="1669"/>
      <c r="F379" s="1669"/>
      <c r="G379" s="1670"/>
      <c r="H379" s="1668"/>
      <c r="I379" s="1670"/>
    </row>
    <row r="380" s="273" customFormat="true" ht="15" hidden="false" customHeight="false" outlineLevel="0" collapsed="false">
      <c r="A380" s="1060" t="s">
        <v>1004</v>
      </c>
      <c r="B380" s="1668" t="n">
        <v>0</v>
      </c>
      <c r="C380" s="1669" t="n">
        <v>0</v>
      </c>
      <c r="D380" s="1669" t="n">
        <v>0</v>
      </c>
      <c r="E380" s="1669" t="n">
        <v>0</v>
      </c>
      <c r="F380" s="1669" t="n">
        <v>0</v>
      </c>
      <c r="G380" s="1670" t="e">
        <f aca="false">'7.5.2 Fin. Income &amp; Expenses '!M86</f>
        <v>#VALUE!</v>
      </c>
      <c r="H380" s="1668" t="e">
        <f aca="false">SUM(B380:G380)</f>
        <v>#VALUE!</v>
      </c>
      <c r="I380" s="1689" t="e">
        <f aca="false">SUM(B380:G380)</f>
        <v>#VALUE!</v>
      </c>
    </row>
    <row r="381" customFormat="false" ht="15" hidden="false" customHeight="false" outlineLevel="0" collapsed="false">
      <c r="A381" s="1672"/>
      <c r="B381" s="1680"/>
      <c r="C381" s="1709"/>
      <c r="D381" s="1709"/>
      <c r="E381" s="1709"/>
      <c r="F381" s="1709"/>
      <c r="G381" s="1675"/>
      <c r="H381" s="1673"/>
      <c r="I381" s="1679"/>
    </row>
    <row r="382" customFormat="false" ht="15" hidden="false" customHeight="false" outlineLevel="0" collapsed="false">
      <c r="A382" s="1046"/>
      <c r="B382" s="1656"/>
      <c r="C382" s="1657"/>
      <c r="D382" s="1657"/>
      <c r="E382" s="1657"/>
      <c r="F382" s="1657"/>
      <c r="G382" s="1681"/>
      <c r="H382" s="1660"/>
      <c r="I382" s="1658"/>
    </row>
    <row r="383" customFormat="false" ht="15" hidden="false" customHeight="false" outlineLevel="0" collapsed="false">
      <c r="A383" s="1060" t="s">
        <v>999</v>
      </c>
      <c r="B383" s="1668" t="n">
        <f aca="false">B371+B380+B378</f>
        <v>-410593.05656448</v>
      </c>
      <c r="C383" s="1669" t="n">
        <f aca="false">C371+C380+C378</f>
        <v>0</v>
      </c>
      <c r="D383" s="1669" t="n">
        <f aca="false">D371+D380+D378</f>
        <v>0</v>
      </c>
      <c r="E383" s="1669" t="e">
        <f aca="false">E371+E380+E378</f>
        <v>#VALUE!</v>
      </c>
      <c r="F383" s="1669" t="n">
        <f aca="false">F371+F380+F378</f>
        <v>0</v>
      </c>
      <c r="G383" s="1670" t="e">
        <f aca="false">G371+G380+G378</f>
        <v>#VALUE!</v>
      </c>
      <c r="H383" s="1668" t="e">
        <f aca="false">H371+H380+H378</f>
        <v>#VALUE!</v>
      </c>
      <c r="I383" s="1670" t="e">
        <f aca="false">I371+I380+I378</f>
        <v>#VALUE!</v>
      </c>
    </row>
    <row r="384" customFormat="false" ht="15.75" hidden="false" customHeight="false" outlineLevel="0" collapsed="false">
      <c r="A384" s="1686"/>
      <c r="B384" s="1702"/>
      <c r="C384" s="1703"/>
      <c r="D384" s="1703"/>
      <c r="E384" s="1703"/>
      <c r="F384" s="1703"/>
      <c r="G384" s="1704"/>
      <c r="H384" s="1702"/>
      <c r="I384" s="1704"/>
    </row>
  </sheetData>
  <printOptions headings="false" gridLines="false" gridLinesSet="true" horizontalCentered="true" verticalCentered="true"/>
  <pageMargins left="0.7875" right="0.7875" top="0.984027777777778" bottom="0.984027777777778" header="0.511805555555555" footer="0.511805555555555"/>
  <pageSetup paperSize="9" scale="41"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4" manualBreakCount="4">
    <brk id="77" man="true" max="16383" min="0"/>
    <brk id="154" man="true" max="16383" min="0"/>
    <brk id="231" man="true" max="16383" min="0"/>
    <brk id="308" man="true" max="16383" min="0"/>
  </rowBreaks>
  <drawing r:id="rId1"/>
</worksheet>
</file>

<file path=xl/worksheets/sheet55.xml><?xml version="1.0" encoding="utf-8"?>
<worksheet xmlns="http://schemas.openxmlformats.org/spreadsheetml/2006/main" xmlns:r="http://schemas.openxmlformats.org/officeDocument/2006/relationships">
  <sheetPr filterMode="false">
    <tabColor rgb="FFC0C0C0"/>
    <pageSetUpPr fitToPage="false"/>
  </sheetPr>
  <dimension ref="A1:X165"/>
  <sheetViews>
    <sheetView showFormulas="false" showGridLines="false" showRowColHeaders="true" showZeros="true" rightToLeft="false" tabSelected="false" showOutlineSymbols="true" defaultGridColor="true" view="normal" topLeftCell="A1" colorId="64" zoomScale="60" zoomScaleNormal="60" zoomScalePageLayoutView="75" workbookViewId="0">
      <pane xSplit="0" ySplit="1" topLeftCell="A2" activePane="bottomLeft" state="frozen"/>
      <selection pane="topLeft" activeCell="A1" activeCellId="0" sqref="A1"/>
      <selection pane="bottomLeft" activeCell="I15" activeCellId="0" sqref="I15"/>
    </sheetView>
  </sheetViews>
  <sheetFormatPr defaultRowHeight="15" zeroHeight="true" outlineLevelRow="0" outlineLevelCol="0"/>
  <cols>
    <col collapsed="false" customWidth="true" hidden="false" outlineLevel="0" max="1" min="1" style="1719" width="38.14"/>
    <col collapsed="false" customWidth="true" hidden="false" outlineLevel="0" max="15" min="2" style="71" width="13.57"/>
    <col collapsed="false" customWidth="true" hidden="false" outlineLevel="0" max="16" min="16" style="1634" width="13.57"/>
    <col collapsed="false" customWidth="true" hidden="false" outlineLevel="0" max="17" min="17" style="22" width="2"/>
    <col collapsed="false" customWidth="true" hidden="true" outlineLevel="0" max="1025" min="18" style="4" width="9.14"/>
  </cols>
  <sheetData>
    <row r="1" customFormat="false" ht="28.5" hidden="false" customHeight="false" outlineLevel="0" collapsed="false">
      <c r="A1" s="1720" t="s">
        <v>525</v>
      </c>
      <c r="B1" s="1721"/>
      <c r="C1" s="1721"/>
      <c r="D1" s="1721"/>
      <c r="E1" s="1721"/>
      <c r="F1" s="1721"/>
      <c r="G1" s="1721"/>
      <c r="H1" s="1721"/>
      <c r="I1" s="1722"/>
      <c r="J1" s="1723"/>
      <c r="K1" s="1721"/>
      <c r="L1" s="1721"/>
      <c r="M1" s="1721"/>
      <c r="N1" s="1721"/>
      <c r="O1" s="1721"/>
      <c r="P1" s="1724" t="s">
        <v>1008</v>
      </c>
    </row>
    <row r="2" customFormat="false" ht="15" hidden="false" customHeight="false" outlineLevel="0" collapsed="false">
      <c r="A2" s="1046"/>
      <c r="B2" s="48"/>
      <c r="C2" s="48"/>
      <c r="D2" s="48"/>
      <c r="E2" s="48"/>
      <c r="F2" s="48"/>
      <c r="G2" s="48"/>
      <c r="H2" s="48"/>
      <c r="I2" s="48"/>
      <c r="J2" s="848"/>
      <c r="K2" s="48"/>
      <c r="L2" s="48"/>
      <c r="M2" s="48"/>
      <c r="N2" s="48"/>
      <c r="O2" s="48"/>
      <c r="P2" s="1692"/>
    </row>
    <row r="3" customFormat="false" ht="18" hidden="false" customHeight="false" outlineLevel="0" collapsed="false">
      <c r="A3" s="1693" t="s">
        <v>34</v>
      </c>
      <c r="B3" s="363" t="str">
        <f aca="false">'Reference sheet'!$C$12</f>
        <v>TEST</v>
      </c>
      <c r="C3" s="364"/>
      <c r="D3" s="48"/>
      <c r="E3" s="48"/>
      <c r="F3" s="48"/>
      <c r="G3" s="48"/>
      <c r="H3" s="48"/>
      <c r="I3" s="48"/>
      <c r="J3" s="853" t="s">
        <v>46</v>
      </c>
      <c r="K3" s="852" t="n">
        <f aca="false">'Reference sheet'!$C$15</f>
        <v>1</v>
      </c>
      <c r="L3" s="853" t="s">
        <v>49</v>
      </c>
      <c r="M3" s="368" t="str">
        <f aca="false">'Reference sheet'!C$17</f>
        <v>July</v>
      </c>
      <c r="N3" s="854" t="n">
        <f aca="false">'Reference sheet'!D$17</f>
        <v>2018</v>
      </c>
      <c r="O3" s="365" t="s">
        <v>527</v>
      </c>
      <c r="P3" s="1725" t="str">
        <f aca="false">'Reference sheet'!$C$21</f>
        <v>EUR</v>
      </c>
    </row>
    <row r="4" customFormat="false" ht="15" hidden="false" customHeight="false" outlineLevel="0" collapsed="false">
      <c r="A4" s="1686"/>
      <c r="B4" s="126"/>
      <c r="C4" s="126"/>
      <c r="D4" s="126"/>
      <c r="E4" s="126"/>
      <c r="F4" s="126"/>
      <c r="G4" s="107"/>
      <c r="H4" s="107"/>
      <c r="I4" s="107"/>
      <c r="J4" s="126"/>
      <c r="K4" s="126"/>
      <c r="L4" s="126"/>
      <c r="M4" s="126"/>
      <c r="N4" s="126"/>
      <c r="O4" s="126"/>
      <c r="P4" s="678"/>
    </row>
    <row r="5" s="1729" customFormat="true" ht="19.5" hidden="false" customHeight="false" outlineLevel="0" collapsed="false">
      <c r="A5" s="1726"/>
      <c r="B5" s="1727" t="s">
        <v>974</v>
      </c>
      <c r="C5" s="1727"/>
      <c r="D5" s="1727"/>
      <c r="E5" s="1727"/>
      <c r="F5" s="1727"/>
      <c r="G5" s="1727" t="s">
        <v>684</v>
      </c>
      <c r="H5" s="1727"/>
      <c r="I5" s="1727"/>
      <c r="J5" s="1727"/>
      <c r="K5" s="1727"/>
      <c r="L5" s="1727" t="s">
        <v>42</v>
      </c>
      <c r="M5" s="1727"/>
      <c r="N5" s="1727"/>
      <c r="O5" s="1727"/>
      <c r="P5" s="1727"/>
      <c r="Q5" s="1728"/>
    </row>
    <row r="6" s="984" customFormat="true" ht="19.5" hidden="false" customHeight="false" outlineLevel="0" collapsed="false">
      <c r="A6" s="1730"/>
      <c r="B6" s="1731" t="n">
        <f aca="false">'7.5.3 VAT'!C5</f>
        <v>2019</v>
      </c>
      <c r="C6" s="1732" t="n">
        <f aca="false">'7.5.2 Fin. Income &amp; Expenses '!G6</f>
        <v>2020</v>
      </c>
      <c r="D6" s="1732" t="n">
        <f aca="false">'7.5.2 Fin. Income &amp; Expenses '!I6</f>
        <v>2021</v>
      </c>
      <c r="E6" s="1732" t="n">
        <f aca="false">'7.5.2 Fin. Income &amp; Expenses '!K6</f>
        <v>2022</v>
      </c>
      <c r="F6" s="1733" t="n">
        <f aca="false">'7.5.2 Fin. Income &amp; Expenses '!M6</f>
        <v>2023</v>
      </c>
      <c r="G6" s="1731" t="n">
        <f aca="false">B6</f>
        <v>2019</v>
      </c>
      <c r="H6" s="1732" t="n">
        <f aca="false">C6</f>
        <v>2020</v>
      </c>
      <c r="I6" s="1732" t="n">
        <f aca="false">D6</f>
        <v>2021</v>
      </c>
      <c r="J6" s="1732" t="n">
        <f aca="false">E6</f>
        <v>2022</v>
      </c>
      <c r="K6" s="1733" t="n">
        <f aca="false">F6</f>
        <v>2023</v>
      </c>
      <c r="L6" s="1731" t="n">
        <f aca="false">B6</f>
        <v>2019</v>
      </c>
      <c r="M6" s="1732" t="n">
        <f aca="false">C6</f>
        <v>2020</v>
      </c>
      <c r="N6" s="1732" t="n">
        <f aca="false">D6</f>
        <v>2021</v>
      </c>
      <c r="O6" s="1732" t="n">
        <f aca="false">E6</f>
        <v>2022</v>
      </c>
      <c r="P6" s="1733" t="n">
        <f aca="false">F6</f>
        <v>2023</v>
      </c>
      <c r="Q6" s="581"/>
    </row>
    <row r="7" s="577" customFormat="true" ht="15" hidden="false" customHeight="false" outlineLevel="0" collapsed="false">
      <c r="A7" s="1734"/>
      <c r="B7" s="1656"/>
      <c r="C7" s="1657"/>
      <c r="D7" s="1657"/>
      <c r="E7" s="1657"/>
      <c r="F7" s="1658"/>
      <c r="G7" s="1656"/>
      <c r="H7" s="1657"/>
      <c r="I7" s="1657"/>
      <c r="J7" s="1657"/>
      <c r="K7" s="1658"/>
      <c r="L7" s="1656"/>
      <c r="M7" s="1657"/>
      <c r="N7" s="1657"/>
      <c r="O7" s="1657"/>
      <c r="P7" s="1658"/>
      <c r="Q7" s="22"/>
    </row>
    <row r="8" s="577" customFormat="true" ht="15" hidden="false" customHeight="false" outlineLevel="0" collapsed="false">
      <c r="A8" s="1735" t="s">
        <v>604</v>
      </c>
      <c r="B8" s="1736"/>
      <c r="C8" s="1737"/>
      <c r="D8" s="1737"/>
      <c r="E8" s="1737"/>
      <c r="F8" s="1738"/>
      <c r="G8" s="1736"/>
      <c r="H8" s="1737"/>
      <c r="I8" s="1737"/>
      <c r="J8" s="1737"/>
      <c r="K8" s="1738"/>
      <c r="L8" s="1736"/>
      <c r="M8" s="1737"/>
      <c r="N8" s="1737"/>
      <c r="O8" s="1737"/>
      <c r="P8" s="1738"/>
      <c r="Q8" s="22"/>
    </row>
    <row r="9" s="577" customFormat="true" ht="15" hidden="false" customHeight="false" outlineLevel="0" collapsed="false">
      <c r="A9" s="1719" t="s">
        <v>978</v>
      </c>
      <c r="B9" s="1739"/>
      <c r="C9" s="1740"/>
      <c r="D9" s="1740"/>
      <c r="E9" s="1740"/>
      <c r="F9" s="1741"/>
      <c r="G9" s="1736"/>
      <c r="H9" s="1737"/>
      <c r="I9" s="1737"/>
      <c r="J9" s="1737"/>
      <c r="K9" s="1738"/>
      <c r="L9" s="1736"/>
      <c r="M9" s="1737"/>
      <c r="N9" s="1737"/>
      <c r="O9" s="1737"/>
      <c r="P9" s="1738"/>
      <c r="Q9" s="22"/>
    </row>
    <row r="10" s="577" customFormat="true" ht="15" hidden="false" customHeight="false" outlineLevel="0" collapsed="false">
      <c r="A10" s="1719" t="s">
        <v>979</v>
      </c>
      <c r="B10" s="1739" t="n">
        <f aca="false">'7.2.1 Turnover Vehicles'!C36</f>
        <v>0</v>
      </c>
      <c r="C10" s="1740" t="n">
        <f aca="false">'7.2.1 Turnover Vehicles'!E36</f>
        <v>0</v>
      </c>
      <c r="D10" s="1740" t="n">
        <f aca="false">'7.2.1 Turnover Vehicles'!G36</f>
        <v>0</v>
      </c>
      <c r="E10" s="1740" t="n">
        <f aca="false">'7.2.1 Turnover Vehicles'!I36</f>
        <v>0</v>
      </c>
      <c r="F10" s="1741" t="n">
        <f aca="false">'7.2.1 Turnover Vehicles'!K36</f>
        <v>0</v>
      </c>
      <c r="G10" s="1736" t="n">
        <v>0</v>
      </c>
      <c r="H10" s="1737" t="n">
        <v>0</v>
      </c>
      <c r="I10" s="1737" t="n">
        <v>0</v>
      </c>
      <c r="J10" s="1737" t="n">
        <v>0</v>
      </c>
      <c r="K10" s="1738" t="n">
        <v>0</v>
      </c>
      <c r="L10" s="1736" t="n">
        <v>0</v>
      </c>
      <c r="M10" s="1737" t="n">
        <v>0</v>
      </c>
      <c r="N10" s="1737" t="n">
        <v>0</v>
      </c>
      <c r="O10" s="1737" t="n">
        <v>0</v>
      </c>
      <c r="P10" s="1738" t="n">
        <v>0</v>
      </c>
      <c r="Q10" s="22"/>
    </row>
    <row r="11" s="577" customFormat="true" ht="15" hidden="false" customHeight="false" outlineLevel="0" collapsed="false">
      <c r="A11" s="1719" t="s">
        <v>980</v>
      </c>
      <c r="B11" s="1736" t="n">
        <v>0</v>
      </c>
      <c r="C11" s="1737" t="n">
        <v>0</v>
      </c>
      <c r="D11" s="1737" t="n">
        <v>0</v>
      </c>
      <c r="E11" s="1737" t="n">
        <v>0</v>
      </c>
      <c r="F11" s="1738" t="n">
        <v>0</v>
      </c>
      <c r="G11" s="1739" t="n">
        <f aca="false">'7.2.1 Turnover Vehicles'!C48</f>
        <v>0</v>
      </c>
      <c r="H11" s="1740" t="n">
        <f aca="false">'7.2.1 Turnover Vehicles'!E48</f>
        <v>0</v>
      </c>
      <c r="I11" s="1740" t="n">
        <f aca="false">'7.2.1 Turnover Vehicles'!G48</f>
        <v>0</v>
      </c>
      <c r="J11" s="1740" t="n">
        <f aca="false">'7.2.1 Turnover Vehicles'!I48</f>
        <v>0</v>
      </c>
      <c r="K11" s="1741" t="n">
        <f aca="false">'7.2.1 Turnover Vehicles'!K48</f>
        <v>0</v>
      </c>
      <c r="L11" s="1739" t="n">
        <f aca="false">'7.2.1 Turnover Vehicles'!C72</f>
        <v>0</v>
      </c>
      <c r="M11" s="1740" t="n">
        <f aca="false">'7.2.1 Turnover Vehicles'!E72</f>
        <v>0</v>
      </c>
      <c r="N11" s="1740" t="n">
        <f aca="false">'7.2.1 Turnover Vehicles'!G72</f>
        <v>0</v>
      </c>
      <c r="O11" s="1740" t="n">
        <f aca="false">'7.2.1 Turnover Vehicles'!I72</f>
        <v>0</v>
      </c>
      <c r="P11" s="1741" t="n">
        <f aca="false">'7.2.1 Turnover Vehicles'!K72</f>
        <v>0</v>
      </c>
      <c r="Q11" s="22"/>
    </row>
    <row r="12" s="577" customFormat="true" ht="15" hidden="false" customHeight="false" outlineLevel="0" collapsed="false">
      <c r="A12" s="1719" t="s">
        <v>981</v>
      </c>
      <c r="B12" s="1736" t="n">
        <v>0</v>
      </c>
      <c r="C12" s="1737" t="n">
        <v>0</v>
      </c>
      <c r="D12" s="1737" t="n">
        <v>0</v>
      </c>
      <c r="E12" s="1737" t="n">
        <v>0</v>
      </c>
      <c r="F12" s="1738" t="n">
        <v>0</v>
      </c>
      <c r="G12" s="1739" t="n">
        <v>0</v>
      </c>
      <c r="H12" s="1740" t="n">
        <v>0</v>
      </c>
      <c r="I12" s="1740" t="n">
        <v>0</v>
      </c>
      <c r="J12" s="1740" t="n">
        <v>0</v>
      </c>
      <c r="K12" s="1741" t="n">
        <v>0</v>
      </c>
      <c r="L12" s="1739" t="n">
        <v>0</v>
      </c>
      <c r="M12" s="1740" t="n">
        <v>0</v>
      </c>
      <c r="N12" s="1740" t="n">
        <v>0</v>
      </c>
      <c r="O12" s="1740" t="n">
        <v>0</v>
      </c>
      <c r="P12" s="1741" t="n">
        <v>0</v>
      </c>
      <c r="Q12" s="22"/>
    </row>
    <row r="13" s="577" customFormat="true" ht="15" hidden="false" customHeight="false" outlineLevel="0" collapsed="false">
      <c r="A13" s="1719" t="s">
        <v>982</v>
      </c>
      <c r="B13" s="1739" t="n">
        <v>0</v>
      </c>
      <c r="C13" s="1740" t="n">
        <v>0</v>
      </c>
      <c r="D13" s="1740" t="n">
        <v>0</v>
      </c>
      <c r="E13" s="1740" t="n">
        <v>0</v>
      </c>
      <c r="F13" s="1741" t="n">
        <v>0</v>
      </c>
      <c r="G13" s="1736" t="n">
        <v>0</v>
      </c>
      <c r="H13" s="1737" t="n">
        <v>0</v>
      </c>
      <c r="I13" s="1737" t="n">
        <v>0</v>
      </c>
      <c r="J13" s="1737" t="n">
        <v>0</v>
      </c>
      <c r="K13" s="1738" t="n">
        <v>0</v>
      </c>
      <c r="L13" s="1736" t="n">
        <v>0</v>
      </c>
      <c r="M13" s="1737" t="n">
        <v>0</v>
      </c>
      <c r="N13" s="1737" t="n">
        <v>0</v>
      </c>
      <c r="O13" s="1737" t="n">
        <v>0</v>
      </c>
      <c r="P13" s="1738" t="n">
        <v>0</v>
      </c>
      <c r="Q13" s="22"/>
    </row>
    <row r="14" s="577" customFormat="true" ht="15" hidden="false" customHeight="false" outlineLevel="0" collapsed="false">
      <c r="A14" s="1719" t="s">
        <v>708</v>
      </c>
      <c r="B14" s="1739" t="n">
        <v>0</v>
      </c>
      <c r="C14" s="1740" t="n">
        <v>0</v>
      </c>
      <c r="D14" s="1740" t="n">
        <v>0</v>
      </c>
      <c r="E14" s="1740" t="n">
        <v>0</v>
      </c>
      <c r="F14" s="1741" t="n">
        <v>0</v>
      </c>
      <c r="G14" s="1736" t="n">
        <v>0</v>
      </c>
      <c r="H14" s="1737" t="n">
        <v>0</v>
      </c>
      <c r="I14" s="1737" t="n">
        <v>0</v>
      </c>
      <c r="J14" s="1737" t="n">
        <v>0</v>
      </c>
      <c r="K14" s="1738" t="n">
        <v>0</v>
      </c>
      <c r="L14" s="1736" t="n">
        <v>0</v>
      </c>
      <c r="M14" s="1737" t="n">
        <v>0</v>
      </c>
      <c r="N14" s="1737" t="n">
        <v>0</v>
      </c>
      <c r="O14" s="1737" t="n">
        <v>0</v>
      </c>
      <c r="P14" s="1738" t="n">
        <v>0</v>
      </c>
      <c r="Q14" s="22"/>
    </row>
    <row r="15" s="577" customFormat="true" ht="15" hidden="false" customHeight="false" outlineLevel="0" collapsed="false">
      <c r="A15" s="1719" t="s">
        <v>983</v>
      </c>
      <c r="B15" s="1742" t="n">
        <v>0</v>
      </c>
      <c r="C15" s="1743" t="n">
        <v>0</v>
      </c>
      <c r="D15" s="1743" t="n">
        <v>0</v>
      </c>
      <c r="E15" s="1743" t="n">
        <v>0</v>
      </c>
      <c r="F15" s="1744" t="n">
        <v>0</v>
      </c>
      <c r="G15" s="1745" t="n">
        <v>0</v>
      </c>
      <c r="H15" s="1746" t="n">
        <v>0</v>
      </c>
      <c r="I15" s="1746" t="n">
        <v>0</v>
      </c>
      <c r="J15" s="1746" t="n">
        <v>0</v>
      </c>
      <c r="K15" s="1747" t="n">
        <v>0</v>
      </c>
      <c r="L15" s="1745" t="n">
        <v>0</v>
      </c>
      <c r="M15" s="1746" t="n">
        <v>0</v>
      </c>
      <c r="N15" s="1746" t="n">
        <v>0</v>
      </c>
      <c r="O15" s="1746" t="n">
        <v>0</v>
      </c>
      <c r="P15" s="1747" t="n">
        <v>0</v>
      </c>
      <c r="Q15" s="22"/>
    </row>
    <row r="16" s="1752" customFormat="true" ht="15" hidden="false" customHeight="false" outlineLevel="0" collapsed="false">
      <c r="A16" s="1735" t="s">
        <v>984</v>
      </c>
      <c r="B16" s="1748" t="n">
        <f aca="false">SUM(B10:B15)</f>
        <v>0</v>
      </c>
      <c r="C16" s="1749" t="n">
        <f aca="false">SUM(C10:C15)</f>
        <v>0</v>
      </c>
      <c r="D16" s="1749" t="n">
        <f aca="false">SUM(D10:D15)</f>
        <v>0</v>
      </c>
      <c r="E16" s="1749" t="n">
        <f aca="false">SUM(E10:E15)</f>
        <v>0</v>
      </c>
      <c r="F16" s="1750" t="n">
        <f aca="false">SUM(F10:F15)</f>
        <v>0</v>
      </c>
      <c r="G16" s="1748" t="n">
        <f aca="false">SUM(G11:G15)</f>
        <v>0</v>
      </c>
      <c r="H16" s="1749" t="n">
        <f aca="false">SUM(H11:H15)</f>
        <v>0</v>
      </c>
      <c r="I16" s="1749" t="n">
        <f aca="false">SUM(I11:I15)</f>
        <v>0</v>
      </c>
      <c r="J16" s="1749" t="n">
        <f aca="false">SUM(J11:J15)</f>
        <v>0</v>
      </c>
      <c r="K16" s="1750" t="n">
        <f aca="false">SUM(K11:K15)</f>
        <v>0</v>
      </c>
      <c r="L16" s="1748" t="n">
        <f aca="false">SUM(L10:L15)</f>
        <v>0</v>
      </c>
      <c r="M16" s="1749" t="n">
        <f aca="false">SUM(M10:M15)</f>
        <v>0</v>
      </c>
      <c r="N16" s="1749" t="n">
        <f aca="false">SUM(N10:N15)</f>
        <v>0</v>
      </c>
      <c r="O16" s="1749" t="n">
        <f aca="false">SUM(O10:O15)</f>
        <v>0</v>
      </c>
      <c r="P16" s="1750" t="n">
        <f aca="false">SUM(P10:P15)</f>
        <v>0</v>
      </c>
      <c r="Q16" s="1751"/>
    </row>
    <row r="17" s="1752" customFormat="true" ht="15" hidden="false" customHeight="false" outlineLevel="0" collapsed="false">
      <c r="A17" s="1753"/>
      <c r="B17" s="1754"/>
      <c r="C17" s="1755"/>
      <c r="D17" s="1755"/>
      <c r="E17" s="1755"/>
      <c r="F17" s="1756"/>
      <c r="G17" s="1754"/>
      <c r="H17" s="1755"/>
      <c r="I17" s="1755"/>
      <c r="J17" s="1755"/>
      <c r="K17" s="1756"/>
      <c r="L17" s="1754"/>
      <c r="M17" s="1755"/>
      <c r="N17" s="1755"/>
      <c r="O17" s="1755"/>
      <c r="P17" s="1756"/>
      <c r="Q17" s="271"/>
    </row>
    <row r="18" s="577" customFormat="true" ht="15" hidden="false" customHeight="false" outlineLevel="0" collapsed="false">
      <c r="A18" s="1734"/>
      <c r="B18" s="1757"/>
      <c r="C18" s="1758"/>
      <c r="D18" s="1758"/>
      <c r="E18" s="1758"/>
      <c r="F18" s="1759"/>
      <c r="G18" s="1757"/>
      <c r="H18" s="1758"/>
      <c r="I18" s="1758"/>
      <c r="J18" s="1758"/>
      <c r="K18" s="1759"/>
      <c r="L18" s="1757"/>
      <c r="M18" s="1758"/>
      <c r="N18" s="1758"/>
      <c r="O18" s="1758"/>
      <c r="P18" s="1759"/>
      <c r="Q18" s="22"/>
    </row>
    <row r="19" s="577" customFormat="true" ht="15" hidden="false" customHeight="false" outlineLevel="0" collapsed="false">
      <c r="A19" s="1735" t="s">
        <v>985</v>
      </c>
      <c r="B19" s="1736"/>
      <c r="C19" s="1737"/>
      <c r="D19" s="1737"/>
      <c r="E19" s="1737"/>
      <c r="F19" s="1738"/>
      <c r="G19" s="1736"/>
      <c r="H19" s="1737"/>
      <c r="I19" s="1737"/>
      <c r="J19" s="1737"/>
      <c r="K19" s="1738"/>
      <c r="L19" s="1736"/>
      <c r="M19" s="1737"/>
      <c r="N19" s="1737"/>
      <c r="O19" s="1737"/>
      <c r="P19" s="1738"/>
      <c r="Q19" s="22"/>
    </row>
    <row r="20" s="577" customFormat="true" ht="15" hidden="false" customHeight="false" outlineLevel="0" collapsed="false">
      <c r="A20" s="1719" t="s">
        <v>978</v>
      </c>
      <c r="B20" s="1736"/>
      <c r="C20" s="1737"/>
      <c r="D20" s="1737"/>
      <c r="E20" s="1737"/>
      <c r="F20" s="1738"/>
      <c r="G20" s="1736"/>
      <c r="H20" s="1737"/>
      <c r="I20" s="1737"/>
      <c r="J20" s="1737"/>
      <c r="K20" s="1738"/>
      <c r="L20" s="1736"/>
      <c r="M20" s="1737"/>
      <c r="N20" s="1737"/>
      <c r="O20" s="1737"/>
      <c r="P20" s="1738"/>
      <c r="Q20" s="22"/>
    </row>
    <row r="21" s="577" customFormat="true" ht="15" hidden="false" customHeight="false" outlineLevel="0" collapsed="false">
      <c r="A21" s="1719" t="s">
        <v>979</v>
      </c>
      <c r="B21" s="1739" t="n">
        <f aca="false">'7.3 Cost of sales'!C58+'7.3 Cost of sales'!C59</f>
        <v>-10</v>
      </c>
      <c r="C21" s="1740" t="n">
        <f aca="false">'7.3 Cost of sales'!E58+'7.3 Cost of sales'!E59</f>
        <v>0</v>
      </c>
      <c r="D21" s="1740" t="n">
        <f aca="false">'7.3 Cost of sales'!G58+'7.3 Cost of sales'!G59</f>
        <v>0</v>
      </c>
      <c r="E21" s="1740" t="n">
        <f aca="false">'7.3 Cost of sales'!I58+'7.3 Cost of sales'!I59</f>
        <v>0</v>
      </c>
      <c r="F21" s="1741" t="n">
        <f aca="false">'7.3 Cost of sales'!K58+'7.3 Cost of sales'!K59</f>
        <v>0</v>
      </c>
      <c r="G21" s="1736" t="n">
        <v>0</v>
      </c>
      <c r="H21" s="1737" t="n">
        <v>0</v>
      </c>
      <c r="I21" s="1737" t="n">
        <v>0</v>
      </c>
      <c r="J21" s="1737" t="n">
        <v>0</v>
      </c>
      <c r="K21" s="1738" t="n">
        <v>0</v>
      </c>
      <c r="L21" s="1736" t="n">
        <v>0</v>
      </c>
      <c r="M21" s="1737" t="n">
        <v>0</v>
      </c>
      <c r="N21" s="1737" t="n">
        <v>0</v>
      </c>
      <c r="O21" s="1737" t="n">
        <v>0</v>
      </c>
      <c r="P21" s="1738" t="n">
        <v>0</v>
      </c>
      <c r="Q21" s="22"/>
    </row>
    <row r="22" s="577" customFormat="true" ht="15" hidden="false" customHeight="false" outlineLevel="0" collapsed="false">
      <c r="A22" s="1719" t="s">
        <v>980</v>
      </c>
      <c r="B22" s="1736" t="n">
        <v>0</v>
      </c>
      <c r="C22" s="1737" t="n">
        <v>0</v>
      </c>
      <c r="D22" s="1737" t="n">
        <v>0</v>
      </c>
      <c r="E22" s="1737" t="n">
        <v>0</v>
      </c>
      <c r="F22" s="1738" t="n">
        <v>0</v>
      </c>
      <c r="G22" s="1739" t="n">
        <f aca="false">'7.3 Cost of sales'!C60</f>
        <v>0</v>
      </c>
      <c r="H22" s="1740" t="n">
        <f aca="false">'7.3 Cost of sales'!E60</f>
        <v>0</v>
      </c>
      <c r="I22" s="1740" t="n">
        <f aca="false">'7.3 Cost of sales'!G60</f>
        <v>0</v>
      </c>
      <c r="J22" s="1740" t="n">
        <f aca="false">'7.3 Cost of sales'!I60</f>
        <v>0</v>
      </c>
      <c r="K22" s="1741" t="n">
        <f aca="false">'7.3 Cost of sales'!K60</f>
        <v>0</v>
      </c>
      <c r="L22" s="1739" t="n">
        <f aca="false">'7.3 Cost of sales'!C61</f>
        <v>0</v>
      </c>
      <c r="M22" s="1740" t="n">
        <f aca="false">'7.3 Cost of sales'!E61</f>
        <v>0</v>
      </c>
      <c r="N22" s="1740" t="n">
        <f aca="false">'7.3 Cost of sales'!G61</f>
        <v>0</v>
      </c>
      <c r="O22" s="1740" t="n">
        <f aca="false">'7.3 Cost of sales'!I61</f>
        <v>0</v>
      </c>
      <c r="P22" s="1741" t="n">
        <f aca="false">'7.3 Cost of sales'!K61</f>
        <v>0</v>
      </c>
      <c r="Q22" s="22"/>
    </row>
    <row r="23" s="577" customFormat="true" ht="15" hidden="false" customHeight="false" outlineLevel="0" collapsed="false">
      <c r="A23" s="1719" t="s">
        <v>981</v>
      </c>
      <c r="B23" s="1736" t="n">
        <v>0</v>
      </c>
      <c r="C23" s="1737" t="n">
        <v>0</v>
      </c>
      <c r="D23" s="1737" t="n">
        <v>0</v>
      </c>
      <c r="E23" s="1737" t="n">
        <v>0</v>
      </c>
      <c r="F23" s="1738" t="n">
        <v>0</v>
      </c>
      <c r="G23" s="1739" t="n">
        <v>0</v>
      </c>
      <c r="H23" s="1740" t="n">
        <v>0</v>
      </c>
      <c r="I23" s="1740" t="n">
        <v>0</v>
      </c>
      <c r="J23" s="1740" t="n">
        <v>0</v>
      </c>
      <c r="K23" s="1741" t="n">
        <v>0</v>
      </c>
      <c r="L23" s="1739" t="n">
        <v>0</v>
      </c>
      <c r="M23" s="1740" t="n">
        <v>0</v>
      </c>
      <c r="N23" s="1740" t="n">
        <v>0</v>
      </c>
      <c r="O23" s="1740" t="n">
        <v>0</v>
      </c>
      <c r="P23" s="1741" t="n">
        <v>0</v>
      </c>
      <c r="Q23" s="22"/>
    </row>
    <row r="24" s="577" customFormat="true" ht="15" hidden="false" customHeight="false" outlineLevel="0" collapsed="false">
      <c r="A24" s="1719" t="s">
        <v>982</v>
      </c>
      <c r="B24" s="1736" t="n">
        <v>0</v>
      </c>
      <c r="C24" s="1737" t="n">
        <v>0</v>
      </c>
      <c r="D24" s="1737" t="n">
        <v>0</v>
      </c>
      <c r="E24" s="1737" t="n">
        <v>0</v>
      </c>
      <c r="F24" s="1738" t="n">
        <v>0</v>
      </c>
      <c r="G24" s="1736" t="n">
        <v>0</v>
      </c>
      <c r="H24" s="1737" t="n">
        <v>0</v>
      </c>
      <c r="I24" s="1737" t="n">
        <v>0</v>
      </c>
      <c r="J24" s="1737" t="n">
        <v>0</v>
      </c>
      <c r="K24" s="1738" t="n">
        <v>0</v>
      </c>
      <c r="L24" s="1736" t="n">
        <v>0</v>
      </c>
      <c r="M24" s="1737" t="n">
        <v>0</v>
      </c>
      <c r="N24" s="1737" t="n">
        <v>0</v>
      </c>
      <c r="O24" s="1737" t="n">
        <v>0</v>
      </c>
      <c r="P24" s="1738" t="n">
        <v>0</v>
      </c>
      <c r="Q24" s="22"/>
    </row>
    <row r="25" s="577" customFormat="true" ht="15" hidden="false" customHeight="false" outlineLevel="0" collapsed="false">
      <c r="A25" s="1719" t="s">
        <v>986</v>
      </c>
      <c r="B25" s="1736" t="n">
        <v>0</v>
      </c>
      <c r="C25" s="1740" t="n">
        <v>0</v>
      </c>
      <c r="D25" s="1737" t="n">
        <v>0</v>
      </c>
      <c r="E25" s="1740" t="n">
        <v>0</v>
      </c>
      <c r="F25" s="1741" t="n">
        <v>0</v>
      </c>
      <c r="G25" s="1736" t="n">
        <v>0</v>
      </c>
      <c r="H25" s="1740" t="n">
        <v>0</v>
      </c>
      <c r="I25" s="1740" t="n">
        <v>0</v>
      </c>
      <c r="J25" s="1740" t="n">
        <v>0</v>
      </c>
      <c r="K25" s="1741" t="n">
        <v>0</v>
      </c>
      <c r="L25" s="1736" t="n">
        <v>0</v>
      </c>
      <c r="M25" s="1740" t="n">
        <v>0</v>
      </c>
      <c r="N25" s="1740" t="n">
        <v>0</v>
      </c>
      <c r="O25" s="1740" t="n">
        <v>0</v>
      </c>
      <c r="P25" s="1741" t="n">
        <v>0</v>
      </c>
      <c r="Q25" s="22"/>
    </row>
    <row r="26" s="577" customFormat="true" ht="15" hidden="false" customHeight="false" outlineLevel="0" collapsed="false">
      <c r="A26" s="1719" t="s">
        <v>987</v>
      </c>
      <c r="B26" s="1739" t="n">
        <f aca="false">-'7.3 Cost of sales'!C67</f>
        <v>0</v>
      </c>
      <c r="C26" s="1740" t="n">
        <f aca="false">-'7.3 Cost of sales'!E67</f>
        <v>-0</v>
      </c>
      <c r="D26" s="1740" t="n">
        <f aca="false">-'7.3 Cost of sales'!G67</f>
        <v>-0</v>
      </c>
      <c r="E26" s="1740" t="n">
        <f aca="false">-'7.3 Cost of sales'!I67</f>
        <v>-0</v>
      </c>
      <c r="F26" s="1741" t="n">
        <f aca="false">-'7.3 Cost of sales'!K67</f>
        <v>-0</v>
      </c>
      <c r="G26" s="1736" t="n">
        <v>0</v>
      </c>
      <c r="H26" s="1737" t="n">
        <v>0</v>
      </c>
      <c r="I26" s="1737" t="n">
        <v>0</v>
      </c>
      <c r="J26" s="1737" t="n">
        <v>0</v>
      </c>
      <c r="K26" s="1738" t="n">
        <v>0</v>
      </c>
      <c r="L26" s="1739" t="n">
        <f aca="false">-'7.3 Cost of sales'!C68</f>
        <v>-0</v>
      </c>
      <c r="M26" s="1740" t="n">
        <f aca="false">-'7.3 Cost of sales'!E68</f>
        <v>-0</v>
      </c>
      <c r="N26" s="1740" t="n">
        <f aca="false">-'7.3 Cost of sales'!G68</f>
        <v>-0</v>
      </c>
      <c r="O26" s="1740" t="n">
        <f aca="false">-'7.3 Cost of sales'!I68</f>
        <v>-0</v>
      </c>
      <c r="P26" s="1741" t="n">
        <f aca="false">-'7.3 Cost of sales'!K68</f>
        <v>-0</v>
      </c>
      <c r="Q26" s="22"/>
    </row>
    <row r="27" s="577" customFormat="true" ht="15" hidden="false" customHeight="false" outlineLevel="0" collapsed="false">
      <c r="A27" s="1719" t="s">
        <v>708</v>
      </c>
      <c r="B27" s="1739" t="n">
        <v>0</v>
      </c>
      <c r="C27" s="1740" t="n">
        <v>0</v>
      </c>
      <c r="D27" s="1740" t="n">
        <v>0</v>
      </c>
      <c r="E27" s="1740" t="n">
        <v>0</v>
      </c>
      <c r="F27" s="1741" t="n">
        <v>0</v>
      </c>
      <c r="G27" s="1736" t="n">
        <v>0</v>
      </c>
      <c r="H27" s="1737" t="n">
        <v>0</v>
      </c>
      <c r="I27" s="1737" t="n">
        <v>0</v>
      </c>
      <c r="J27" s="1737" t="n">
        <v>0</v>
      </c>
      <c r="K27" s="1738" t="n">
        <v>0</v>
      </c>
      <c r="L27" s="1739" t="n">
        <v>0</v>
      </c>
      <c r="M27" s="1740" t="n">
        <v>0</v>
      </c>
      <c r="N27" s="1740" t="n">
        <v>0</v>
      </c>
      <c r="O27" s="1740" t="n">
        <v>0</v>
      </c>
      <c r="P27" s="1741" t="n">
        <v>0</v>
      </c>
      <c r="Q27" s="22"/>
    </row>
    <row r="28" s="577" customFormat="true" ht="15" hidden="false" customHeight="false" outlineLevel="0" collapsed="false">
      <c r="A28" s="1719" t="s">
        <v>983</v>
      </c>
      <c r="B28" s="1742" t="n">
        <f aca="false">'7.2.3 Turnover Service &amp; Body'!C39+'7.2.2 Turnover Parts'!C26</f>
        <v>10</v>
      </c>
      <c r="C28" s="1743" t="n">
        <f aca="false">'7.2.3 Turnover Service &amp; Body'!E39+'7.2.2 Turnover Parts'!E26</f>
        <v>0</v>
      </c>
      <c r="D28" s="1743" t="n">
        <f aca="false">'7.2.3 Turnover Service &amp; Body'!G39+'7.2.2 Turnover Parts'!G26</f>
        <v>0</v>
      </c>
      <c r="E28" s="1743" t="n">
        <f aca="false">'7.2.3 Turnover Service &amp; Body'!I39+'7.2.2 Turnover Parts'!I26</f>
        <v>0</v>
      </c>
      <c r="F28" s="1744" t="n">
        <f aca="false">'7.2.3 Turnover Service &amp; Body'!K39+'7.2.2 Turnover Parts'!K26</f>
        <v>0</v>
      </c>
      <c r="G28" s="1742" t="n">
        <f aca="false">'7.2.3 Turnover Service &amp; Body'!C40+'7.2.2 Turnover Parts'!C27</f>
        <v>0</v>
      </c>
      <c r="H28" s="1743" t="n">
        <f aca="false">'7.2.3 Turnover Service &amp; Body'!E40+'7.2.2 Turnover Parts'!E27</f>
        <v>0</v>
      </c>
      <c r="I28" s="1743" t="n">
        <f aca="false">'7.2.3 Turnover Service &amp; Body'!G40+'7.2.2 Turnover Parts'!G27</f>
        <v>0</v>
      </c>
      <c r="J28" s="1743" t="n">
        <f aca="false">'7.2.3 Turnover Service &amp; Body'!I40+'7.2.2 Turnover Parts'!I27</f>
        <v>0</v>
      </c>
      <c r="K28" s="1744" t="n">
        <f aca="false">'7.2.3 Turnover Service &amp; Body'!K40+'7.2.2 Turnover Parts'!K27</f>
        <v>0</v>
      </c>
      <c r="L28" s="1745" t="n">
        <v>0</v>
      </c>
      <c r="M28" s="1746" t="n">
        <v>0</v>
      </c>
      <c r="N28" s="1746" t="n">
        <v>0</v>
      </c>
      <c r="O28" s="1746" t="n">
        <v>0</v>
      </c>
      <c r="P28" s="1747" t="n">
        <v>0</v>
      </c>
      <c r="Q28" s="22"/>
    </row>
    <row r="29" s="1752" customFormat="true" ht="15" hidden="false" customHeight="false" outlineLevel="0" collapsed="false">
      <c r="A29" s="1735" t="s">
        <v>988</v>
      </c>
      <c r="B29" s="1748" t="n">
        <f aca="false">SUM(B21:B28)</f>
        <v>0</v>
      </c>
      <c r="C29" s="1749" t="n">
        <f aca="false">SUM(C21:C28)</f>
        <v>0</v>
      </c>
      <c r="D29" s="1749" t="n">
        <f aca="false">SUM(D21:D28)</f>
        <v>0</v>
      </c>
      <c r="E29" s="1749" t="n">
        <f aca="false">SUM(E21:E28)</f>
        <v>0</v>
      </c>
      <c r="F29" s="1750" t="n">
        <f aca="false">SUM(F21:F28)</f>
        <v>0</v>
      </c>
      <c r="G29" s="1748" t="n">
        <f aca="false">SUM(G21:G28)</f>
        <v>0</v>
      </c>
      <c r="H29" s="1749" t="n">
        <f aca="false">SUM(H21:H28)</f>
        <v>0</v>
      </c>
      <c r="I29" s="1749" t="n">
        <f aca="false">SUM(I21:I28)</f>
        <v>0</v>
      </c>
      <c r="J29" s="1749" t="n">
        <f aca="false">SUM(J21:J28)</f>
        <v>0</v>
      </c>
      <c r="K29" s="1750" t="n">
        <f aca="false">SUM(K21:K28)</f>
        <v>0</v>
      </c>
      <c r="L29" s="1748" t="n">
        <f aca="false">SUM(L21:L28)</f>
        <v>0</v>
      </c>
      <c r="M29" s="1749" t="n">
        <f aca="false">SUM(M21:M28)</f>
        <v>0</v>
      </c>
      <c r="N29" s="1749" t="n">
        <f aca="false">SUM(N21:N28)</f>
        <v>0</v>
      </c>
      <c r="O29" s="1749" t="n">
        <f aca="false">SUM(O21:O28)</f>
        <v>0</v>
      </c>
      <c r="P29" s="1750" t="n">
        <f aca="false">SUM(P21:P28)</f>
        <v>0</v>
      </c>
      <c r="Q29" s="1751"/>
    </row>
    <row r="30" s="1752" customFormat="true" ht="15" hidden="false" customHeight="false" outlineLevel="0" collapsed="false">
      <c r="A30" s="1753"/>
      <c r="B30" s="1754"/>
      <c r="C30" s="1755"/>
      <c r="D30" s="1755"/>
      <c r="E30" s="1755"/>
      <c r="F30" s="1756"/>
      <c r="G30" s="1754"/>
      <c r="H30" s="1755"/>
      <c r="I30" s="1755"/>
      <c r="J30" s="1755"/>
      <c r="K30" s="1756"/>
      <c r="L30" s="1754"/>
      <c r="M30" s="1755"/>
      <c r="N30" s="1755"/>
      <c r="O30" s="1755"/>
      <c r="P30" s="1756"/>
      <c r="Q30" s="271"/>
    </row>
    <row r="31" s="577" customFormat="true" ht="15" hidden="false" customHeight="false" outlineLevel="0" collapsed="false">
      <c r="A31" s="1734"/>
      <c r="B31" s="1757"/>
      <c r="C31" s="1758"/>
      <c r="D31" s="1758"/>
      <c r="E31" s="1758"/>
      <c r="F31" s="1759"/>
      <c r="G31" s="1757"/>
      <c r="H31" s="1758"/>
      <c r="I31" s="1758"/>
      <c r="J31" s="1758"/>
      <c r="K31" s="1759"/>
      <c r="L31" s="1757"/>
      <c r="M31" s="1758"/>
      <c r="N31" s="1758"/>
      <c r="O31" s="1758"/>
      <c r="P31" s="1759"/>
      <c r="Q31" s="22"/>
    </row>
    <row r="32" s="1752" customFormat="true" ht="15" hidden="false" customHeight="false" outlineLevel="0" collapsed="false">
      <c r="A32" s="1735" t="s">
        <v>989</v>
      </c>
      <c r="B32" s="1748" t="n">
        <f aca="false">B16-B29</f>
        <v>0</v>
      </c>
      <c r="C32" s="1749" t="n">
        <f aca="false">C16-C29</f>
        <v>0</v>
      </c>
      <c r="D32" s="1749" t="n">
        <f aca="false">D16-D29</f>
        <v>0</v>
      </c>
      <c r="E32" s="1749" t="n">
        <f aca="false">E16-E29</f>
        <v>0</v>
      </c>
      <c r="F32" s="1750" t="n">
        <f aca="false">F16-F29</f>
        <v>0</v>
      </c>
      <c r="G32" s="1748" t="n">
        <f aca="false">G16-G29</f>
        <v>0</v>
      </c>
      <c r="H32" s="1749" t="n">
        <f aca="false">H16-H29</f>
        <v>0</v>
      </c>
      <c r="I32" s="1749" t="n">
        <f aca="false">I16-I29</f>
        <v>0</v>
      </c>
      <c r="J32" s="1749" t="n">
        <f aca="false">J16-J29</f>
        <v>0</v>
      </c>
      <c r="K32" s="1750" t="n">
        <f aca="false">K16-K29</f>
        <v>0</v>
      </c>
      <c r="L32" s="1748" t="n">
        <f aca="false">L16-L29</f>
        <v>0</v>
      </c>
      <c r="M32" s="1749" t="n">
        <f aca="false">M16-M29</f>
        <v>0</v>
      </c>
      <c r="N32" s="1749" t="n">
        <f aca="false">N16-N29</f>
        <v>0</v>
      </c>
      <c r="O32" s="1749" t="n">
        <f aca="false">O16-O29</f>
        <v>0</v>
      </c>
      <c r="P32" s="1750" t="n">
        <f aca="false">P16-P29</f>
        <v>0</v>
      </c>
      <c r="Q32" s="1751"/>
    </row>
    <row r="33" s="1752" customFormat="true" ht="15" hidden="false" customHeight="false" outlineLevel="0" collapsed="false">
      <c r="A33" s="1735"/>
      <c r="B33" s="1748"/>
      <c r="C33" s="1749"/>
      <c r="D33" s="1749"/>
      <c r="E33" s="1749"/>
      <c r="F33" s="1750"/>
      <c r="G33" s="1748"/>
      <c r="H33" s="1749"/>
      <c r="I33" s="1749"/>
      <c r="J33" s="1749"/>
      <c r="K33" s="1750"/>
      <c r="L33" s="1748"/>
      <c r="M33" s="1749"/>
      <c r="N33" s="1749"/>
      <c r="O33" s="1749"/>
      <c r="P33" s="1750"/>
      <c r="Q33" s="1751"/>
    </row>
    <row r="34" s="1765" customFormat="true" ht="15" hidden="false" customHeight="false" outlineLevel="0" collapsed="false">
      <c r="A34" s="1760" t="s">
        <v>1009</v>
      </c>
      <c r="B34" s="1761" t="n">
        <f aca="false">IF(B16=0,0,B32/B16)</f>
        <v>0</v>
      </c>
      <c r="C34" s="1762" t="n">
        <f aca="false">IF(C16=0,0,C32/C16)</f>
        <v>0</v>
      </c>
      <c r="D34" s="1762" t="n">
        <f aca="false">IF(D16=0,0,D32/D16)</f>
        <v>0</v>
      </c>
      <c r="E34" s="1762" t="n">
        <f aca="false">IF(E16=0,0,E32/E16)</f>
        <v>0</v>
      </c>
      <c r="F34" s="1763" t="n">
        <f aca="false">IF(F16=0,0,F32/F16)</f>
        <v>0</v>
      </c>
      <c r="G34" s="1761" t="n">
        <f aca="false">IF(G16=0,0,G32/G16)</f>
        <v>0</v>
      </c>
      <c r="H34" s="1762" t="n">
        <f aca="false">IF(H16=0,0,H32/H16)</f>
        <v>0</v>
      </c>
      <c r="I34" s="1762" t="n">
        <f aca="false">IF(I16=0,0,I32/I16)</f>
        <v>0</v>
      </c>
      <c r="J34" s="1762" t="n">
        <f aca="false">IF(J16=0,0,J32/J16)</f>
        <v>0</v>
      </c>
      <c r="K34" s="1763" t="n">
        <f aca="false">IF(K16=0,0,K32/K16)</f>
        <v>0</v>
      </c>
      <c r="L34" s="1761" t="n">
        <f aca="false">IF(L16=0,0,L32/L16)</f>
        <v>0</v>
      </c>
      <c r="M34" s="1762" t="n">
        <f aca="false">IF(M16=0,0,M32/M16)</f>
        <v>0</v>
      </c>
      <c r="N34" s="1762" t="n">
        <f aca="false">IF(N16=0,0,N32/N16)</f>
        <v>0</v>
      </c>
      <c r="O34" s="1762" t="n">
        <f aca="false">IF(O16=0,0,O32/O16)</f>
        <v>0</v>
      </c>
      <c r="P34" s="1763" t="n">
        <f aca="false">IF(P16=0,0,P32/P16)</f>
        <v>0</v>
      </c>
      <c r="Q34" s="1764"/>
    </row>
    <row r="35" s="1752" customFormat="true" ht="15" hidden="false" customHeight="false" outlineLevel="0" collapsed="false">
      <c r="A35" s="1753"/>
      <c r="B35" s="1754"/>
      <c r="C35" s="1755"/>
      <c r="D35" s="1755"/>
      <c r="E35" s="1755"/>
      <c r="F35" s="1756"/>
      <c r="G35" s="1754"/>
      <c r="H35" s="1755"/>
      <c r="I35" s="1755"/>
      <c r="J35" s="1755"/>
      <c r="K35" s="1756"/>
      <c r="L35" s="1754"/>
      <c r="M35" s="1755"/>
      <c r="N35" s="1755"/>
      <c r="O35" s="1755"/>
      <c r="P35" s="1756"/>
      <c r="Q35" s="271"/>
    </row>
    <row r="36" s="577" customFormat="true" ht="15" hidden="false" customHeight="false" outlineLevel="0" collapsed="false">
      <c r="A36" s="1734"/>
      <c r="B36" s="1757"/>
      <c r="C36" s="1758"/>
      <c r="D36" s="1758"/>
      <c r="E36" s="1758"/>
      <c r="F36" s="1759"/>
      <c r="G36" s="1757"/>
      <c r="H36" s="1758"/>
      <c r="I36" s="1758"/>
      <c r="J36" s="1758"/>
      <c r="K36" s="1759"/>
      <c r="L36" s="1757"/>
      <c r="M36" s="1758"/>
      <c r="N36" s="1758"/>
      <c r="O36" s="1758"/>
      <c r="P36" s="1759"/>
      <c r="Q36" s="22"/>
    </row>
    <row r="37" s="1769" customFormat="true" ht="15" hidden="false" customHeight="false" outlineLevel="0" collapsed="false">
      <c r="A37" s="1766" t="s">
        <v>1010</v>
      </c>
      <c r="B37" s="1668" t="n">
        <f aca="false">'7.2.1 Turnover Vehicles'!C$84*'7.4.1 Salaries &amp; Wages'!C77*(1+'7.4.1 Salaries &amp; Wages'!B$78)+('7.4.2 Selling &amp; Oper. expenses'!C9*'7.4.2 Selling &amp; Oper. expenses'!E63)</f>
        <v>650</v>
      </c>
      <c r="C37" s="1669" t="n">
        <f aca="false">'7.2.1 Turnover Vehicles'!E$84*'7.4.1 Salaries &amp; Wages'!E$77*(1+'7.4.1 Salaries &amp; Wages'!B$78)+('7.4.2 Selling &amp; Oper. expenses'!E9*'7.4.2 Selling &amp; Oper. expenses'!E63)</f>
        <v>0</v>
      </c>
      <c r="D37" s="1669" t="n">
        <f aca="false">'7.2.1 Turnover Vehicles'!G$84*'7.4.1 Salaries &amp; Wages'!G$77*(1+'7.4.1 Salaries &amp; Wages'!B$78)+('7.4.2 Selling &amp; Oper. expenses'!G9*'7.4.2 Selling &amp; Oper. expenses'!E63)</f>
        <v>0</v>
      </c>
      <c r="E37" s="1767" t="n">
        <f aca="false">'7.2.1 Turnover Vehicles'!I$84*'7.4.1 Salaries &amp; Wages'!I$77*(1+'7.4.1 Salaries &amp; Wages'!B$78)+('7.4.2 Selling &amp; Oper. expenses'!E63*'7.4.2 Selling &amp; Oper. expenses'!I9)</f>
        <v>0</v>
      </c>
      <c r="F37" s="1670" t="n">
        <f aca="false">'7.2.1 Turnover Vehicles'!K$84*'7.4.1 Salaries &amp; Wages'!K$77*(1+'7.4.1 Salaries &amp; Wages'!B$78)+('7.4.2 Selling &amp; Oper. expenses'!K9*'7.4.2 Selling &amp; Oper. expenses'!E63)</f>
        <v>0</v>
      </c>
      <c r="G37" s="1668" t="n">
        <f aca="false">'7.2.1 Turnover Vehicles'!C$85*'7.4.1 Salaries &amp; Wages'!C77*(1+'7.4.1 Salaries &amp; Wages'!B$78)+('7.4.2 Selling &amp; Oper. expenses'!C9*'7.4.2 Selling &amp; Oper. expenses'!F63)</f>
        <v>0</v>
      </c>
      <c r="H37" s="1669" t="n">
        <f aca="false">'7.2.1 Turnover Vehicles'!E$85*'7.4.1 Salaries &amp; Wages'!E$77*(1+'7.4.1 Salaries &amp; Wages'!B$78)+('7.4.2 Selling &amp; Oper. expenses'!E9*'7.4.2 Selling &amp; Oper. expenses'!F63)</f>
        <v>0</v>
      </c>
      <c r="I37" s="1669" t="n">
        <f aca="false">'7.2.1 Turnover Vehicles'!G$85*'7.4.1 Salaries &amp; Wages'!G$77*(1+'7.4.1 Salaries &amp; Wages'!B$78)+('7.4.2 Selling &amp; Oper. expenses'!G9*'7.4.2 Selling &amp; Oper. expenses'!F63)</f>
        <v>0</v>
      </c>
      <c r="J37" s="1669" t="n">
        <f aca="false">'7.2.1 Turnover Vehicles'!I$85*'7.4.1 Salaries &amp; Wages'!I$77*(1+'7.4.1 Salaries &amp; Wages'!B$78)+('7.4.2 Selling &amp; Oper. expenses'!I9*'7.4.2 Selling &amp; Oper. expenses'!F63)</f>
        <v>0</v>
      </c>
      <c r="K37" s="1670" t="n">
        <f aca="false">'7.2.1 Turnover Vehicles'!K$85*'7.4.1 Salaries &amp; Wages'!K$77*(1+'7.4.1 Salaries &amp; Wages'!B$78)+('7.4.2 Selling &amp; Oper. expenses'!K9*'7.4.2 Selling &amp; Oper. expenses'!F63)</f>
        <v>0</v>
      </c>
      <c r="L37" s="1668" t="n">
        <f aca="false">'7.2.1 Turnover Vehicles'!C$86*'7.4.1 Salaries &amp; Wages'!C77*(1+'7.4.1 Salaries &amp; Wages'!B$78)+('7.4.2 Selling &amp; Oper. expenses'!C9*'7.4.2 Selling &amp; Oper. expenses'!G63)</f>
        <v>0</v>
      </c>
      <c r="M37" s="1669" t="n">
        <f aca="false">'7.2.1 Turnover Vehicles'!E$86*'7.4.1 Salaries &amp; Wages'!E$77*(1+'7.4.1 Salaries &amp; Wages'!B$78)+('7.4.2 Selling &amp; Oper. expenses'!E9*'7.4.2 Selling &amp; Oper. expenses'!G63)</f>
        <v>0</v>
      </c>
      <c r="N37" s="1669" t="n">
        <f aca="false">'7.2.1 Turnover Vehicles'!G$86*'7.4.1 Salaries &amp; Wages'!G$77*(1+'7.4.1 Salaries &amp; Wages'!B$78)+('7.4.2 Selling &amp; Oper. expenses'!G9*'7.4.2 Selling &amp; Oper. expenses'!G63)</f>
        <v>0</v>
      </c>
      <c r="O37" s="1669" t="n">
        <f aca="false">'7.2.1 Turnover Vehicles'!I$86*'7.4.1 Salaries &amp; Wages'!I$77*(1+'7.4.1 Salaries &amp; Wages'!B$78)+('7.4.2 Selling &amp; Oper. expenses'!I9*'7.4.2 Selling &amp; Oper. expenses'!G63)</f>
        <v>0</v>
      </c>
      <c r="P37" s="1670" t="n">
        <f aca="false">'7.2.1 Turnover Vehicles'!K$86*'7.4.1 Salaries &amp; Wages'!K$77*(1+'7.4.1 Salaries &amp; Wages'!B$78)+('7.4.2 Selling &amp; Oper. expenses'!K9*'7.4.2 Selling &amp; Oper. expenses'!G63)</f>
        <v>0</v>
      </c>
      <c r="Q37" s="1768"/>
    </row>
    <row r="38" s="1769" customFormat="true" ht="15" hidden="false" customHeight="false" outlineLevel="0" collapsed="false">
      <c r="A38" s="1770"/>
      <c r="B38" s="1660"/>
      <c r="C38" s="1661"/>
      <c r="D38" s="1661"/>
      <c r="E38" s="1661"/>
      <c r="F38" s="1681"/>
      <c r="G38" s="1660"/>
      <c r="H38" s="1661"/>
      <c r="I38" s="1661"/>
      <c r="J38" s="1661"/>
      <c r="K38" s="1681"/>
      <c r="L38" s="1660"/>
      <c r="M38" s="1661"/>
      <c r="N38" s="1661"/>
      <c r="O38" s="1661"/>
      <c r="P38" s="1681"/>
      <c r="Q38" s="1768"/>
    </row>
    <row r="39" s="1769" customFormat="true" ht="15" hidden="false" customHeight="false" outlineLevel="0" collapsed="false">
      <c r="A39" s="1766" t="s">
        <v>986</v>
      </c>
      <c r="B39" s="1668" t="n">
        <f aca="false">'7.6.1 Activity contribution'!B37</f>
        <v>30192</v>
      </c>
      <c r="C39" s="1669" t="n">
        <f aca="false">'7.6.1 Activity contribution'!B114</f>
        <v>32003.52</v>
      </c>
      <c r="D39" s="1669" t="n">
        <f aca="false">'7.6.1 Activity contribution'!B191</f>
        <v>42404.664</v>
      </c>
      <c r="E39" s="1669" t="n">
        <f aca="false">'7.6.1 Activity contribution'!B268</f>
        <v>53938.732608</v>
      </c>
      <c r="F39" s="1670" t="n">
        <f aca="false">'7.6.1 Activity contribution'!B345</f>
        <v>57175.05656448</v>
      </c>
      <c r="G39" s="1668" t="n">
        <f aca="false">'7.6.1 Activity contribution'!C37</f>
        <v>0</v>
      </c>
      <c r="H39" s="1669" t="n">
        <f aca="false">'7.6.1 Activity contribution'!C114</f>
        <v>0</v>
      </c>
      <c r="I39" s="1669" t="n">
        <f aca="false">'7.6.1 Activity contribution'!C191</f>
        <v>0</v>
      </c>
      <c r="J39" s="1669" t="n">
        <f aca="false">'7.6.1 Activity contribution'!C268</f>
        <v>0</v>
      </c>
      <c r="K39" s="1670" t="n">
        <f aca="false">'7.6.1 Activity contribution'!C345</f>
        <v>0</v>
      </c>
      <c r="L39" s="1668" t="n">
        <f aca="false">'7.6.1 Activity contribution'!D37</f>
        <v>0</v>
      </c>
      <c r="M39" s="1669" t="n">
        <f aca="false">'7.6.1 Activity contribution'!D114</f>
        <v>0</v>
      </c>
      <c r="N39" s="1669" t="n">
        <f aca="false">'7.6.1 Activity contribution'!D191</f>
        <v>0</v>
      </c>
      <c r="O39" s="1669" t="n">
        <f aca="false">'7.6.1 Activity contribution'!D268</f>
        <v>0</v>
      </c>
      <c r="P39" s="1670" t="n">
        <f aca="false">'7.6.1 Activity contribution'!D345</f>
        <v>0</v>
      </c>
      <c r="Q39" s="1768"/>
    </row>
    <row r="40" s="1769" customFormat="true" ht="18.75" hidden="false" customHeight="false" outlineLevel="0" collapsed="false">
      <c r="A40" s="1766"/>
      <c r="B40" s="1668"/>
      <c r="C40" s="1669"/>
      <c r="D40" s="1669"/>
      <c r="E40" s="1669"/>
      <c r="F40" s="1670"/>
      <c r="G40" s="1668"/>
      <c r="H40" s="1669"/>
      <c r="I40" s="1669"/>
      <c r="J40" s="1669"/>
      <c r="K40" s="1670"/>
      <c r="L40" s="1668"/>
      <c r="M40" s="1669"/>
      <c r="N40" s="1669"/>
      <c r="O40" s="1669"/>
      <c r="P40" s="1670"/>
      <c r="Q40" s="1771"/>
      <c r="R40" s="1772"/>
      <c r="S40" s="1773"/>
      <c r="T40" s="1772"/>
      <c r="U40" s="1772"/>
      <c r="V40" s="1772"/>
      <c r="W40" s="1772"/>
      <c r="X40" s="1772"/>
    </row>
    <row r="41" s="1769" customFormat="true" ht="18.75" hidden="false" customHeight="false" outlineLevel="0" collapsed="false">
      <c r="A41" s="1735" t="s">
        <v>991</v>
      </c>
      <c r="B41" s="1736"/>
      <c r="C41" s="1737"/>
      <c r="D41" s="1737"/>
      <c r="E41" s="1737"/>
      <c r="F41" s="1738"/>
      <c r="G41" s="1736"/>
      <c r="H41" s="1737"/>
      <c r="I41" s="1737"/>
      <c r="J41" s="1737"/>
      <c r="K41" s="1738"/>
      <c r="L41" s="1736"/>
      <c r="M41" s="1737"/>
      <c r="N41" s="1737"/>
      <c r="O41" s="1737"/>
      <c r="P41" s="1738"/>
      <c r="Q41" s="1771"/>
      <c r="R41" s="1773"/>
      <c r="S41" s="1773"/>
      <c r="T41" s="1773"/>
      <c r="U41" s="1773"/>
      <c r="V41" s="1773"/>
      <c r="W41" s="1773"/>
      <c r="X41" s="1773"/>
    </row>
    <row r="42" s="1769" customFormat="true" ht="15" hidden="false" customHeight="false" outlineLevel="0" collapsed="false">
      <c r="A42" s="1719" t="s">
        <v>760</v>
      </c>
      <c r="B42" s="1739" t="n">
        <f aca="false">'7.4.2 Selling &amp; Oper. expenses'!C37*'7.4.2 Selling &amp; Oper. expenses'!E68</f>
        <v>2258</v>
      </c>
      <c r="C42" s="1740" t="n">
        <f aca="false">'7.4.2 Selling &amp; Oper. expenses'!E37*'7.4.2 Selling &amp; Oper. expenses'!E68</f>
        <v>2581</v>
      </c>
      <c r="D42" s="1740" t="n">
        <f aca="false">'7.4.2 Selling &amp; Oper. expenses'!G37*'7.4.2 Selling &amp; Oper. expenses'!E68</f>
        <v>2903</v>
      </c>
      <c r="E42" s="1740" t="n">
        <f aca="false">'7.4.2 Selling &amp; Oper. expenses'!I37*'7.4.2 Selling &amp; Oper. expenses'!E68</f>
        <v>3226</v>
      </c>
      <c r="F42" s="1741" t="n">
        <f aca="false">'7.4.2 Selling &amp; Oper. expenses'!K37*'7.4.2 Selling &amp; Oper. expenses'!E68</f>
        <v>3548</v>
      </c>
      <c r="G42" s="1739" t="n">
        <f aca="false">'7.4.2 Selling &amp; Oper. expenses'!C37*'7.4.2 Selling &amp; Oper. expenses'!F68</f>
        <v>0</v>
      </c>
      <c r="H42" s="1740" t="n">
        <f aca="false">'7.4.2 Selling &amp; Oper. expenses'!E37*'7.4.2 Selling &amp; Oper. expenses'!F68</f>
        <v>0</v>
      </c>
      <c r="I42" s="1740" t="n">
        <f aca="false">'7.4.2 Selling &amp; Oper. expenses'!G37*'7.4.2 Selling &amp; Oper. expenses'!F68</f>
        <v>0</v>
      </c>
      <c r="J42" s="1740" t="n">
        <f aca="false">'7.4.2 Selling &amp; Oper. expenses'!I37*'7.4.2 Selling &amp; Oper. expenses'!F68</f>
        <v>0</v>
      </c>
      <c r="K42" s="1741" t="n">
        <f aca="false">'7.4.2 Selling &amp; Oper. expenses'!K37*'7.4.2 Selling &amp; Oper. expenses'!F68</f>
        <v>0</v>
      </c>
      <c r="L42" s="1739" t="n">
        <f aca="false">'7.4.2 Selling &amp; Oper. expenses'!C37*'7.4.2 Selling &amp; Oper. expenses'!G68</f>
        <v>0</v>
      </c>
      <c r="M42" s="1740" t="n">
        <f aca="false">'7.4.2 Selling &amp; Oper. expenses'!E37*'7.4.2 Selling &amp; Oper. expenses'!G68</f>
        <v>0</v>
      </c>
      <c r="N42" s="1740" t="n">
        <f aca="false">'7.4.2 Selling &amp; Oper. expenses'!G37*'7.4.2 Selling &amp; Oper. expenses'!G68</f>
        <v>0</v>
      </c>
      <c r="O42" s="1740" t="n">
        <f aca="false">'7.4.2 Selling &amp; Oper. expenses'!I37*'7.4.2 Selling &amp; Oper. expenses'!G68</f>
        <v>0</v>
      </c>
      <c r="P42" s="1741" t="n">
        <f aca="false">'7.4.2 Selling &amp; Oper. expenses'!K37*'7.4.2 Selling &amp; Oper. expenses'!G68</f>
        <v>0</v>
      </c>
      <c r="Q42" s="1768"/>
    </row>
    <row r="43" s="1769" customFormat="true" ht="15" hidden="false" customHeight="false" outlineLevel="0" collapsed="false">
      <c r="A43" s="1719" t="s">
        <v>761</v>
      </c>
      <c r="B43" s="1739" t="n">
        <f aca="false">'7.4.2 Selling &amp; Oper. expenses'!C38*'7.4.2 Selling &amp; Oper. expenses'!E69</f>
        <v>5806</v>
      </c>
      <c r="C43" s="1740" t="n">
        <f aca="false">'7.4.2 Selling &amp; Oper. expenses'!E38*'7.4.2 Selling &amp; Oper. expenses'!E69</f>
        <v>6452</v>
      </c>
      <c r="D43" s="1740" t="n">
        <f aca="false">'7.4.2 Selling &amp; Oper. expenses'!G38*'7.4.2 Selling &amp; Oper. expenses'!E69</f>
        <v>7097</v>
      </c>
      <c r="E43" s="1740" t="n">
        <f aca="false">'7.4.2 Selling &amp; Oper. expenses'!I38*'7.4.2 Selling &amp; Oper. expenses'!E69</f>
        <v>7742</v>
      </c>
      <c r="F43" s="1741" t="n">
        <f aca="false">'7.4.2 Selling &amp; Oper. expenses'!K38*'7.4.2 Selling &amp; Oper. expenses'!E69</f>
        <v>8387</v>
      </c>
      <c r="G43" s="1739" t="n">
        <f aca="false">'7.4.2 Selling &amp; Oper. expenses'!C38*'7.4.2 Selling &amp; Oper. expenses'!F69</f>
        <v>0</v>
      </c>
      <c r="H43" s="1740" t="n">
        <f aca="false">'7.4.2 Selling &amp; Oper. expenses'!E38*'7.4.2 Selling &amp; Oper. expenses'!F69</f>
        <v>0</v>
      </c>
      <c r="I43" s="1740" t="n">
        <f aca="false">'7.4.2 Selling &amp; Oper. expenses'!G38*'7.4.2 Selling &amp; Oper. expenses'!F69</f>
        <v>0</v>
      </c>
      <c r="J43" s="1740" t="n">
        <f aca="false">'7.4.2 Selling &amp; Oper. expenses'!I38*'7.4.2 Selling &amp; Oper. expenses'!F69</f>
        <v>0</v>
      </c>
      <c r="K43" s="1741" t="n">
        <f aca="false">'7.4.2 Selling &amp; Oper. expenses'!K38*'7.4.2 Selling &amp; Oper. expenses'!F69</f>
        <v>0</v>
      </c>
      <c r="L43" s="1739" t="n">
        <f aca="false">'7.4.2 Selling &amp; Oper. expenses'!C38*'7.4.2 Selling &amp; Oper. expenses'!G69</f>
        <v>0</v>
      </c>
      <c r="M43" s="1740" t="n">
        <f aca="false">'7.4.2 Selling &amp; Oper. expenses'!E38*'7.4.2 Selling &amp; Oper. expenses'!G69</f>
        <v>0</v>
      </c>
      <c r="N43" s="1740" t="n">
        <f aca="false">'7.4.2 Selling &amp; Oper. expenses'!G38*'7.4.2 Selling &amp; Oper. expenses'!G69</f>
        <v>0</v>
      </c>
      <c r="O43" s="1740" t="n">
        <f aca="false">'7.4.2 Selling &amp; Oper. expenses'!I38*'7.4.2 Selling &amp; Oper. expenses'!G69</f>
        <v>0</v>
      </c>
      <c r="P43" s="1741" t="n">
        <f aca="false">'7.4.2 Selling &amp; Oper. expenses'!K38*'7.4.2 Selling &amp; Oper. expenses'!G69</f>
        <v>0</v>
      </c>
      <c r="Q43" s="1768"/>
    </row>
    <row r="44" s="1769" customFormat="true" ht="15" hidden="false" customHeight="false" outlineLevel="0" collapsed="false">
      <c r="A44" s="1719" t="s">
        <v>762</v>
      </c>
      <c r="B44" s="1739" t="n">
        <f aca="false">'7.4.2 Selling &amp; Oper. expenses'!C39*'7.4.2 Selling &amp; Oper. expenses'!E70</f>
        <v>5000</v>
      </c>
      <c r="C44" s="1740" t="n">
        <f aca="false">'7.4.2 Selling &amp; Oper. expenses'!E39*'7.4.2 Selling &amp; Oper. expenses'!E70</f>
        <v>5000</v>
      </c>
      <c r="D44" s="1740" t="n">
        <f aca="false">'7.4.2 Selling &amp; Oper. expenses'!G39*'7.4.2 Selling &amp; Oper. expenses'!E70</f>
        <v>5000</v>
      </c>
      <c r="E44" s="1740" t="n">
        <f aca="false">'7.4.2 Selling &amp; Oper. expenses'!I39*'7.4.2 Selling &amp; Oper. expenses'!E70</f>
        <v>5000</v>
      </c>
      <c r="F44" s="1741" t="n">
        <f aca="false">'7.4.2 Selling &amp; Oper. expenses'!K39*'7.4.2 Selling &amp; Oper. expenses'!E70</f>
        <v>5000</v>
      </c>
      <c r="G44" s="1739" t="n">
        <f aca="false">'7.4.2 Selling &amp; Oper. expenses'!C39*'7.4.2 Selling &amp; Oper. expenses'!F70</f>
        <v>0</v>
      </c>
      <c r="H44" s="1740" t="n">
        <f aca="false">'7.4.2 Selling &amp; Oper. expenses'!E39*'7.4.2 Selling &amp; Oper. expenses'!F70</f>
        <v>0</v>
      </c>
      <c r="I44" s="1740" t="n">
        <f aca="false">'7.4.2 Selling &amp; Oper. expenses'!G39*'7.4.2 Selling &amp; Oper. expenses'!F70</f>
        <v>0</v>
      </c>
      <c r="J44" s="1740" t="n">
        <f aca="false">'7.4.2 Selling &amp; Oper. expenses'!I39*'7.4.2 Selling &amp; Oper. expenses'!F70</f>
        <v>0</v>
      </c>
      <c r="K44" s="1741" t="n">
        <f aca="false">'7.4.2 Selling &amp; Oper. expenses'!K39*'7.4.2 Selling &amp; Oper. expenses'!F70</f>
        <v>0</v>
      </c>
      <c r="L44" s="1739" t="n">
        <f aca="false">'7.4.2 Selling &amp; Oper. expenses'!C39*'7.4.2 Selling &amp; Oper. expenses'!G70</f>
        <v>0</v>
      </c>
      <c r="M44" s="1740" t="n">
        <f aca="false">'7.4.2 Selling &amp; Oper. expenses'!E39*'7.4.2 Selling &amp; Oper. expenses'!G70</f>
        <v>0</v>
      </c>
      <c r="N44" s="1740" t="n">
        <f aca="false">'7.4.2 Selling &amp; Oper. expenses'!G39*'7.4.2 Selling &amp; Oper. expenses'!G70</f>
        <v>0</v>
      </c>
      <c r="O44" s="1740" t="n">
        <f aca="false">'7.4.2 Selling &amp; Oper. expenses'!I39*'7.4.2 Selling &amp; Oper. expenses'!G70</f>
        <v>0</v>
      </c>
      <c r="P44" s="1741" t="n">
        <f aca="false">'7.4.2 Selling &amp; Oper. expenses'!K39*'7.4.2 Selling &amp; Oper. expenses'!G70</f>
        <v>0</v>
      </c>
      <c r="Q44" s="1768"/>
    </row>
    <row r="45" s="1752" customFormat="true" ht="15" hidden="false" customHeight="false" outlineLevel="0" collapsed="false">
      <c r="A45" s="1719" t="s">
        <v>763</v>
      </c>
      <c r="B45" s="1739" t="n">
        <f aca="false">'7.4.2 Selling &amp; Oper. expenses'!C40*'7.4.2 Selling &amp; Oper. expenses'!E71</f>
        <v>6000</v>
      </c>
      <c r="C45" s="1740" t="n">
        <f aca="false">'7.4.2 Selling &amp; Oper. expenses'!E40*'7.4.2 Selling &amp; Oper. expenses'!E71</f>
        <v>6000</v>
      </c>
      <c r="D45" s="1740" t="n">
        <f aca="false">'7.4.2 Selling &amp; Oper. expenses'!G40*'7.4.2 Selling &amp; Oper. expenses'!E71</f>
        <v>6000</v>
      </c>
      <c r="E45" s="1740" t="n">
        <f aca="false">'7.4.2 Selling &amp; Oper. expenses'!I40*'7.4.2 Selling &amp; Oper. expenses'!E71</f>
        <v>6000</v>
      </c>
      <c r="F45" s="1741" t="n">
        <f aca="false">'7.4.2 Selling &amp; Oper. expenses'!K40*'7.4.2 Selling &amp; Oper. expenses'!E71</f>
        <v>6000</v>
      </c>
      <c r="G45" s="1739" t="n">
        <f aca="false">'7.4.2 Selling &amp; Oper. expenses'!C40*'7.4.2 Selling &amp; Oper. expenses'!F71</f>
        <v>0</v>
      </c>
      <c r="H45" s="1740" t="n">
        <f aca="false">'7.4.2 Selling &amp; Oper. expenses'!E40*'7.4.2 Selling &amp; Oper. expenses'!F71</f>
        <v>0</v>
      </c>
      <c r="I45" s="1740" t="n">
        <f aca="false">'7.4.2 Selling &amp; Oper. expenses'!G40*'7.4.2 Selling &amp; Oper. expenses'!F71</f>
        <v>0</v>
      </c>
      <c r="J45" s="1740" t="n">
        <f aca="false">'7.4.2 Selling &amp; Oper. expenses'!I40*'7.4.2 Selling &amp; Oper. expenses'!F71</f>
        <v>0</v>
      </c>
      <c r="K45" s="1741" t="n">
        <f aca="false">'7.4.2 Selling &amp; Oper. expenses'!K40*'7.4.2 Selling &amp; Oper. expenses'!F71</f>
        <v>0</v>
      </c>
      <c r="L45" s="1739" t="n">
        <f aca="false">'7.4.2 Selling &amp; Oper. expenses'!C40*'7.4.2 Selling &amp; Oper. expenses'!G71</f>
        <v>0</v>
      </c>
      <c r="M45" s="1740" t="n">
        <f aca="false">'7.4.2 Selling &amp; Oper. expenses'!E40*'7.4.2 Selling &amp; Oper. expenses'!G71</f>
        <v>0</v>
      </c>
      <c r="N45" s="1740" t="n">
        <f aca="false">'7.4.2 Selling &amp; Oper. expenses'!G40*'7.4.2 Selling &amp; Oper. expenses'!G71</f>
        <v>0</v>
      </c>
      <c r="O45" s="1740" t="n">
        <f aca="false">'7.4.2 Selling &amp; Oper. expenses'!I40*'7.4.2 Selling &amp; Oper. expenses'!G71</f>
        <v>0</v>
      </c>
      <c r="P45" s="1741" t="n">
        <f aca="false">'7.4.2 Selling &amp; Oper. expenses'!K40*'7.4.2 Selling &amp; Oper. expenses'!G71</f>
        <v>0</v>
      </c>
      <c r="Q45" s="271"/>
    </row>
    <row r="46" s="577" customFormat="true" ht="15" hidden="false" customHeight="false" outlineLevel="0" collapsed="false">
      <c r="A46" s="1719" t="s">
        <v>764</v>
      </c>
      <c r="B46" s="1739" t="n">
        <f aca="false">'7.4.2 Selling &amp; Oper. expenses'!C41*'7.4.2 Selling &amp; Oper. expenses'!E72</f>
        <v>20000</v>
      </c>
      <c r="C46" s="1740" t="n">
        <f aca="false">'7.4.2 Selling &amp; Oper. expenses'!E41*'7.4.2 Selling &amp; Oper. expenses'!E72</f>
        <v>20000</v>
      </c>
      <c r="D46" s="1740" t="n">
        <f aca="false">'7.4.2 Selling &amp; Oper. expenses'!G41*'7.4.2 Selling &amp; Oper. expenses'!E72</f>
        <v>20000</v>
      </c>
      <c r="E46" s="1740" t="n">
        <f aca="false">'7.4.2 Selling &amp; Oper. expenses'!I41*'7.4.2 Selling &amp; Oper. expenses'!E72</f>
        <v>20000</v>
      </c>
      <c r="F46" s="1741" t="n">
        <f aca="false">'7.4.2 Selling &amp; Oper. expenses'!K41*'7.4.2 Selling &amp; Oper. expenses'!E72</f>
        <v>20000</v>
      </c>
      <c r="G46" s="1739" t="n">
        <f aca="false">'7.4.2 Selling &amp; Oper. expenses'!C41*'7.4.2 Selling &amp; Oper. expenses'!F72</f>
        <v>0</v>
      </c>
      <c r="H46" s="1740" t="n">
        <f aca="false">'7.4.2 Selling &amp; Oper. expenses'!E41*'7.4.2 Selling &amp; Oper. expenses'!F72</f>
        <v>0</v>
      </c>
      <c r="I46" s="1740" t="n">
        <f aca="false">'7.4.2 Selling &amp; Oper. expenses'!G41*'7.4.2 Selling &amp; Oper. expenses'!F72</f>
        <v>0</v>
      </c>
      <c r="J46" s="1740" t="n">
        <f aca="false">'7.4.2 Selling &amp; Oper. expenses'!I41*'7.4.2 Selling &amp; Oper. expenses'!F72</f>
        <v>0</v>
      </c>
      <c r="K46" s="1741" t="n">
        <f aca="false">'7.4.2 Selling &amp; Oper. expenses'!K41*'7.4.2 Selling &amp; Oper. expenses'!F72</f>
        <v>0</v>
      </c>
      <c r="L46" s="1739" t="n">
        <f aca="false">'7.4.2 Selling &amp; Oper. expenses'!C41*'7.4.2 Selling &amp; Oper. expenses'!G72</f>
        <v>0</v>
      </c>
      <c r="M46" s="1740" t="n">
        <f aca="false">'7.4.2 Selling &amp; Oper. expenses'!E41*'7.4.2 Selling &amp; Oper. expenses'!G72</f>
        <v>0</v>
      </c>
      <c r="N46" s="1740" t="n">
        <f aca="false">'7.4.2 Selling &amp; Oper. expenses'!G41*'7.4.2 Selling &amp; Oper. expenses'!G72</f>
        <v>0</v>
      </c>
      <c r="O46" s="1740" t="n">
        <f aca="false">'7.4.2 Selling &amp; Oper. expenses'!I41*'7.4.2 Selling &amp; Oper. expenses'!G72</f>
        <v>0</v>
      </c>
      <c r="P46" s="1741" t="n">
        <f aca="false">'7.4.2 Selling &amp; Oper. expenses'!K41*'7.4.2 Selling &amp; Oper. expenses'!G72</f>
        <v>0</v>
      </c>
      <c r="Q46" s="22"/>
    </row>
    <row r="47" s="577" customFormat="true" ht="15" hidden="false" customHeight="false" outlineLevel="0" collapsed="false">
      <c r="A47" s="1719" t="s">
        <v>992</v>
      </c>
      <c r="B47" s="1739" t="n">
        <f aca="false">'7.4.2 Selling &amp; Oper. expenses'!C42*'7.4.2 Selling &amp; Oper. expenses'!E73</f>
        <v>120000</v>
      </c>
      <c r="C47" s="1740" t="n">
        <f aca="false">'7.4.2 Selling &amp; Oper. expenses'!E42*'7.4.2 Selling &amp; Oper. expenses'!E73</f>
        <v>120000</v>
      </c>
      <c r="D47" s="1740" t="n">
        <f aca="false">'7.4.2 Selling &amp; Oper. expenses'!G42*'7.4.2 Selling &amp; Oper. expenses'!E73</f>
        <v>90000</v>
      </c>
      <c r="E47" s="1740" t="n">
        <f aca="false">'7.4.2 Selling &amp; Oper. expenses'!I42*'7.4.2 Selling &amp; Oper. expenses'!E73</f>
        <v>90000</v>
      </c>
      <c r="F47" s="1741" t="n">
        <f aca="false">'7.4.2 Selling &amp; Oper. expenses'!K42*'7.4.2 Selling &amp; Oper. expenses'!E73</f>
        <v>90000</v>
      </c>
      <c r="G47" s="1739" t="n">
        <f aca="false">'7.4.2 Selling &amp; Oper. expenses'!C42*'7.4.2 Selling &amp; Oper. expenses'!F73</f>
        <v>0</v>
      </c>
      <c r="H47" s="1740" t="n">
        <f aca="false">'7.4.2 Selling &amp; Oper. expenses'!E42*'7.4.2 Selling &amp; Oper. expenses'!F73</f>
        <v>0</v>
      </c>
      <c r="I47" s="1740" t="n">
        <f aca="false">'7.4.2 Selling &amp; Oper. expenses'!G42*'7.4.2 Selling &amp; Oper. expenses'!F73</f>
        <v>0</v>
      </c>
      <c r="J47" s="1740" t="n">
        <f aca="false">'7.4.2 Selling &amp; Oper. expenses'!I42*'7.4.2 Selling &amp; Oper. expenses'!F73</f>
        <v>0</v>
      </c>
      <c r="K47" s="1741" t="n">
        <f aca="false">'7.4.2 Selling &amp; Oper. expenses'!K42*'7.4.2 Selling &amp; Oper. expenses'!F73</f>
        <v>0</v>
      </c>
      <c r="L47" s="1739" t="n">
        <f aca="false">'7.4.2 Selling &amp; Oper. expenses'!C42*'7.4.2 Selling &amp; Oper. expenses'!G73</f>
        <v>0</v>
      </c>
      <c r="M47" s="1740" t="n">
        <f aca="false">'7.4.2 Selling &amp; Oper. expenses'!E42*'7.4.2 Selling &amp; Oper. expenses'!G73</f>
        <v>0</v>
      </c>
      <c r="N47" s="1740" t="n">
        <f aca="false">'7.4.2 Selling &amp; Oper. expenses'!G42*'7.4.2 Selling &amp; Oper. expenses'!G73</f>
        <v>0</v>
      </c>
      <c r="O47" s="1740" t="n">
        <f aca="false">'7.4.2 Selling &amp; Oper. expenses'!I42*'7.4.2 Selling &amp; Oper. expenses'!G73</f>
        <v>0</v>
      </c>
      <c r="P47" s="1741" t="n">
        <f aca="false">'7.4.2 Selling &amp; Oper. expenses'!K42*'7.4.2 Selling &amp; Oper. expenses'!G73</f>
        <v>0</v>
      </c>
      <c r="Q47" s="22"/>
    </row>
    <row r="48" s="577" customFormat="true" ht="15" hidden="false" customHeight="false" outlineLevel="0" collapsed="false">
      <c r="A48" s="1719" t="s">
        <v>766</v>
      </c>
      <c r="B48" s="1739" t="n">
        <f aca="false">'7.4.2 Selling &amp; Oper. expenses'!C43*'7.4.2 Selling &amp; Oper. expenses'!E74</f>
        <v>25000</v>
      </c>
      <c r="C48" s="1740" t="n">
        <f aca="false">'7.4.2 Selling &amp; Oper. expenses'!E43*'7.4.2 Selling &amp; Oper. expenses'!E74</f>
        <v>25000</v>
      </c>
      <c r="D48" s="1740" t="n">
        <f aca="false">'7.4.2 Selling &amp; Oper. expenses'!G43*'7.4.2 Selling &amp; Oper. expenses'!E74</f>
        <v>25000</v>
      </c>
      <c r="E48" s="1740" t="n">
        <f aca="false">'7.4.2 Selling &amp; Oper. expenses'!I43*'7.4.2 Selling &amp; Oper. expenses'!E74</f>
        <v>25000</v>
      </c>
      <c r="F48" s="1741" t="n">
        <f aca="false">'7.4.2 Selling &amp; Oper. expenses'!K43*'7.4.2 Selling &amp; Oper. expenses'!E74</f>
        <v>25000</v>
      </c>
      <c r="G48" s="1739" t="n">
        <f aca="false">'7.4.2 Selling &amp; Oper. expenses'!C43*'7.4.2 Selling &amp; Oper. expenses'!F74</f>
        <v>0</v>
      </c>
      <c r="H48" s="1740" t="n">
        <f aca="false">'7.4.2 Selling &amp; Oper. expenses'!E43*'7.4.2 Selling &amp; Oper. expenses'!F74</f>
        <v>0</v>
      </c>
      <c r="I48" s="1740" t="n">
        <f aca="false">'7.4.2 Selling &amp; Oper. expenses'!G43*'7.4.2 Selling &amp; Oper. expenses'!F74</f>
        <v>0</v>
      </c>
      <c r="J48" s="1740" t="n">
        <f aca="false">'7.4.2 Selling &amp; Oper. expenses'!I43*'7.4.2 Selling &amp; Oper. expenses'!F74</f>
        <v>0</v>
      </c>
      <c r="K48" s="1741" t="n">
        <f aca="false">'7.4.2 Selling &amp; Oper. expenses'!K43*'7.4.2 Selling &amp; Oper. expenses'!F74</f>
        <v>0</v>
      </c>
      <c r="L48" s="1739" t="n">
        <f aca="false">'7.4.2 Selling &amp; Oper. expenses'!C43*'7.4.2 Selling &amp; Oper. expenses'!G74</f>
        <v>0</v>
      </c>
      <c r="M48" s="1740" t="n">
        <f aca="false">'7.4.2 Selling &amp; Oper. expenses'!E43*'7.4.2 Selling &amp; Oper. expenses'!G74</f>
        <v>0</v>
      </c>
      <c r="N48" s="1740" t="n">
        <f aca="false">'7.4.2 Selling &amp; Oper. expenses'!G43*'7.4.2 Selling &amp; Oper. expenses'!G74</f>
        <v>0</v>
      </c>
      <c r="O48" s="1740" t="n">
        <f aca="false">'7.4.2 Selling &amp; Oper. expenses'!I43*'7.4.2 Selling &amp; Oper. expenses'!G74</f>
        <v>0</v>
      </c>
      <c r="P48" s="1741" t="n">
        <f aca="false">'7.4.2 Selling &amp; Oper. expenses'!K43*'7.4.2 Selling &amp; Oper. expenses'!G74</f>
        <v>0</v>
      </c>
      <c r="Q48" s="22"/>
    </row>
    <row r="49" s="577" customFormat="true" ht="15" hidden="false" customHeight="false" outlineLevel="0" collapsed="false">
      <c r="A49" s="1719" t="s">
        <v>993</v>
      </c>
      <c r="B49" s="1739" t="n">
        <f aca="false">'7.4.2 Selling &amp; Oper. expenses'!C44*'7.4.2 Selling &amp; Oper. expenses'!E75</f>
        <v>9677</v>
      </c>
      <c r="C49" s="1740" t="n">
        <f aca="false">'7.4.2 Selling &amp; Oper. expenses'!E44*'7.4.2 Selling &amp; Oper. expenses'!E75</f>
        <v>4839</v>
      </c>
      <c r="D49" s="1740" t="n">
        <f aca="false">'7.4.2 Selling &amp; Oper. expenses'!G44*'7.4.2 Selling &amp; Oper. expenses'!E75</f>
        <v>6452</v>
      </c>
      <c r="E49" s="1740" t="n">
        <f aca="false">'7.4.2 Selling &amp; Oper. expenses'!I44*'7.4.2 Selling &amp; Oper. expenses'!E75</f>
        <v>8065</v>
      </c>
      <c r="F49" s="1741" t="n">
        <f aca="false">'7.4.2 Selling &amp; Oper. expenses'!K44*'7.4.2 Selling &amp; Oper. expenses'!E75</f>
        <v>9677</v>
      </c>
      <c r="G49" s="1739" t="n">
        <f aca="false">'7.4.2 Selling &amp; Oper. expenses'!C44*'7.4.2 Selling &amp; Oper. expenses'!F75</f>
        <v>0</v>
      </c>
      <c r="H49" s="1740" t="n">
        <f aca="false">'7.4.2 Selling &amp; Oper. expenses'!E44*'7.4.2 Selling &amp; Oper. expenses'!F75</f>
        <v>0</v>
      </c>
      <c r="I49" s="1740" t="n">
        <f aca="false">'7.4.2 Selling &amp; Oper. expenses'!G44*'7.4.2 Selling &amp; Oper. expenses'!F75</f>
        <v>0</v>
      </c>
      <c r="J49" s="1740" t="n">
        <f aca="false">'7.4.2 Selling &amp; Oper. expenses'!I44*'7.4.2 Selling &amp; Oper. expenses'!F75</f>
        <v>0</v>
      </c>
      <c r="K49" s="1741" t="n">
        <f aca="false">'7.4.2 Selling &amp; Oper. expenses'!K44*'7.4.2 Selling &amp; Oper. expenses'!F75</f>
        <v>0</v>
      </c>
      <c r="L49" s="1739" t="n">
        <f aca="false">'7.4.2 Selling &amp; Oper. expenses'!C44*'7.4.2 Selling &amp; Oper. expenses'!G75</f>
        <v>0</v>
      </c>
      <c r="M49" s="1740" t="n">
        <f aca="false">'7.4.2 Selling &amp; Oper. expenses'!E44*'7.4.2 Selling &amp; Oper. expenses'!G75</f>
        <v>0</v>
      </c>
      <c r="N49" s="1740" t="n">
        <f aca="false">'7.4.2 Selling &amp; Oper. expenses'!G44*'7.4.2 Selling &amp; Oper. expenses'!G75</f>
        <v>0</v>
      </c>
      <c r="O49" s="1740" t="n">
        <f aca="false">'7.4.2 Selling &amp; Oper. expenses'!I44*'7.4.2 Selling &amp; Oper. expenses'!G75</f>
        <v>0</v>
      </c>
      <c r="P49" s="1741" t="n">
        <f aca="false">'7.4.2 Selling &amp; Oper. expenses'!K44*'7.4.2 Selling &amp; Oper. expenses'!G75</f>
        <v>0</v>
      </c>
      <c r="Q49" s="22"/>
    </row>
    <row r="50" s="577" customFormat="true" ht="15" hidden="false" customHeight="false" outlineLevel="0" collapsed="false">
      <c r="A50" s="1719" t="s">
        <v>994</v>
      </c>
      <c r="B50" s="1739" t="n">
        <f aca="false">'7.4.2 Selling &amp; Oper. expenses'!C45*'7.4.2 Selling &amp; Oper. expenses'!E76</f>
        <v>1290</v>
      </c>
      <c r="C50" s="1740" t="n">
        <f aca="false">'7.4.2 Selling &amp; Oper. expenses'!E45*'7.4.2 Selling &amp; Oper. expenses'!E76</f>
        <v>1935</v>
      </c>
      <c r="D50" s="1740" t="n">
        <f aca="false">'7.4.2 Selling &amp; Oper. expenses'!G45*'7.4.2 Selling &amp; Oper. expenses'!E76</f>
        <v>2581</v>
      </c>
      <c r="E50" s="1740" t="n">
        <f aca="false">'7.4.2 Selling &amp; Oper. expenses'!I45*'7.4.2 Selling &amp; Oper. expenses'!E76</f>
        <v>3226</v>
      </c>
      <c r="F50" s="1741" t="n">
        <f aca="false">'7.4.2 Selling &amp; Oper. expenses'!K45*'7.4.2 Selling &amp; Oper. expenses'!E76</f>
        <v>3871</v>
      </c>
      <c r="G50" s="1739" t="n">
        <f aca="false">'7.4.2 Selling &amp; Oper. expenses'!C45*'7.4.2 Selling &amp; Oper. expenses'!F76</f>
        <v>0</v>
      </c>
      <c r="H50" s="1740" t="n">
        <f aca="false">'7.4.2 Selling &amp; Oper. expenses'!E45*'7.4.2 Selling &amp; Oper. expenses'!F76</f>
        <v>0</v>
      </c>
      <c r="I50" s="1740" t="n">
        <f aca="false">'7.4.2 Selling &amp; Oper. expenses'!G45*'7.4.2 Selling &amp; Oper. expenses'!F76</f>
        <v>0</v>
      </c>
      <c r="J50" s="1740" t="n">
        <f aca="false">'7.4.2 Selling &amp; Oper. expenses'!I45*'7.4.2 Selling &amp; Oper. expenses'!F76</f>
        <v>0</v>
      </c>
      <c r="K50" s="1741" t="n">
        <f aca="false">'7.4.2 Selling &amp; Oper. expenses'!K45*'7.4.2 Selling &amp; Oper. expenses'!F76</f>
        <v>0</v>
      </c>
      <c r="L50" s="1739" t="n">
        <f aca="false">'7.4.2 Selling &amp; Oper. expenses'!C45*'7.4.2 Selling &amp; Oper. expenses'!G76</f>
        <v>0</v>
      </c>
      <c r="M50" s="1740" t="n">
        <f aca="false">'7.4.2 Selling &amp; Oper. expenses'!E45*'7.4.2 Selling &amp; Oper. expenses'!G76</f>
        <v>0</v>
      </c>
      <c r="N50" s="1740" t="n">
        <f aca="false">'7.4.2 Selling &amp; Oper. expenses'!G45*'7.4.2 Selling &amp; Oper. expenses'!G76</f>
        <v>0</v>
      </c>
      <c r="O50" s="1740" t="n">
        <f aca="false">'7.4.2 Selling &amp; Oper. expenses'!I45*'7.4.2 Selling &amp; Oper. expenses'!G76</f>
        <v>0</v>
      </c>
      <c r="P50" s="1741" t="n">
        <f aca="false">'7.4.2 Selling &amp; Oper. expenses'!K45*'7.4.2 Selling &amp; Oper. expenses'!G76</f>
        <v>0</v>
      </c>
      <c r="Q50" s="22"/>
    </row>
    <row r="51" s="577" customFormat="true" ht="15" hidden="false" customHeight="false" outlineLevel="0" collapsed="false">
      <c r="A51" s="1719" t="s">
        <v>769</v>
      </c>
      <c r="B51" s="1739" t="n">
        <f aca="false">'7.4.2 Selling &amp; Oper. expenses'!C46*'7.4.2 Selling &amp; Oper. expenses'!E77</f>
        <v>16219</v>
      </c>
      <c r="C51" s="1740" t="n">
        <f aca="false">'7.4.2 Selling &amp; Oper. expenses'!E46*'7.4.2 Selling &amp; Oper. expenses'!E77</f>
        <v>9677</v>
      </c>
      <c r="D51" s="1740" t="n">
        <f aca="false">'7.4.2 Selling &amp; Oper. expenses'!G46*'7.4.2 Selling &amp; Oper. expenses'!E77</f>
        <v>9677</v>
      </c>
      <c r="E51" s="1740" t="n">
        <f aca="false">'7.4.2 Selling &amp; Oper. expenses'!I46*'7.4.2 Selling &amp; Oper. expenses'!E77</f>
        <v>9677</v>
      </c>
      <c r="F51" s="1741" t="n">
        <f aca="false">'7.4.2 Selling &amp; Oper. expenses'!K46*'7.4.2 Selling &amp; Oper. expenses'!E77</f>
        <v>9677</v>
      </c>
      <c r="G51" s="1739" t="n">
        <f aca="false">'7.4.2 Selling &amp; Oper. expenses'!C46*'7.4.2 Selling &amp; Oper. expenses'!F77</f>
        <v>0</v>
      </c>
      <c r="H51" s="1740" t="n">
        <f aca="false">'7.4.2 Selling &amp; Oper. expenses'!E46*'7.4.2 Selling &amp; Oper. expenses'!F77</f>
        <v>0</v>
      </c>
      <c r="I51" s="1740" t="n">
        <f aca="false">'7.4.2 Selling &amp; Oper. expenses'!G46*'7.4.2 Selling &amp; Oper. expenses'!F77</f>
        <v>0</v>
      </c>
      <c r="J51" s="1740" t="n">
        <f aca="false">'7.4.2 Selling &amp; Oper. expenses'!I46*'7.4.2 Selling &amp; Oper. expenses'!F77</f>
        <v>0</v>
      </c>
      <c r="K51" s="1741" t="n">
        <f aca="false">'7.4.2 Selling &amp; Oper. expenses'!K46*'7.4.2 Selling &amp; Oper. expenses'!F77</f>
        <v>0</v>
      </c>
      <c r="L51" s="1739" t="n">
        <f aca="false">'7.4.2 Selling &amp; Oper. expenses'!C46*'7.4.2 Selling &amp; Oper. expenses'!G77</f>
        <v>0</v>
      </c>
      <c r="M51" s="1740" t="n">
        <f aca="false">'7.4.2 Selling &amp; Oper. expenses'!E46*'7.4.2 Selling &amp; Oper. expenses'!G77</f>
        <v>0</v>
      </c>
      <c r="N51" s="1740" t="n">
        <f aca="false">'7.4.2 Selling &amp; Oper. expenses'!G46*'7.4.2 Selling &amp; Oper. expenses'!G77</f>
        <v>0</v>
      </c>
      <c r="O51" s="1740" t="n">
        <f aca="false">'7.4.2 Selling &amp; Oper. expenses'!I46*'7.4.2 Selling &amp; Oper. expenses'!G77</f>
        <v>0</v>
      </c>
      <c r="P51" s="1741" t="n">
        <f aca="false">'7.4.2 Selling &amp; Oper. expenses'!K46*'7.4.2 Selling &amp; Oper. expenses'!G77</f>
        <v>0</v>
      </c>
      <c r="Q51" s="22"/>
    </row>
    <row r="52" s="577" customFormat="true" ht="15" hidden="false" customHeight="false" outlineLevel="0" collapsed="false">
      <c r="A52" s="1719" t="s">
        <v>252</v>
      </c>
      <c r="B52" s="1739" t="n">
        <f aca="false">'7.4.2 Selling &amp; Oper. expenses'!C47*'7.4.2 Selling &amp; Oper. expenses'!E78</f>
        <v>16219</v>
      </c>
      <c r="C52" s="1740" t="n">
        <f aca="false">'7.4.2 Selling &amp; Oper. expenses'!E47*'7.4.2 Selling &amp; Oper. expenses'!E78</f>
        <v>9677</v>
      </c>
      <c r="D52" s="1740" t="n">
        <f aca="false">'7.4.2 Selling &amp; Oper. expenses'!G47*'7.4.2 Selling &amp; Oper. expenses'!E78</f>
        <v>9677</v>
      </c>
      <c r="E52" s="1740" t="n">
        <f aca="false">'7.4.2 Selling &amp; Oper. expenses'!I47*'7.4.2 Selling &amp; Oper. expenses'!E78</f>
        <v>9677</v>
      </c>
      <c r="F52" s="1741" t="n">
        <f aca="false">'7.4.2 Selling &amp; Oper. expenses'!K47*'7.4.2 Selling &amp; Oper. expenses'!E78</f>
        <v>9677</v>
      </c>
      <c r="G52" s="1739" t="n">
        <f aca="false">'7.4.2 Selling &amp; Oper. expenses'!C47*'7.4.2 Selling &amp; Oper. expenses'!F78</f>
        <v>0</v>
      </c>
      <c r="H52" s="1740" t="n">
        <f aca="false">'7.4.2 Selling &amp; Oper. expenses'!E47*'7.4.2 Selling &amp; Oper. expenses'!F78</f>
        <v>0</v>
      </c>
      <c r="I52" s="1740" t="n">
        <f aca="false">'7.4.2 Selling &amp; Oper. expenses'!G47*'7.4.2 Selling &amp; Oper. expenses'!F78</f>
        <v>0</v>
      </c>
      <c r="J52" s="1740" t="n">
        <f aca="false">'7.4.2 Selling &amp; Oper. expenses'!I47*'7.4.2 Selling &amp; Oper. expenses'!F78</f>
        <v>0</v>
      </c>
      <c r="K52" s="1741" t="n">
        <f aca="false">'7.4.2 Selling &amp; Oper. expenses'!K47*'7.4.2 Selling &amp; Oper. expenses'!F78</f>
        <v>0</v>
      </c>
      <c r="L52" s="1739" t="n">
        <f aca="false">'7.4.2 Selling &amp; Oper. expenses'!C47*'7.4.2 Selling &amp; Oper. expenses'!G78</f>
        <v>0</v>
      </c>
      <c r="M52" s="1740" t="n">
        <f aca="false">'7.4.2 Selling &amp; Oper. expenses'!E47*'7.4.2 Selling &amp; Oper. expenses'!G78</f>
        <v>0</v>
      </c>
      <c r="N52" s="1740" t="n">
        <f aca="false">'7.4.2 Selling &amp; Oper. expenses'!G47*'7.4.2 Selling &amp; Oper. expenses'!G78</f>
        <v>0</v>
      </c>
      <c r="O52" s="1740" t="n">
        <f aca="false">'7.4.2 Selling &amp; Oper. expenses'!I47*'7.4.2 Selling &amp; Oper. expenses'!G78</f>
        <v>0</v>
      </c>
      <c r="P52" s="1741" t="n">
        <f aca="false">'7.4.2 Selling &amp; Oper. expenses'!K47*'7.4.2 Selling &amp; Oper. expenses'!G78</f>
        <v>0</v>
      </c>
      <c r="Q52" s="22"/>
    </row>
    <row r="53" s="577" customFormat="true" ht="15" hidden="false" customHeight="false" outlineLevel="0" collapsed="false">
      <c r="A53" s="1719" t="s">
        <v>995</v>
      </c>
      <c r="B53" s="1739" t="n">
        <f aca="false">'7.4.2 Selling &amp; Oper. expenses'!C48*'7.4.2 Selling &amp; Oper. expenses'!E79</f>
        <v>12903</v>
      </c>
      <c r="C53" s="1740" t="n">
        <f aca="false">'7.4.2 Selling &amp; Oper. expenses'!E48*'7.4.2 Selling &amp; Oper. expenses'!E79</f>
        <v>6452</v>
      </c>
      <c r="D53" s="1740" t="n">
        <f aca="false">'7.4.2 Selling &amp; Oper. expenses'!G48*'7.4.2 Selling &amp; Oper. expenses'!E79</f>
        <v>9677</v>
      </c>
      <c r="E53" s="1740" t="n">
        <f aca="false">'7.4.2 Selling &amp; Oper. expenses'!I48*'7.4.2 Selling &amp; Oper. expenses'!E79</f>
        <v>11290</v>
      </c>
      <c r="F53" s="1741" t="n">
        <f aca="false">'7.4.2 Selling &amp; Oper. expenses'!K48*'7.4.2 Selling &amp; Oper. expenses'!E79</f>
        <v>12903</v>
      </c>
      <c r="G53" s="1739" t="n">
        <f aca="false">'7.4.2 Selling &amp; Oper. expenses'!C48*'7.4.2 Selling &amp; Oper. expenses'!F79</f>
        <v>0</v>
      </c>
      <c r="H53" s="1740" t="n">
        <f aca="false">'7.4.2 Selling &amp; Oper. expenses'!E48*'7.4.2 Selling &amp; Oper. expenses'!F79</f>
        <v>0</v>
      </c>
      <c r="I53" s="1740" t="n">
        <f aca="false">'7.4.2 Selling &amp; Oper. expenses'!G48*'7.4.2 Selling &amp; Oper. expenses'!F79</f>
        <v>0</v>
      </c>
      <c r="J53" s="1740" t="n">
        <f aca="false">'7.4.2 Selling &amp; Oper. expenses'!I48*'7.4.2 Selling &amp; Oper. expenses'!F79</f>
        <v>0</v>
      </c>
      <c r="K53" s="1741" t="n">
        <f aca="false">'7.4.2 Selling &amp; Oper. expenses'!K48*'7.4.2 Selling &amp; Oper. expenses'!F79</f>
        <v>0</v>
      </c>
      <c r="L53" s="1739" t="n">
        <f aca="false">'7.4.2 Selling &amp; Oper. expenses'!C48*'7.4.2 Selling &amp; Oper. expenses'!G79</f>
        <v>0</v>
      </c>
      <c r="M53" s="1740" t="n">
        <f aca="false">'7.4.2 Selling &amp; Oper. expenses'!E48*'7.4.2 Selling &amp; Oper. expenses'!G79</f>
        <v>0</v>
      </c>
      <c r="N53" s="1740" t="n">
        <f aca="false">'7.4.2 Selling &amp; Oper. expenses'!G48*'7.4.2 Selling &amp; Oper. expenses'!G79</f>
        <v>0</v>
      </c>
      <c r="O53" s="1740" t="n">
        <f aca="false">'7.4.2 Selling &amp; Oper. expenses'!I48*'7.4.2 Selling &amp; Oper. expenses'!G79</f>
        <v>0</v>
      </c>
      <c r="P53" s="1741" t="n">
        <f aca="false">'7.4.2 Selling &amp; Oper. expenses'!K48*'7.4.2 Selling &amp; Oper. expenses'!G79</f>
        <v>0</v>
      </c>
      <c r="Q53" s="22"/>
    </row>
    <row r="54" s="577" customFormat="true" ht="15" hidden="false" customHeight="false" outlineLevel="0" collapsed="false">
      <c r="A54" s="1719" t="s">
        <v>798</v>
      </c>
      <c r="B54" s="1739" t="n">
        <f aca="false">'7.4.2 Selling &amp; Oper. expenses'!C49*'7.4.2 Selling &amp; Oper. expenses'!E80</f>
        <v>1290</v>
      </c>
      <c r="C54" s="1740" t="n">
        <f aca="false">'7.4.2 Selling &amp; Oper. expenses'!E49*'7.4.2 Selling &amp; Oper. expenses'!E80</f>
        <v>1290</v>
      </c>
      <c r="D54" s="1740" t="n">
        <f aca="false">'7.4.2 Selling &amp; Oper. expenses'!G49*'7.4.2 Selling &amp; Oper. expenses'!E80</f>
        <v>1290</v>
      </c>
      <c r="E54" s="1740" t="n">
        <f aca="false">'7.4.2 Selling &amp; Oper. expenses'!I49*'7.4.2 Selling &amp; Oper. expenses'!E80</f>
        <v>1613</v>
      </c>
      <c r="F54" s="1741" t="n">
        <f aca="false">'7.4.2 Selling &amp; Oper. expenses'!K49*'7.4.2 Selling &amp; Oper. expenses'!E80</f>
        <v>1613</v>
      </c>
      <c r="G54" s="1739" t="n">
        <v>0</v>
      </c>
      <c r="H54" s="1740" t="n">
        <f aca="false">'7.4.2 Selling &amp; Oper. expenses'!E49*'7.4.2 Selling &amp; Oper. expenses'!F80</f>
        <v>0</v>
      </c>
      <c r="I54" s="1740" t="n">
        <f aca="false">'7.4.2 Selling &amp; Oper. expenses'!G49*'7.4.2 Selling &amp; Oper. expenses'!F80</f>
        <v>0</v>
      </c>
      <c r="J54" s="1740" t="n">
        <f aca="false">'7.4.2 Selling &amp; Oper. expenses'!I49*'7.4.2 Selling &amp; Oper. expenses'!F80</f>
        <v>0</v>
      </c>
      <c r="K54" s="1741" t="n">
        <f aca="false">'7.4.2 Selling &amp; Oper. expenses'!K49*'7.4.2 Selling &amp; Oper. expenses'!F80</f>
        <v>0</v>
      </c>
      <c r="L54" s="1739" t="n">
        <v>0</v>
      </c>
      <c r="M54" s="1740" t="n">
        <f aca="false">'7.4.2 Selling &amp; Oper. expenses'!E49*'7.4.2 Selling &amp; Oper. expenses'!G80</f>
        <v>0</v>
      </c>
      <c r="N54" s="1740" t="n">
        <f aca="false">'7.4.2 Selling &amp; Oper. expenses'!G49*'7.4.2 Selling &amp; Oper. expenses'!G80</f>
        <v>0</v>
      </c>
      <c r="O54" s="1740" t="n">
        <f aca="false">'7.4.2 Selling &amp; Oper. expenses'!I49*'7.4.2 Selling &amp; Oper. expenses'!G80</f>
        <v>0</v>
      </c>
      <c r="P54" s="1741" t="n">
        <f aca="false">'7.4.2 Selling &amp; Oper. expenses'!K49*'7.4.2 Selling &amp; Oper. expenses'!G80</f>
        <v>0</v>
      </c>
      <c r="Q54" s="22"/>
    </row>
    <row r="55" s="577" customFormat="true" ht="15" hidden="false" customHeight="false" outlineLevel="0" collapsed="false">
      <c r="A55" s="1719" t="s">
        <v>772</v>
      </c>
      <c r="B55" s="1739" t="n">
        <f aca="false">'7.4.2 Selling &amp; Oper. expenses'!C50*'7.4.2 Selling &amp; Oper. expenses'!E81</f>
        <v>3870</v>
      </c>
      <c r="C55" s="1740" t="n">
        <f aca="false">'7.4.2 Selling &amp; Oper. expenses'!E50*'7.4.2 Selling &amp; Oper. expenses'!E81</f>
        <v>4839</v>
      </c>
      <c r="D55" s="1740" t="n">
        <f aca="false">'7.4.2 Selling &amp; Oper. expenses'!G50*'7.4.2 Selling &amp; Oper. expenses'!E81</f>
        <v>5806</v>
      </c>
      <c r="E55" s="1740" t="n">
        <f aca="false">'7.4.2 Selling &amp; Oper. expenses'!I50*'7.4.2 Selling &amp; Oper. expenses'!E81</f>
        <v>6452</v>
      </c>
      <c r="F55" s="1741" t="n">
        <f aca="false">'7.4.2 Selling &amp; Oper. expenses'!K50*'7.4.2 Selling &amp; Oper. expenses'!E81</f>
        <v>8065</v>
      </c>
      <c r="G55" s="1739" t="n">
        <f aca="false">'7.4.2 Selling &amp; Oper. expenses'!C50*'7.4.2 Selling &amp; Oper. expenses'!F81</f>
        <v>0</v>
      </c>
      <c r="H55" s="1740" t="n">
        <f aca="false">'7.4.2 Selling &amp; Oper. expenses'!E50*'7.4.2 Selling &amp; Oper. expenses'!F81</f>
        <v>0</v>
      </c>
      <c r="I55" s="1740" t="n">
        <f aca="false">'7.4.2 Selling &amp; Oper. expenses'!G50*'7.4.2 Selling &amp; Oper. expenses'!F81</f>
        <v>0</v>
      </c>
      <c r="J55" s="1740" t="n">
        <f aca="false">'7.4.2 Selling &amp; Oper. expenses'!I50*'7.4.2 Selling &amp; Oper. expenses'!F81</f>
        <v>0</v>
      </c>
      <c r="K55" s="1741" t="n">
        <f aca="false">'7.4.2 Selling &amp; Oper. expenses'!K50*'7.4.2 Selling &amp; Oper. expenses'!F81</f>
        <v>0</v>
      </c>
      <c r="L55" s="1739" t="n">
        <f aca="false">'7.4.2 Selling &amp; Oper. expenses'!C50*'7.4.2 Selling &amp; Oper. expenses'!G81</f>
        <v>0</v>
      </c>
      <c r="M55" s="1740" t="n">
        <f aca="false">'7.4.2 Selling &amp; Oper. expenses'!E50*'7.4.2 Selling &amp; Oper. expenses'!G81</f>
        <v>0</v>
      </c>
      <c r="N55" s="1740" t="n">
        <f aca="false">'7.4.2 Selling &amp; Oper. expenses'!G50*'7.4.2 Selling &amp; Oper. expenses'!G81</f>
        <v>0</v>
      </c>
      <c r="O55" s="1740" t="n">
        <f aca="false">'7.4.2 Selling &amp; Oper. expenses'!I50*'7.4.2 Selling &amp; Oper. expenses'!G81</f>
        <v>0</v>
      </c>
      <c r="P55" s="1741" t="n">
        <f aca="false">'7.4.2 Selling &amp; Oper. expenses'!K50*'7.4.2 Selling &amp; Oper. expenses'!G81</f>
        <v>0</v>
      </c>
      <c r="Q55" s="22"/>
    </row>
    <row r="56" s="577" customFormat="true" ht="15" hidden="false" customHeight="false" outlineLevel="0" collapsed="false">
      <c r="A56" s="1719" t="s">
        <v>773</v>
      </c>
      <c r="B56" s="1739" t="n">
        <f aca="false">'7.4.2 Selling &amp; Oper. expenses'!C51*'7.4.2 Selling &amp; Oper. expenses'!E82</f>
        <v>130000</v>
      </c>
      <c r="C56" s="1740" t="n">
        <f aca="false">'7.4.2 Selling &amp; Oper. expenses'!E51*'7.4.2 Selling &amp; Oper. expenses'!E82</f>
        <v>130000</v>
      </c>
      <c r="D56" s="1740" t="n">
        <f aca="false">'7.4.2 Selling &amp; Oper. expenses'!G51*'7.4.2 Selling &amp; Oper. expenses'!E82</f>
        <v>130000</v>
      </c>
      <c r="E56" s="1740" t="n">
        <f aca="false">'7.4.2 Selling &amp; Oper. expenses'!I51*'7.4.2 Selling &amp; Oper. expenses'!E82</f>
        <v>130000</v>
      </c>
      <c r="F56" s="1741" t="n">
        <f aca="false">'7.4.2 Selling &amp; Oper. expenses'!K51*'7.4.2 Selling &amp; Oper. expenses'!E82</f>
        <v>130000</v>
      </c>
      <c r="G56" s="1739" t="n">
        <f aca="false">'7.4.2 Selling &amp; Oper. expenses'!C51*'7.4.2 Selling &amp; Oper. expenses'!F82</f>
        <v>0</v>
      </c>
      <c r="H56" s="1740" t="n">
        <f aca="false">'7.4.2 Selling &amp; Oper. expenses'!E51*'7.4.2 Selling &amp; Oper. expenses'!F82</f>
        <v>0</v>
      </c>
      <c r="I56" s="1740" t="n">
        <f aca="false">'7.4.2 Selling &amp; Oper. expenses'!G51*'7.4.2 Selling &amp; Oper. expenses'!F82</f>
        <v>0</v>
      </c>
      <c r="J56" s="1740" t="n">
        <f aca="false">'7.4.2 Selling &amp; Oper. expenses'!I51*'7.4.2 Selling &amp; Oper. expenses'!F82</f>
        <v>0</v>
      </c>
      <c r="K56" s="1741" t="n">
        <f aca="false">'7.4.2 Selling &amp; Oper. expenses'!K51*'7.4.2 Selling &amp; Oper. expenses'!F82</f>
        <v>0</v>
      </c>
      <c r="L56" s="1739" t="n">
        <f aca="false">'7.4.2 Selling &amp; Oper. expenses'!C51*'7.4.2 Selling &amp; Oper. expenses'!G82</f>
        <v>0</v>
      </c>
      <c r="M56" s="1740" t="n">
        <f aca="false">'7.4.2 Selling &amp; Oper. expenses'!E51*'7.4.2 Selling &amp; Oper. expenses'!G82</f>
        <v>0</v>
      </c>
      <c r="N56" s="1740" t="n">
        <f aca="false">'7.4.2 Selling &amp; Oper. expenses'!G51*'7.4.2 Selling &amp; Oper. expenses'!G82</f>
        <v>0</v>
      </c>
      <c r="O56" s="1740" t="n">
        <f aca="false">'7.4.2 Selling &amp; Oper. expenses'!I51*'7.4.2 Selling &amp; Oper. expenses'!G82</f>
        <v>0</v>
      </c>
      <c r="P56" s="1741" t="n">
        <f aca="false">'7.4.2 Selling &amp; Oper. expenses'!K51*'7.4.2 Selling &amp; Oper. expenses'!G82</f>
        <v>0</v>
      </c>
      <c r="Q56" s="22"/>
    </row>
    <row r="57" s="577" customFormat="true" ht="15" hidden="false" customHeight="false" outlineLevel="0" collapsed="false">
      <c r="A57" s="1719" t="s">
        <v>996</v>
      </c>
      <c r="B57" s="1739" t="n">
        <f aca="false">'7.4.2 Selling &amp; Oper. expenses'!C52*'7.4.2 Selling &amp; Oper. expenses'!E83</f>
        <v>0</v>
      </c>
      <c r="C57" s="1740" t="n">
        <f aca="false">'7.4.2 Selling &amp; Oper. expenses'!E52*'7.4.2 Selling &amp; Oper. expenses'!E83</f>
        <v>0</v>
      </c>
      <c r="D57" s="1740" t="n">
        <f aca="false">'7.4.2 Selling &amp; Oper. expenses'!G52*'7.4.2 Selling &amp; Oper. expenses'!E83</f>
        <v>0</v>
      </c>
      <c r="E57" s="1740" t="n">
        <f aca="false">'7.4.2 Selling &amp; Oper. expenses'!I52*'7.4.2 Selling &amp; Oper. expenses'!E83</f>
        <v>0</v>
      </c>
      <c r="F57" s="1741" t="n">
        <f aca="false">'7.4.2 Selling &amp; Oper. expenses'!K52*'7.4.2 Selling &amp; Oper. expenses'!E83</f>
        <v>0</v>
      </c>
      <c r="G57" s="1739" t="n">
        <f aca="false">'7.4.2 Selling &amp; Oper. expenses'!C52*'7.4.2 Selling &amp; Oper. expenses'!F83</f>
        <v>0</v>
      </c>
      <c r="H57" s="1740" t="n">
        <f aca="false">'7.4.2 Selling &amp; Oper. expenses'!E52*'7.4.2 Selling &amp; Oper. expenses'!F83</f>
        <v>0</v>
      </c>
      <c r="I57" s="1740" t="n">
        <f aca="false">'7.4.2 Selling &amp; Oper. expenses'!G52*'7.4.2 Selling &amp; Oper. expenses'!F83</f>
        <v>0</v>
      </c>
      <c r="J57" s="1740" t="n">
        <f aca="false">'7.4.2 Selling &amp; Oper. expenses'!I52*'7.4.2 Selling &amp; Oper. expenses'!F83</f>
        <v>0</v>
      </c>
      <c r="K57" s="1741" t="n">
        <f aca="false">'7.4.2 Selling &amp; Oper. expenses'!K52*'7.4.2 Selling &amp; Oper. expenses'!F83</f>
        <v>0</v>
      </c>
      <c r="L57" s="1739" t="n">
        <f aca="false">'7.4.2 Selling &amp; Oper. expenses'!C52*'7.4.2 Selling &amp; Oper. expenses'!G83</f>
        <v>0</v>
      </c>
      <c r="M57" s="1740" t="n">
        <f aca="false">'7.4.2 Selling &amp; Oper. expenses'!E52*'7.4.2 Selling &amp; Oper. expenses'!G83</f>
        <v>0</v>
      </c>
      <c r="N57" s="1740" t="n">
        <f aca="false">'7.4.2 Selling &amp; Oper. expenses'!G52*'7.4.2 Selling &amp; Oper. expenses'!G83</f>
        <v>0</v>
      </c>
      <c r="O57" s="1740" t="n">
        <f aca="false">'7.4.2 Selling &amp; Oper. expenses'!I52*'7.4.2 Selling &amp; Oper. expenses'!G83</f>
        <v>0</v>
      </c>
      <c r="P57" s="1741" t="n">
        <f aca="false">'7.4.2 Selling &amp; Oper. expenses'!K52*'7.4.2 Selling &amp; Oper. expenses'!G83</f>
        <v>0</v>
      </c>
      <c r="Q57" s="22"/>
    </row>
    <row r="58" s="577" customFormat="true" ht="15" hidden="false" customHeight="false" outlineLevel="0" collapsed="false">
      <c r="A58" s="1719" t="s">
        <v>775</v>
      </c>
      <c r="B58" s="1739" t="n">
        <f aca="false">'7.4.2 Selling &amp; Oper. expenses'!C53*'7.4.2 Selling &amp; Oper. expenses'!E84</f>
        <v>10000</v>
      </c>
      <c r="C58" s="1740" t="n">
        <f aca="false">'7.4.2 Selling &amp; Oper. expenses'!E53*'7.4.2 Selling &amp; Oper. expenses'!E84</f>
        <v>10000</v>
      </c>
      <c r="D58" s="1740" t="n">
        <f aca="false">'7.4.2 Selling &amp; Oper. expenses'!G53*'7.4.2 Selling &amp; Oper. expenses'!E84</f>
        <v>10000</v>
      </c>
      <c r="E58" s="1740" t="n">
        <f aca="false">'7.4.2 Selling &amp; Oper. expenses'!I53*'7.4.2 Selling &amp; Oper. expenses'!E84</f>
        <v>10000</v>
      </c>
      <c r="F58" s="1741" t="n">
        <f aca="false">'7.4.2 Selling &amp; Oper. expenses'!K53*'7.4.2 Selling &amp; Oper. expenses'!E84</f>
        <v>10000</v>
      </c>
      <c r="G58" s="1739" t="n">
        <f aca="false">'7.4.2 Selling &amp; Oper. expenses'!C53*'7.4.2 Selling &amp; Oper. expenses'!F84</f>
        <v>0</v>
      </c>
      <c r="H58" s="1740" t="n">
        <f aca="false">'7.4.2 Selling &amp; Oper. expenses'!E53*'7.4.2 Selling &amp; Oper. expenses'!F84</f>
        <v>0</v>
      </c>
      <c r="I58" s="1740" t="n">
        <f aca="false">'7.4.2 Selling &amp; Oper. expenses'!G53*'7.4.2 Selling &amp; Oper. expenses'!F84</f>
        <v>0</v>
      </c>
      <c r="J58" s="1740" t="n">
        <f aca="false">'7.4.2 Selling &amp; Oper. expenses'!I53*'7.4.2 Selling &amp; Oper. expenses'!F84</f>
        <v>0</v>
      </c>
      <c r="K58" s="1741" t="n">
        <f aca="false">'7.4.2 Selling &amp; Oper. expenses'!K53*'7.4.2 Selling &amp; Oper. expenses'!F84</f>
        <v>0</v>
      </c>
      <c r="L58" s="1739" t="n">
        <f aca="false">'7.4.2 Selling &amp; Oper. expenses'!C53*'7.4.2 Selling &amp; Oper. expenses'!G84</f>
        <v>0</v>
      </c>
      <c r="M58" s="1740" t="n">
        <f aca="false">'7.4.2 Selling &amp; Oper. expenses'!E53*'7.4.2 Selling &amp; Oper. expenses'!G84</f>
        <v>0</v>
      </c>
      <c r="N58" s="1740" t="n">
        <f aca="false">'7.4.2 Selling &amp; Oper. expenses'!G53*'7.4.2 Selling &amp; Oper. expenses'!G84</f>
        <v>0</v>
      </c>
      <c r="O58" s="1740" t="n">
        <f aca="false">'7.4.2 Selling &amp; Oper. expenses'!I53*'7.4.2 Selling &amp; Oper. expenses'!G84</f>
        <v>0</v>
      </c>
      <c r="P58" s="1741" t="n">
        <f aca="false">'7.4.2 Selling &amp; Oper. expenses'!K53*'7.4.2 Selling &amp; Oper. expenses'!G84</f>
        <v>0</v>
      </c>
      <c r="Q58" s="22"/>
    </row>
    <row r="59" s="577" customFormat="true" ht="15" hidden="false" customHeight="false" outlineLevel="0" collapsed="false">
      <c r="A59" s="1719" t="s">
        <v>776</v>
      </c>
      <c r="B59" s="1742" t="n">
        <f aca="false">'7.4.2 Selling &amp; Oper. expenses'!C54*'7.4.2 Selling &amp; Oper. expenses'!E85</f>
        <v>0</v>
      </c>
      <c r="C59" s="1743" t="n">
        <f aca="false">'7.4.2 Selling &amp; Oper. expenses'!E54*'7.4.2 Selling &amp; Oper. expenses'!E85</f>
        <v>0</v>
      </c>
      <c r="D59" s="1743" t="n">
        <f aca="false">'7.4.2 Selling &amp; Oper. expenses'!G54*'7.4.2 Selling &amp; Oper. expenses'!E85</f>
        <v>0</v>
      </c>
      <c r="E59" s="1743" t="n">
        <f aca="false">'7.4.2 Selling &amp; Oper. expenses'!I54*'7.4.2 Selling &amp; Oper. expenses'!E85</f>
        <v>0</v>
      </c>
      <c r="F59" s="1744" t="n">
        <f aca="false">'7.4.2 Selling &amp; Oper. expenses'!K54*'7.4.2 Selling &amp; Oper. expenses'!E85</f>
        <v>0</v>
      </c>
      <c r="G59" s="1742" t="n">
        <f aca="false">'7.4.2 Selling &amp; Oper. expenses'!C54*'7.4.2 Selling &amp; Oper. expenses'!F85</f>
        <v>0</v>
      </c>
      <c r="H59" s="1743" t="n">
        <f aca="false">'7.4.2 Selling &amp; Oper. expenses'!E54*'7.4.2 Selling &amp; Oper. expenses'!F85</f>
        <v>0</v>
      </c>
      <c r="I59" s="1743" t="n">
        <f aca="false">'7.4.2 Selling &amp; Oper. expenses'!G54*'7.4.2 Selling &amp; Oper. expenses'!F85</f>
        <v>0</v>
      </c>
      <c r="J59" s="1743" t="n">
        <f aca="false">'7.4.2 Selling &amp; Oper. expenses'!I54*'7.4.2 Selling &amp; Oper. expenses'!F85</f>
        <v>0</v>
      </c>
      <c r="K59" s="1744" t="n">
        <f aca="false">'7.4.2 Selling &amp; Oper. expenses'!K54*'7.4.2 Selling &amp; Oper. expenses'!F85</f>
        <v>0</v>
      </c>
      <c r="L59" s="1742" t="n">
        <f aca="false">'7.4.2 Selling &amp; Oper. expenses'!C54*'7.4.2 Selling &amp; Oper. expenses'!G85</f>
        <v>0</v>
      </c>
      <c r="M59" s="1743" t="n">
        <f aca="false">'7.4.2 Selling &amp; Oper. expenses'!E54*'7.4.2 Selling &amp; Oper. expenses'!G85</f>
        <v>0</v>
      </c>
      <c r="N59" s="1743" t="n">
        <f aca="false">'7.4.2 Selling &amp; Oper. expenses'!G54*'7.4.2 Selling &amp; Oper. expenses'!G85</f>
        <v>0</v>
      </c>
      <c r="O59" s="1743" t="n">
        <f aca="false">'7.4.2 Selling &amp; Oper. expenses'!I54*'7.4.2 Selling &amp; Oper. expenses'!G85</f>
        <v>0</v>
      </c>
      <c r="P59" s="1744" t="n">
        <f aca="false">'7.4.2 Selling &amp; Oper. expenses'!K54*'7.4.2 Selling &amp; Oper. expenses'!G85</f>
        <v>0</v>
      </c>
      <c r="Q59" s="22"/>
    </row>
    <row r="60" s="577" customFormat="true" ht="15" hidden="false" customHeight="false" outlineLevel="0" collapsed="false">
      <c r="A60" s="1735" t="s">
        <v>997</v>
      </c>
      <c r="B60" s="1748" t="n">
        <f aca="false">SUM(B42:B59)</f>
        <v>385532</v>
      </c>
      <c r="C60" s="1749" t="n">
        <f aca="false">SUM(C42:C59)</f>
        <v>363742</v>
      </c>
      <c r="D60" s="1749" t="n">
        <f aca="false">SUM(D42:D59)</f>
        <v>341160</v>
      </c>
      <c r="E60" s="1749" t="n">
        <f aca="false">SUM(E42:E59)</f>
        <v>346968</v>
      </c>
      <c r="F60" s="1750" t="n">
        <f aca="false">SUM(F42:F59)</f>
        <v>353418</v>
      </c>
      <c r="G60" s="1748" t="n">
        <f aca="false">SUM(G42:G59)</f>
        <v>0</v>
      </c>
      <c r="H60" s="1749" t="n">
        <f aca="false">SUM(H42:H59)</f>
        <v>0</v>
      </c>
      <c r="I60" s="1749" t="n">
        <f aca="false">SUM(I42:I59)</f>
        <v>0</v>
      </c>
      <c r="J60" s="1749" t="n">
        <f aca="false">SUM(J42:J59)</f>
        <v>0</v>
      </c>
      <c r="K60" s="1750" t="n">
        <f aca="false">SUM(K42:K59)</f>
        <v>0</v>
      </c>
      <c r="L60" s="1748" t="n">
        <f aca="false">SUM(L42:L59)</f>
        <v>0</v>
      </c>
      <c r="M60" s="1749" t="n">
        <f aca="false">SUM(M42:M59)</f>
        <v>0</v>
      </c>
      <c r="N60" s="1749" t="n">
        <f aca="false">SUM(N42:N59)</f>
        <v>0</v>
      </c>
      <c r="O60" s="1749" t="n">
        <f aca="false">SUM(O42:O59)</f>
        <v>0</v>
      </c>
      <c r="P60" s="1750" t="n">
        <f aca="false">SUM(P42:P59)</f>
        <v>0</v>
      </c>
      <c r="Q60" s="22"/>
    </row>
    <row r="61" s="577" customFormat="true" ht="15" hidden="false" customHeight="false" outlineLevel="0" collapsed="false">
      <c r="A61" s="1735"/>
      <c r="B61" s="1748"/>
      <c r="C61" s="1749"/>
      <c r="D61" s="1749"/>
      <c r="E61" s="1749"/>
      <c r="F61" s="1750"/>
      <c r="G61" s="1748"/>
      <c r="H61" s="1749"/>
      <c r="I61" s="1749"/>
      <c r="J61" s="1749"/>
      <c r="K61" s="1750"/>
      <c r="L61" s="1748"/>
      <c r="M61" s="1749"/>
      <c r="N61" s="1749"/>
      <c r="O61" s="1749"/>
      <c r="P61" s="1750"/>
      <c r="Q61" s="22"/>
    </row>
    <row r="62" s="1752" customFormat="true" ht="15" hidden="false" customHeight="false" outlineLevel="0" collapsed="false">
      <c r="A62" s="1735" t="s">
        <v>998</v>
      </c>
      <c r="B62" s="1748" t="n">
        <f aca="false">'7.6.1 Activity contribution'!B60</f>
        <v>0</v>
      </c>
      <c r="C62" s="1749" t="n">
        <f aca="false">'7.6.1 Activity contribution'!B137</f>
        <v>0</v>
      </c>
      <c r="D62" s="1749" t="n">
        <f aca="false">'7.6.1 Activity contribution'!B214</f>
        <v>0</v>
      </c>
      <c r="E62" s="1749" t="n">
        <f aca="false">'7.6.1 Activity contribution'!B291</f>
        <v>0</v>
      </c>
      <c r="F62" s="1750" t="n">
        <f aca="false">'7.6.1 Activity contribution'!B368</f>
        <v>0</v>
      </c>
      <c r="G62" s="1748" t="n">
        <f aca="false">'7.4.3 Inv. &amp; Depr.'!D127</f>
        <v>0</v>
      </c>
      <c r="H62" s="1749" t="n">
        <f aca="false">'7.4.3 Inv. &amp; Depr.'!F127</f>
        <v>0</v>
      </c>
      <c r="I62" s="1749" t="n">
        <f aca="false">'7.4.3 Inv. &amp; Depr.'!H127</f>
        <v>0</v>
      </c>
      <c r="J62" s="1749" t="n">
        <f aca="false">'7.4.3 Inv. &amp; Depr.'!J127</f>
        <v>0</v>
      </c>
      <c r="K62" s="1750" t="n">
        <f aca="false">'7.4.3 Inv. &amp; Depr.'!L127</f>
        <v>0</v>
      </c>
      <c r="L62" s="1748" t="n">
        <f aca="false">'7.4.3 Inv. &amp; Depr.'!D128</f>
        <v>0</v>
      </c>
      <c r="M62" s="1749" t="n">
        <f aca="false">'7.4.3 Inv. &amp; Depr.'!F128</f>
        <v>0</v>
      </c>
      <c r="N62" s="1749" t="n">
        <f aca="false">'7.4.3 Inv. &amp; Depr.'!H128</f>
        <v>0</v>
      </c>
      <c r="O62" s="1749" t="n">
        <f aca="false">'7.4.3 Inv. &amp; Depr.'!J128</f>
        <v>0</v>
      </c>
      <c r="P62" s="1750" t="n">
        <f aca="false">'7.4.3 Inv. &amp; Depr.'!L128</f>
        <v>0</v>
      </c>
      <c r="Q62" s="271"/>
    </row>
    <row r="63" s="1752" customFormat="true" ht="15" hidden="false" customHeight="false" outlineLevel="0" collapsed="false">
      <c r="A63" s="1735"/>
      <c r="B63" s="1748"/>
      <c r="C63" s="1749"/>
      <c r="D63" s="1749"/>
      <c r="E63" s="1749"/>
      <c r="F63" s="1750"/>
      <c r="G63" s="1748"/>
      <c r="H63" s="1749"/>
      <c r="I63" s="1749"/>
      <c r="J63" s="1749"/>
      <c r="K63" s="1750"/>
      <c r="L63" s="1748"/>
      <c r="M63" s="1749"/>
      <c r="N63" s="1749"/>
      <c r="O63" s="1749"/>
      <c r="P63" s="1750"/>
      <c r="Q63" s="271"/>
    </row>
    <row r="64" s="1752" customFormat="true" ht="15" hidden="false" customHeight="false" outlineLevel="0" collapsed="false">
      <c r="A64" s="1734"/>
      <c r="B64" s="1774"/>
      <c r="C64" s="1775"/>
      <c r="D64" s="1775"/>
      <c r="E64" s="1775"/>
      <c r="F64" s="1776"/>
      <c r="G64" s="1774"/>
      <c r="H64" s="1775"/>
      <c r="I64" s="1775"/>
      <c r="J64" s="1775"/>
      <c r="K64" s="1776"/>
      <c r="L64" s="1774"/>
      <c r="M64" s="1775"/>
      <c r="N64" s="1775"/>
      <c r="O64" s="1775"/>
      <c r="P64" s="1776"/>
      <c r="Q64" s="271"/>
    </row>
    <row r="65" s="1752" customFormat="true" ht="15" hidden="false" customHeight="false" outlineLevel="0" collapsed="false">
      <c r="A65" s="1735" t="s">
        <v>999</v>
      </c>
      <c r="B65" s="1668" t="n">
        <f aca="false">B32-B37-B39-B60-B62</f>
        <v>-416374</v>
      </c>
      <c r="C65" s="1669" t="n">
        <f aca="false">C32-C37-C39-C60-C62</f>
        <v>-395745.52</v>
      </c>
      <c r="D65" s="1669" t="n">
        <f aca="false">D32-D37-D39-D60-D62</f>
        <v>-383564.664</v>
      </c>
      <c r="E65" s="1669" t="n">
        <f aca="false">E32-E37-E39-E60-E62</f>
        <v>-400906.732608</v>
      </c>
      <c r="F65" s="1670" t="n">
        <f aca="false">F32-F37-F39-F60-F62</f>
        <v>-410593.05656448</v>
      </c>
      <c r="G65" s="1668" t="n">
        <f aca="false">G32-G37-G39-G60-G62</f>
        <v>0</v>
      </c>
      <c r="H65" s="1669" t="n">
        <f aca="false">H32-H37-H39-H60-H62</f>
        <v>0</v>
      </c>
      <c r="I65" s="1669" t="n">
        <f aca="false">I32-I37-I39-I60-I62</f>
        <v>0</v>
      </c>
      <c r="J65" s="1669" t="n">
        <f aca="false">J32-J37-J39-J60-J62</f>
        <v>0</v>
      </c>
      <c r="K65" s="1670" t="n">
        <f aca="false">K32-K37-K39-K60-K62</f>
        <v>0</v>
      </c>
      <c r="L65" s="1668" t="n">
        <f aca="false">L32-L37-L39-L60-L62</f>
        <v>0</v>
      </c>
      <c r="M65" s="1669" t="n">
        <f aca="false">M32-M37-M39-M60-M62</f>
        <v>0</v>
      </c>
      <c r="N65" s="1669" t="n">
        <f aca="false">N32-N37-N39-N60-N62</f>
        <v>0</v>
      </c>
      <c r="O65" s="1669" t="n">
        <f aca="false">O32-O37-O39-O60-O62</f>
        <v>0</v>
      </c>
      <c r="P65" s="1670" t="n">
        <f aca="false">P32-P37-P39-P60-P62</f>
        <v>0</v>
      </c>
      <c r="Q65" s="271"/>
    </row>
    <row r="66" s="577" customFormat="true" ht="15" hidden="false" customHeight="false" outlineLevel="0" collapsed="false">
      <c r="A66" s="1735"/>
      <c r="B66" s="1748"/>
      <c r="C66" s="1749"/>
      <c r="D66" s="1749"/>
      <c r="E66" s="1749"/>
      <c r="F66" s="1750"/>
      <c r="G66" s="1748"/>
      <c r="H66" s="1749"/>
      <c r="I66" s="1749"/>
      <c r="J66" s="1749"/>
      <c r="K66" s="1750"/>
      <c r="L66" s="1748"/>
      <c r="M66" s="1749"/>
      <c r="N66" s="1749"/>
      <c r="O66" s="1749"/>
      <c r="P66" s="1750"/>
      <c r="Q66" s="22"/>
    </row>
    <row r="67" s="1752" customFormat="true" ht="15" hidden="false" customHeight="false" outlineLevel="0" collapsed="false">
      <c r="A67" s="1735" t="s">
        <v>1011</v>
      </c>
      <c r="B67" s="1761" t="n">
        <f aca="false">IF(B16=0,0,B65/B16)</f>
        <v>0</v>
      </c>
      <c r="C67" s="1762" t="n">
        <f aca="false">IF(C16=0,0,C65/C16)</f>
        <v>0</v>
      </c>
      <c r="D67" s="1762" t="n">
        <f aca="false">IF(D16=0,0,D65/D16)</f>
        <v>0</v>
      </c>
      <c r="E67" s="1762" t="n">
        <f aca="false">IF(E16=0,0,E65/E16)</f>
        <v>0</v>
      </c>
      <c r="F67" s="1763" t="n">
        <f aca="false">IF(F16=0,0,F65/F16)</f>
        <v>0</v>
      </c>
      <c r="G67" s="1761" t="n">
        <f aca="false">IF(G16=0,0,G65/G16)</f>
        <v>0</v>
      </c>
      <c r="H67" s="1762" t="n">
        <f aca="false">IF(H16=0,0,H65/H16)</f>
        <v>0</v>
      </c>
      <c r="I67" s="1762" t="n">
        <f aca="false">IF(I16=0,0,I65/I16)</f>
        <v>0</v>
      </c>
      <c r="J67" s="1762" t="n">
        <f aca="false">IF(J16=0,0,J65/J16)</f>
        <v>0</v>
      </c>
      <c r="K67" s="1763" t="n">
        <f aca="false">IF(K16=0,0,K65/K16)</f>
        <v>0</v>
      </c>
      <c r="L67" s="1761" t="n">
        <f aca="false">IF(L16=0,0,L65/L16)</f>
        <v>0</v>
      </c>
      <c r="M67" s="1762" t="n">
        <f aca="false">IF(M16=0,0,M65/M16)</f>
        <v>0</v>
      </c>
      <c r="N67" s="1762" t="n">
        <f aca="false">IF(N16=0,0,N65/N16)</f>
        <v>0</v>
      </c>
      <c r="O67" s="1762" t="n">
        <f aca="false">IF(O16=0,0,O65/O16)</f>
        <v>0</v>
      </c>
      <c r="P67" s="1763" t="n">
        <f aca="false">IF(P16=0,0,P65/P16)</f>
        <v>0</v>
      </c>
      <c r="Q67" s="271"/>
    </row>
    <row r="68" s="1752" customFormat="true" ht="15" hidden="false" customHeight="false" outlineLevel="0" collapsed="false">
      <c r="A68" s="1753"/>
      <c r="B68" s="1754"/>
      <c r="C68" s="1755"/>
      <c r="D68" s="1755"/>
      <c r="E68" s="1755"/>
      <c r="F68" s="1756"/>
      <c r="G68" s="1754"/>
      <c r="H68" s="1755"/>
      <c r="I68" s="1755"/>
      <c r="J68" s="1755"/>
      <c r="K68" s="1756"/>
      <c r="L68" s="1754"/>
      <c r="M68" s="1755"/>
      <c r="N68" s="1755"/>
      <c r="O68" s="1755"/>
      <c r="P68" s="1756"/>
      <c r="Q68" s="271"/>
    </row>
    <row r="69" s="577" customFormat="true" ht="15" hidden="false" customHeight="false" outlineLevel="0" collapsed="false">
      <c r="A69" s="1735"/>
      <c r="B69" s="1748"/>
      <c r="C69" s="1749"/>
      <c r="D69" s="1749"/>
      <c r="E69" s="1749"/>
      <c r="F69" s="1750"/>
      <c r="G69" s="1748"/>
      <c r="H69" s="1749"/>
      <c r="I69" s="1749"/>
      <c r="J69" s="1749"/>
      <c r="K69" s="1750"/>
      <c r="L69" s="1748"/>
      <c r="M69" s="1749"/>
      <c r="N69" s="1749"/>
      <c r="O69" s="1749"/>
      <c r="P69" s="1750"/>
      <c r="Q69" s="22"/>
    </row>
    <row r="70" s="577" customFormat="true" ht="15" hidden="false" customHeight="false" outlineLevel="0" collapsed="false">
      <c r="A70" s="1719" t="s">
        <v>1000</v>
      </c>
      <c r="B70" s="1739" t="n">
        <v>0</v>
      </c>
      <c r="C70" s="1740" t="n">
        <v>0</v>
      </c>
      <c r="D70" s="1740" t="n">
        <v>0</v>
      </c>
      <c r="E70" s="1740" t="n">
        <v>0</v>
      </c>
      <c r="F70" s="1741" t="n">
        <v>0</v>
      </c>
      <c r="G70" s="1739" t="n">
        <v>0</v>
      </c>
      <c r="H70" s="1740" t="n">
        <v>0</v>
      </c>
      <c r="I70" s="1740" t="n">
        <v>0</v>
      </c>
      <c r="J70" s="1740" t="n">
        <v>0</v>
      </c>
      <c r="K70" s="1741" t="n">
        <v>0</v>
      </c>
      <c r="L70" s="1739" t="n">
        <v>0</v>
      </c>
      <c r="M70" s="1740" t="n">
        <v>0</v>
      </c>
      <c r="N70" s="1740" t="n">
        <v>0</v>
      </c>
      <c r="O70" s="1740" t="n">
        <v>0</v>
      </c>
      <c r="P70" s="1741" t="n">
        <v>0</v>
      </c>
      <c r="Q70" s="22"/>
    </row>
    <row r="71" s="577" customFormat="true" ht="15" hidden="false" customHeight="false" outlineLevel="0" collapsed="false">
      <c r="A71" s="1719" t="s">
        <v>1001</v>
      </c>
      <c r="B71" s="1739" t="n">
        <v>0</v>
      </c>
      <c r="C71" s="1740" t="n">
        <v>0</v>
      </c>
      <c r="D71" s="1740" t="n">
        <v>0</v>
      </c>
      <c r="E71" s="1740" t="n">
        <v>0</v>
      </c>
      <c r="F71" s="1741" t="n">
        <v>0</v>
      </c>
      <c r="G71" s="1739" t="n">
        <v>0</v>
      </c>
      <c r="H71" s="1740" t="n">
        <v>0</v>
      </c>
      <c r="I71" s="1740" t="n">
        <v>0</v>
      </c>
      <c r="J71" s="1740" t="n">
        <v>0</v>
      </c>
      <c r="K71" s="1741" t="n">
        <v>0</v>
      </c>
      <c r="L71" s="1739" t="n">
        <v>0</v>
      </c>
      <c r="M71" s="1740" t="n">
        <v>0</v>
      </c>
      <c r="N71" s="1740" t="n">
        <v>0</v>
      </c>
      <c r="O71" s="1740" t="n">
        <v>0</v>
      </c>
      <c r="P71" s="1741" t="n">
        <v>0</v>
      </c>
      <c r="Q71" s="22"/>
    </row>
    <row r="72" s="577" customFormat="true" ht="15" hidden="false" customHeight="false" outlineLevel="0" collapsed="false">
      <c r="A72" s="1770" t="s">
        <v>930</v>
      </c>
      <c r="B72" s="1663" t="n">
        <f aca="false">-'7.5.1 Financial Requirements'!D38*'7.5.2 Fin. Income &amp; Expenses '!E52*'7.5.2 Fin. Income &amp; Expenses '!C73</f>
        <v>0</v>
      </c>
      <c r="C72" s="1665" t="n">
        <f aca="false">-'7.5.1 Financial Requirements'!F38*'7.5.2 Fin. Income &amp; Expenses '!G52*'7.5.2 Fin. Income &amp; Expenses '!C73</f>
        <v>-0</v>
      </c>
      <c r="D72" s="1665" t="n">
        <f aca="false">-'7.5.1 Financial Requirements'!H38*'7.5.2 Fin. Income &amp; Expenses '!I52*'7.5.2 Fin. Income &amp; Expenses '!C73</f>
        <v>-0</v>
      </c>
      <c r="E72" s="1665" t="n">
        <f aca="false">-'7.5.1 Financial Requirements'!J38*'7.5.2 Fin. Income &amp; Expenses '!K52*'7.5.2 Fin. Income &amp; Expenses '!C73</f>
        <v>-0</v>
      </c>
      <c r="F72" s="1682" t="n">
        <f aca="false">-'7.5.1 Financial Requirements'!L38*'7.5.2 Fin. Income &amp; Expenses '!M52*'7.5.2 Fin. Income &amp; Expenses '!C73</f>
        <v>-0</v>
      </c>
      <c r="G72" s="1663" t="n">
        <f aca="false">-(('7.2.1 Turnover Vehicles'!C53+'7.2.1 Turnover Vehicles'!C54)/2)*'7.5.2 Fin. Income &amp; Expenses '!E53*'7.5.2 Fin. Income &amp; Expenses '!C73</f>
        <v>-0</v>
      </c>
      <c r="H72" s="1665" t="n">
        <f aca="false">-(('7.2.1 Turnover Vehicles'!E53+'7.2.1 Turnover Vehicles'!E54)/2)*'7.5.2 Fin. Income &amp; Expenses '!G53*'7.5.2 Fin. Income &amp; Expenses '!C73</f>
        <v>-0</v>
      </c>
      <c r="I72" s="1665" t="n">
        <f aca="false">-(('7.2.1 Turnover Vehicles'!G53+'7.2.1 Turnover Vehicles'!G54)/2)*'7.5.2 Fin. Income &amp; Expenses '!I53*'7.5.2 Fin. Income &amp; Expenses '!C73</f>
        <v>-0</v>
      </c>
      <c r="J72" s="1665" t="n">
        <f aca="false">-(('7.2.1 Turnover Vehicles'!I53+'7.2.1 Turnover Vehicles'!I54)/2)*'7.5.2 Fin. Income &amp; Expenses '!K53*'7.5.2 Fin. Income &amp; Expenses '!C73</f>
        <v>-0</v>
      </c>
      <c r="K72" s="1682" t="n">
        <f aca="false">-(('7.2.1 Turnover Vehicles'!K53+'7.2.1 Turnover Vehicles'!K54)/2)*'7.5.2 Fin. Income &amp; Expenses '!M53*'7.5.2 Fin. Income &amp; Expenses '!C73</f>
        <v>-0</v>
      </c>
      <c r="L72" s="1663" t="n">
        <f aca="false">-'7.5.1 Financial Requirements'!D39*'7.5.2 Fin. Income &amp; Expenses '!E54*'7.5.2 Fin. Income &amp; Expenses '!C73</f>
        <v>-0</v>
      </c>
      <c r="M72" s="1665" t="n">
        <f aca="false">-'7.5.1 Financial Requirements'!F39*'7.5.2 Fin. Income &amp; Expenses '!G54*'7.5.2 Fin. Income &amp; Expenses '!C73</f>
        <v>-0</v>
      </c>
      <c r="N72" s="1665" t="n">
        <f aca="false">-'7.5.1 Financial Requirements'!H39*'7.5.2 Fin. Income &amp; Expenses '!I54*'7.5.2 Fin. Income &amp; Expenses '!C73</f>
        <v>-0</v>
      </c>
      <c r="O72" s="1665" t="n">
        <f aca="false">-'7.5.1 Financial Requirements'!J39*'7.5.2 Fin. Income &amp; Expenses '!K54*'7.5.2 Fin. Income &amp; Expenses '!C73</f>
        <v>-0</v>
      </c>
      <c r="P72" s="1682" t="n">
        <f aca="false">-'7.5.1 Financial Requirements'!L39*'7.5.2 Fin. Income &amp; Expenses '!M54*'7.5.2 Fin. Income &amp; Expenses '!C73</f>
        <v>-0</v>
      </c>
      <c r="Q72" s="22"/>
    </row>
    <row r="73" s="577" customFormat="true" ht="15" hidden="false" customHeight="false" outlineLevel="0" collapsed="false">
      <c r="A73" s="1735" t="s">
        <v>1003</v>
      </c>
      <c r="B73" s="1739" t="n">
        <f aca="false">SUM(B70:B72)</f>
        <v>0</v>
      </c>
      <c r="C73" s="1740" t="n">
        <f aca="false">SUM(C70:C72)</f>
        <v>0</v>
      </c>
      <c r="D73" s="1740" t="n">
        <f aca="false">SUM(D70:D72)</f>
        <v>0</v>
      </c>
      <c r="E73" s="1740" t="n">
        <f aca="false">SUM(E70:E72)</f>
        <v>0</v>
      </c>
      <c r="F73" s="1741" t="n">
        <f aca="false">SUM(F70:F72)</f>
        <v>0</v>
      </c>
      <c r="G73" s="1739" t="n">
        <f aca="false">SUM(G70:G72)</f>
        <v>0</v>
      </c>
      <c r="H73" s="1740" t="n">
        <f aca="false">SUM(H70:H72)</f>
        <v>0</v>
      </c>
      <c r="I73" s="1740" t="n">
        <f aca="false">SUM(I70:I72)</f>
        <v>0</v>
      </c>
      <c r="J73" s="1740" t="n">
        <f aca="false">SUM(J70:J72)</f>
        <v>0</v>
      </c>
      <c r="K73" s="1741" t="n">
        <f aca="false">SUM(K70:K72)</f>
        <v>0</v>
      </c>
      <c r="L73" s="1739" t="n">
        <f aca="false">SUM(L70:L72)</f>
        <v>0</v>
      </c>
      <c r="M73" s="1740" t="n">
        <f aca="false">SUM(M70:M72)</f>
        <v>0</v>
      </c>
      <c r="N73" s="1740" t="n">
        <f aca="false">SUM(N70:N72)</f>
        <v>0</v>
      </c>
      <c r="O73" s="1740" t="n">
        <f aca="false">SUM(O70:O72)</f>
        <v>0</v>
      </c>
      <c r="P73" s="1741" t="n">
        <f aca="false">SUM(P70:P72)</f>
        <v>0</v>
      </c>
      <c r="Q73" s="22"/>
    </row>
    <row r="74" s="577" customFormat="true" ht="15" hidden="false" customHeight="false" outlineLevel="0" collapsed="false">
      <c r="A74" s="1735"/>
      <c r="B74" s="1739"/>
      <c r="C74" s="1618"/>
      <c r="D74" s="1618"/>
      <c r="E74" s="1618"/>
      <c r="F74" s="1619"/>
      <c r="G74" s="1739"/>
      <c r="H74" s="1618"/>
      <c r="I74" s="1618"/>
      <c r="J74" s="1618"/>
      <c r="K74" s="1619"/>
      <c r="L74" s="1739"/>
      <c r="M74" s="1618"/>
      <c r="N74" s="1618"/>
      <c r="O74" s="1618"/>
      <c r="P74" s="1741"/>
      <c r="Q74" s="22"/>
    </row>
    <row r="75" s="577" customFormat="true" ht="15" hidden="false" customHeight="false" outlineLevel="0" collapsed="false">
      <c r="A75" s="1735" t="s">
        <v>1004</v>
      </c>
      <c r="B75" s="1739" t="n">
        <v>0</v>
      </c>
      <c r="C75" s="1618" t="n">
        <v>0</v>
      </c>
      <c r="D75" s="1618" t="n">
        <v>0</v>
      </c>
      <c r="E75" s="1618" t="n">
        <v>0</v>
      </c>
      <c r="F75" s="1619" t="n">
        <v>0</v>
      </c>
      <c r="G75" s="1739" t="n">
        <v>0</v>
      </c>
      <c r="H75" s="1618" t="n">
        <v>0</v>
      </c>
      <c r="I75" s="1618" t="n">
        <v>0</v>
      </c>
      <c r="J75" s="1618" t="n">
        <v>0</v>
      </c>
      <c r="K75" s="1619" t="n">
        <v>0</v>
      </c>
      <c r="L75" s="1739" t="n">
        <v>0</v>
      </c>
      <c r="M75" s="1618" t="n">
        <v>0</v>
      </c>
      <c r="N75" s="1618" t="n">
        <v>0</v>
      </c>
      <c r="O75" s="1618" t="n">
        <v>0</v>
      </c>
      <c r="P75" s="1741" t="n">
        <v>0</v>
      </c>
      <c r="Q75" s="1409"/>
    </row>
    <row r="76" s="577" customFormat="true" ht="15" hidden="false" customHeight="false" outlineLevel="0" collapsed="false">
      <c r="A76" s="1735"/>
      <c r="B76" s="1748"/>
      <c r="C76" s="1030"/>
      <c r="D76" s="1030"/>
      <c r="E76" s="1030"/>
      <c r="F76" s="1269"/>
      <c r="G76" s="1748"/>
      <c r="H76" s="1030"/>
      <c r="I76" s="1030"/>
      <c r="J76" s="1030"/>
      <c r="K76" s="1269"/>
      <c r="L76" s="1748"/>
      <c r="M76" s="1030"/>
      <c r="N76" s="1030"/>
      <c r="O76" s="1030"/>
      <c r="P76" s="1750"/>
      <c r="Q76" s="22"/>
    </row>
    <row r="77" s="577" customFormat="true" ht="15" hidden="false" customHeight="false" outlineLevel="0" collapsed="false">
      <c r="A77" s="1734"/>
      <c r="B77" s="1757"/>
      <c r="C77" s="1758"/>
      <c r="D77" s="1758"/>
      <c r="E77" s="1758"/>
      <c r="F77" s="1759"/>
      <c r="G77" s="1757"/>
      <c r="H77" s="1758"/>
      <c r="I77" s="1758"/>
      <c r="J77" s="1758"/>
      <c r="K77" s="1759"/>
      <c r="L77" s="1757"/>
      <c r="M77" s="1758"/>
      <c r="N77" s="1758"/>
      <c r="O77" s="1758"/>
      <c r="P77" s="1759"/>
      <c r="Q77" s="22"/>
    </row>
    <row r="78" s="577" customFormat="true" ht="15" hidden="false" customHeight="false" outlineLevel="0" collapsed="false">
      <c r="A78" s="1766" t="s">
        <v>1012</v>
      </c>
      <c r="B78" s="1668" t="n">
        <f aca="false">B65+B73+B75</f>
        <v>-416374</v>
      </c>
      <c r="C78" s="1669" t="n">
        <f aca="false">C65+C73+C75</f>
        <v>-395745.52</v>
      </c>
      <c r="D78" s="1669" t="n">
        <f aca="false">D65+D73+D75</f>
        <v>-383564.664</v>
      </c>
      <c r="E78" s="1669" t="n">
        <f aca="false">E65+E73+E75</f>
        <v>-400906.732608</v>
      </c>
      <c r="F78" s="1670" t="n">
        <f aca="false">F65+F73+F75</f>
        <v>-410593.05656448</v>
      </c>
      <c r="G78" s="1668" t="n">
        <f aca="false">G65+G73+G75</f>
        <v>0</v>
      </c>
      <c r="H78" s="1669" t="n">
        <f aca="false">H65+H73+H75</f>
        <v>0</v>
      </c>
      <c r="I78" s="1669" t="n">
        <f aca="false">I65+I73+I75</f>
        <v>0</v>
      </c>
      <c r="J78" s="1669" t="n">
        <f aca="false">J65+J73+J75</f>
        <v>0</v>
      </c>
      <c r="K78" s="1670" t="n">
        <f aca="false">K65+K73+K75</f>
        <v>0</v>
      </c>
      <c r="L78" s="1668" t="n">
        <f aca="false">L65+L73+L75</f>
        <v>0</v>
      </c>
      <c r="M78" s="1669" t="n">
        <f aca="false">M65+M73+M75</f>
        <v>0</v>
      </c>
      <c r="N78" s="1669" t="n">
        <f aca="false">N65+N73+N75</f>
        <v>0</v>
      </c>
      <c r="O78" s="1669" t="n">
        <f aca="false">O65+O73+O75</f>
        <v>0</v>
      </c>
      <c r="P78" s="1670" t="n">
        <f aca="false">P65+P73+P75</f>
        <v>0</v>
      </c>
      <c r="Q78" s="22"/>
    </row>
    <row r="79" s="577" customFormat="true" ht="15" hidden="false" customHeight="false" outlineLevel="0" collapsed="false">
      <c r="A79" s="1735"/>
      <c r="B79" s="1668"/>
      <c r="C79" s="1669"/>
      <c r="D79" s="1669"/>
      <c r="E79" s="1669"/>
      <c r="F79" s="1670"/>
      <c r="G79" s="1668"/>
      <c r="H79" s="1669"/>
      <c r="I79" s="1669"/>
      <c r="J79" s="1669"/>
      <c r="K79" s="1670"/>
      <c r="L79" s="1668"/>
      <c r="M79" s="1669"/>
      <c r="N79" s="1669"/>
      <c r="O79" s="1669"/>
      <c r="P79" s="1670"/>
      <c r="Q79" s="22"/>
    </row>
    <row r="80" s="577" customFormat="true" ht="15" hidden="false" customHeight="false" outlineLevel="0" collapsed="false">
      <c r="A80" s="1766" t="s">
        <v>1011</v>
      </c>
      <c r="B80" s="1761" t="n">
        <f aca="false">IF(B16=0,0,B78/B16)</f>
        <v>0</v>
      </c>
      <c r="C80" s="1762" t="n">
        <f aca="false">IF(C16=0,0,C78/C16)</f>
        <v>0</v>
      </c>
      <c r="D80" s="1762" t="n">
        <f aca="false">IF(D16=0,0,D78/D16)</f>
        <v>0</v>
      </c>
      <c r="E80" s="1762" t="n">
        <f aca="false">IF(E16=0,0,E78/E16)</f>
        <v>0</v>
      </c>
      <c r="F80" s="1763" t="n">
        <f aca="false">IF(F16=0,0,F78/F16)</f>
        <v>0</v>
      </c>
      <c r="G80" s="1761" t="n">
        <f aca="false">IF(G16=0,0,G78/G16)</f>
        <v>0</v>
      </c>
      <c r="H80" s="1762" t="n">
        <f aca="false">IF(H16=0,0,H78/H16)</f>
        <v>0</v>
      </c>
      <c r="I80" s="1762" t="n">
        <f aca="false">IF(I16=0,0,I78/I16)</f>
        <v>0</v>
      </c>
      <c r="J80" s="1762" t="n">
        <f aca="false">IF(J16=0,0,J78/J16)</f>
        <v>0</v>
      </c>
      <c r="K80" s="1763" t="n">
        <f aca="false">IF(K16=0,0,K78/K16)</f>
        <v>0</v>
      </c>
      <c r="L80" s="1761" t="n">
        <f aca="false">IF(L16=0,0,L78/L16)</f>
        <v>0</v>
      </c>
      <c r="M80" s="1762" t="n">
        <f aca="false">IF(M16=0,0,M78/M16)</f>
        <v>0</v>
      </c>
      <c r="N80" s="1762" t="n">
        <f aca="false">IF(N16=0,0,N78/N16)</f>
        <v>0</v>
      </c>
      <c r="O80" s="1762" t="n">
        <f aca="false">IF(O16=0,0,O78/O16)</f>
        <v>0</v>
      </c>
      <c r="P80" s="1763" t="n">
        <f aca="false">IF(P16=0,0,P78/P16)</f>
        <v>0</v>
      </c>
      <c r="Q80" s="22"/>
    </row>
    <row r="81" s="1752" customFormat="true" ht="15.75" hidden="false" customHeight="false" outlineLevel="0" collapsed="false">
      <c r="A81" s="1777"/>
      <c r="B81" s="1778"/>
      <c r="C81" s="1779"/>
      <c r="D81" s="1779"/>
      <c r="E81" s="1779"/>
      <c r="F81" s="1780"/>
      <c r="G81" s="1778"/>
      <c r="H81" s="1779"/>
      <c r="I81" s="1779"/>
      <c r="J81" s="1779"/>
      <c r="K81" s="1780"/>
      <c r="L81" s="1778"/>
      <c r="M81" s="1779"/>
      <c r="N81" s="1779"/>
      <c r="O81" s="1779"/>
      <c r="P81" s="1780"/>
      <c r="Q81" s="271"/>
    </row>
    <row r="82" s="273" customFormat="true" ht="15" hidden="false" customHeight="false" outlineLevel="0" collapsed="false">
      <c r="A82" s="1046"/>
      <c r="B82" s="48"/>
      <c r="C82" s="48"/>
      <c r="D82" s="48"/>
      <c r="E82" s="48"/>
      <c r="F82" s="48"/>
      <c r="G82" s="48"/>
      <c r="H82" s="48"/>
      <c r="I82" s="48"/>
      <c r="J82" s="48"/>
      <c r="K82" s="48"/>
      <c r="L82" s="48"/>
      <c r="M82" s="48"/>
      <c r="N82" s="48"/>
      <c r="O82" s="48"/>
      <c r="P82" s="670"/>
      <c r="Q82" s="271"/>
    </row>
    <row r="83" customFormat="false" ht="15" hidden="false" customHeight="false" outlineLevel="0" collapsed="false">
      <c r="A83" s="1046"/>
      <c r="B83" s="48"/>
      <c r="C83" s="48"/>
      <c r="D83" s="48"/>
      <c r="E83" s="48"/>
      <c r="F83" s="48"/>
      <c r="G83" s="48"/>
      <c r="H83" s="48"/>
      <c r="I83" s="48"/>
      <c r="J83" s="48"/>
      <c r="K83" s="48"/>
      <c r="L83" s="48"/>
      <c r="M83" s="48"/>
      <c r="N83" s="48"/>
      <c r="O83" s="48"/>
      <c r="P83" s="670"/>
    </row>
    <row r="84" s="1784" customFormat="true" ht="28.5" hidden="false" customHeight="false" outlineLevel="0" collapsed="false">
      <c r="A84" s="1781" t="s">
        <v>525</v>
      </c>
      <c r="B84" s="114"/>
      <c r="C84" s="114"/>
      <c r="D84" s="114"/>
      <c r="E84" s="114"/>
      <c r="F84" s="114"/>
      <c r="G84" s="114"/>
      <c r="H84" s="114"/>
      <c r="I84" s="385"/>
      <c r="J84" s="113"/>
      <c r="K84" s="114"/>
      <c r="L84" s="114"/>
      <c r="M84" s="114"/>
      <c r="N84" s="114"/>
      <c r="O84" s="114"/>
      <c r="P84" s="1782" t="str">
        <f aca="false">P1</f>
        <v>7.6.2 Activity Analysis</v>
      </c>
      <c r="Q84" s="1783"/>
    </row>
    <row r="85" s="273" customFormat="true" ht="15" hidden="false" customHeight="false" outlineLevel="0" collapsed="false">
      <c r="A85" s="1046"/>
      <c r="B85" s="48"/>
      <c r="C85" s="48"/>
      <c r="D85" s="48"/>
      <c r="E85" s="48"/>
      <c r="F85" s="48"/>
      <c r="G85" s="48"/>
      <c r="H85" s="48"/>
      <c r="I85" s="48"/>
      <c r="J85" s="848"/>
      <c r="K85" s="48"/>
      <c r="L85" s="48"/>
      <c r="M85" s="48"/>
      <c r="N85" s="48"/>
      <c r="O85" s="48"/>
      <c r="P85" s="1692"/>
      <c r="Q85" s="1751"/>
    </row>
    <row r="86" s="1784" customFormat="true" ht="18" hidden="false" customHeight="false" outlineLevel="0" collapsed="false">
      <c r="A86" s="1693" t="s">
        <v>34</v>
      </c>
      <c r="B86" s="363" t="str">
        <f aca="false">'Reference sheet'!$C$12</f>
        <v>TEST</v>
      </c>
      <c r="C86" s="364"/>
      <c r="D86" s="48"/>
      <c r="E86" s="48"/>
      <c r="F86" s="48"/>
      <c r="G86" s="48"/>
      <c r="H86" s="48"/>
      <c r="I86" s="48"/>
      <c r="J86" s="853" t="s">
        <v>46</v>
      </c>
      <c r="K86" s="852" t="n">
        <f aca="false">'Reference sheet'!$C$15</f>
        <v>1</v>
      </c>
      <c r="L86" s="853" t="s">
        <v>49</v>
      </c>
      <c r="M86" s="1168" t="str">
        <f aca="false">'Reference sheet'!C$17</f>
        <v>July</v>
      </c>
      <c r="N86" s="1168" t="n">
        <f aca="false">'Reference sheet'!D$17</f>
        <v>2018</v>
      </c>
      <c r="O86" s="365" t="s">
        <v>527</v>
      </c>
      <c r="P86" s="1725" t="str">
        <f aca="false">'Reference sheet'!$C$21</f>
        <v>EUR</v>
      </c>
      <c r="Q86" s="1783"/>
    </row>
    <row r="87" customFormat="false" ht="15" hidden="false" customHeight="false" outlineLevel="0" collapsed="false">
      <c r="A87" s="1686"/>
      <c r="B87" s="48"/>
      <c r="C87" s="48"/>
      <c r="D87" s="48"/>
      <c r="E87" s="48"/>
      <c r="F87" s="48"/>
      <c r="G87" s="48"/>
      <c r="H87" s="48"/>
      <c r="I87" s="48"/>
      <c r="J87" s="48"/>
      <c r="K87" s="48"/>
      <c r="L87" s="48"/>
      <c r="M87" s="48"/>
      <c r="N87" s="48"/>
      <c r="O87" s="48"/>
      <c r="P87" s="670"/>
    </row>
    <row r="88" customFormat="false" ht="19.5" hidden="false" customHeight="false" outlineLevel="0" collapsed="false">
      <c r="A88" s="1726"/>
      <c r="B88" s="1727" t="s">
        <v>173</v>
      </c>
      <c r="C88" s="1727"/>
      <c r="D88" s="1727"/>
      <c r="E88" s="1727"/>
      <c r="F88" s="1727"/>
      <c r="G88" s="1727" t="s">
        <v>184</v>
      </c>
      <c r="H88" s="1727"/>
      <c r="I88" s="1727"/>
      <c r="J88" s="1727"/>
      <c r="K88" s="1727"/>
      <c r="L88" s="1727" t="s">
        <v>975</v>
      </c>
      <c r="M88" s="1727"/>
      <c r="N88" s="1727"/>
      <c r="O88" s="1727"/>
      <c r="P88" s="1727"/>
    </row>
    <row r="89" customFormat="false" ht="19.5" hidden="false" customHeight="false" outlineLevel="0" collapsed="false">
      <c r="A89" s="1730"/>
      <c r="B89" s="1731" t="n">
        <f aca="false">G89</f>
        <v>2019</v>
      </c>
      <c r="C89" s="1732" t="n">
        <f aca="false">H89</f>
        <v>2020</v>
      </c>
      <c r="D89" s="1732" t="n">
        <f aca="false">I89</f>
        <v>2021</v>
      </c>
      <c r="E89" s="1732" t="n">
        <f aca="false">J89</f>
        <v>2022</v>
      </c>
      <c r="F89" s="1733" t="n">
        <f aca="false">K89</f>
        <v>2023</v>
      </c>
      <c r="G89" s="1731" t="n">
        <f aca="false">B6</f>
        <v>2019</v>
      </c>
      <c r="H89" s="1732" t="n">
        <f aca="false">C6</f>
        <v>2020</v>
      </c>
      <c r="I89" s="1732" t="n">
        <f aca="false">D6</f>
        <v>2021</v>
      </c>
      <c r="J89" s="1732" t="n">
        <f aca="false">E6</f>
        <v>2022</v>
      </c>
      <c r="K89" s="1733" t="n">
        <f aca="false">F6</f>
        <v>2023</v>
      </c>
      <c r="L89" s="1731" t="n">
        <f aca="false">G89</f>
        <v>2019</v>
      </c>
      <c r="M89" s="1732" t="n">
        <f aca="false">H89</f>
        <v>2020</v>
      </c>
      <c r="N89" s="1732" t="n">
        <f aca="false">I89</f>
        <v>2021</v>
      </c>
      <c r="O89" s="1732" t="n">
        <f aca="false">J89</f>
        <v>2022</v>
      </c>
      <c r="P89" s="1733" t="n">
        <f aca="false">K89</f>
        <v>2023</v>
      </c>
    </row>
    <row r="90" customFormat="false" ht="15" hidden="false" customHeight="false" outlineLevel="0" collapsed="false">
      <c r="A90" s="1734"/>
      <c r="B90" s="1656"/>
      <c r="C90" s="1657"/>
      <c r="D90" s="1657"/>
      <c r="E90" s="1657"/>
      <c r="F90" s="1658"/>
      <c r="G90" s="1656"/>
      <c r="H90" s="1657"/>
      <c r="I90" s="1657"/>
      <c r="J90" s="1657"/>
      <c r="K90" s="1658"/>
      <c r="L90" s="1656"/>
      <c r="M90" s="1657"/>
      <c r="N90" s="1657"/>
      <c r="O90" s="1657"/>
      <c r="P90" s="1658"/>
    </row>
    <row r="91" customFormat="false" ht="15" hidden="false" customHeight="false" outlineLevel="0" collapsed="false">
      <c r="A91" s="1735" t="s">
        <v>604</v>
      </c>
      <c r="B91" s="1736"/>
      <c r="C91" s="1737"/>
      <c r="D91" s="1737"/>
      <c r="E91" s="1737"/>
      <c r="F91" s="1738"/>
      <c r="G91" s="1736"/>
      <c r="H91" s="1737"/>
      <c r="I91" s="1737"/>
      <c r="J91" s="1737"/>
      <c r="K91" s="1738"/>
      <c r="L91" s="1736"/>
      <c r="M91" s="1737"/>
      <c r="N91" s="1737"/>
      <c r="O91" s="1737"/>
      <c r="P91" s="1738"/>
    </row>
    <row r="92" customFormat="false" ht="15" hidden="false" customHeight="false" outlineLevel="0" collapsed="false">
      <c r="A92" s="1719" t="s">
        <v>978</v>
      </c>
      <c r="B92" s="1736"/>
      <c r="C92" s="1737"/>
      <c r="D92" s="1737"/>
      <c r="E92" s="1737"/>
      <c r="F92" s="1738"/>
      <c r="G92" s="1739"/>
      <c r="H92" s="1740"/>
      <c r="I92" s="1740"/>
      <c r="J92" s="1740"/>
      <c r="K92" s="1741"/>
      <c r="L92" s="1736"/>
      <c r="M92" s="1737"/>
      <c r="N92" s="1737"/>
      <c r="O92" s="1737"/>
      <c r="P92" s="1738"/>
    </row>
    <row r="93" customFormat="false" ht="15" hidden="false" customHeight="false" outlineLevel="0" collapsed="false">
      <c r="A93" s="1719" t="s">
        <v>979</v>
      </c>
      <c r="B93" s="1739" t="e">
        <f aca="false">'7.2.2 Turnover Parts'!C17-'7.2.2 Turnover Parts'!C26</f>
        <v>#VALUE!</v>
      </c>
      <c r="C93" s="1740" t="e">
        <f aca="false">'7.2.2 Turnover Parts'!E17-'7.2.2 Turnover Parts'!E26</f>
        <v>#VALUE!</v>
      </c>
      <c r="D93" s="1740" t="e">
        <f aca="false">'7.2.2 Turnover Parts'!G17-'7.2.2 Turnover Parts'!G26</f>
        <v>#VALUE!</v>
      </c>
      <c r="E93" s="1740" t="e">
        <f aca="false">'7.2.2 Turnover Parts'!I17-'7.2.2 Turnover Parts'!I26</f>
        <v>#VALUE!</v>
      </c>
      <c r="F93" s="1741" t="e">
        <f aca="false">'7.2.2 Turnover Parts'!K17-'7.2.2 Turnover Parts'!K26</f>
        <v>#VALUE!</v>
      </c>
      <c r="G93" s="1739" t="n">
        <f aca="false">'7.2.3 Turnover Service &amp; Body'!C38</f>
        <v>0</v>
      </c>
      <c r="H93" s="1740" t="n">
        <f aca="false">'7.2.3 Turnover Service &amp; Body'!E38</f>
        <v>0</v>
      </c>
      <c r="I93" s="1740" t="n">
        <f aca="false">'7.2.3 Turnover Service &amp; Body'!G38</f>
        <v>0</v>
      </c>
      <c r="J93" s="1740" t="n">
        <f aca="false">'7.2.3 Turnover Service &amp; Body'!I38</f>
        <v>0</v>
      </c>
      <c r="K93" s="1741" t="n">
        <f aca="false">'7.2.3 Turnover Service &amp; Body'!K38</f>
        <v>0</v>
      </c>
      <c r="L93" s="1736" t="n">
        <v>0</v>
      </c>
      <c r="M93" s="1737" t="n">
        <v>0</v>
      </c>
      <c r="N93" s="1737" t="n">
        <v>0</v>
      </c>
      <c r="O93" s="1737" t="n">
        <v>0</v>
      </c>
      <c r="P93" s="1738" t="n">
        <v>0</v>
      </c>
    </row>
    <row r="94" s="1729" customFormat="true" ht="18.75" hidden="false" customHeight="false" outlineLevel="0" collapsed="false">
      <c r="A94" s="1719" t="s">
        <v>980</v>
      </c>
      <c r="B94" s="1739" t="n">
        <f aca="false">'7.2.2 Turnover Parts'!C18-'7.2.2 Turnover Parts'!C27</f>
        <v>0</v>
      </c>
      <c r="C94" s="1740" t="n">
        <f aca="false">'7.2.2 Turnover Parts'!E18-'7.2.2 Turnover Parts'!E27</f>
        <v>0</v>
      </c>
      <c r="D94" s="1740" t="n">
        <f aca="false">'7.2.2 Turnover Parts'!G18-'7.2.2 Turnover Parts'!G27</f>
        <v>0</v>
      </c>
      <c r="E94" s="1740" t="n">
        <f aca="false">'7.2.2 Turnover Parts'!I18-'7.2.2 Turnover Parts'!I27</f>
        <v>0</v>
      </c>
      <c r="F94" s="1741" t="n">
        <f aca="false">'7.2.2 Turnover Parts'!K18-'7.2.2 Turnover Parts'!K27</f>
        <v>0</v>
      </c>
      <c r="G94" s="1736" t="n">
        <f aca="false">'7.2.3 Turnover Service &amp; Body'!C41</f>
        <v>0</v>
      </c>
      <c r="H94" s="1737" t="n">
        <f aca="false">'7.2.3 Turnover Service &amp; Body'!E41</f>
        <v>0</v>
      </c>
      <c r="I94" s="1737" t="n">
        <f aca="false">'7.2.3 Turnover Service &amp; Body'!G41</f>
        <v>0</v>
      </c>
      <c r="J94" s="1737" t="n">
        <f aca="false">'7.2.3 Turnover Service &amp; Body'!I41</f>
        <v>0</v>
      </c>
      <c r="K94" s="1738" t="n">
        <f aca="false">'7.2.3 Turnover Service &amp; Body'!K41</f>
        <v>0</v>
      </c>
      <c r="L94" s="1739" t="n">
        <v>0</v>
      </c>
      <c r="M94" s="1740" t="n">
        <v>0</v>
      </c>
      <c r="N94" s="1740" t="n">
        <v>0</v>
      </c>
      <c r="O94" s="1740" t="n">
        <v>0</v>
      </c>
      <c r="P94" s="1741" t="n">
        <v>0</v>
      </c>
      <c r="Q94" s="1728"/>
    </row>
    <row r="95" customFormat="false" ht="15" hidden="false" customHeight="false" outlineLevel="0" collapsed="false">
      <c r="A95" s="1719" t="s">
        <v>981</v>
      </c>
      <c r="B95" s="1739" t="n">
        <f aca="false">'7.2.2 Turnover Parts'!C19</f>
        <v>0</v>
      </c>
      <c r="C95" s="1740" t="n">
        <f aca="false">'7.2.2 Turnover Parts'!E19</f>
        <v>0</v>
      </c>
      <c r="D95" s="1740" t="n">
        <f aca="false">'7.2.2 Turnover Parts'!G19</f>
        <v>0</v>
      </c>
      <c r="E95" s="1740" t="n">
        <f aca="false">'7.2.2 Turnover Parts'!I19</f>
        <v>0</v>
      </c>
      <c r="F95" s="1741" t="n">
        <f aca="false">'7.2.2 Turnover Parts'!K19</f>
        <v>0</v>
      </c>
      <c r="G95" s="1736" t="n">
        <v>0</v>
      </c>
      <c r="H95" s="1737" t="n">
        <v>0</v>
      </c>
      <c r="I95" s="1737" t="n">
        <v>0</v>
      </c>
      <c r="J95" s="1737" t="n">
        <v>0</v>
      </c>
      <c r="K95" s="1738" t="n">
        <v>0</v>
      </c>
      <c r="L95" s="1739" t="n">
        <v>0</v>
      </c>
      <c r="M95" s="1740" t="n">
        <v>0</v>
      </c>
      <c r="N95" s="1740" t="n">
        <v>0</v>
      </c>
      <c r="O95" s="1740" t="n">
        <v>0</v>
      </c>
      <c r="P95" s="1741" t="n">
        <v>0</v>
      </c>
    </row>
    <row r="96" customFormat="false" ht="15" hidden="false" customHeight="false" outlineLevel="0" collapsed="false">
      <c r="A96" s="1719" t="s">
        <v>982</v>
      </c>
      <c r="B96" s="1739" t="e">
        <f aca="false">'7.2.2 Turnover Parts'!C20</f>
        <v>#VALUE!</v>
      </c>
      <c r="C96" s="1740" t="n">
        <f aca="false">'7.2.2 Turnover Parts'!E20</f>
        <v>0</v>
      </c>
      <c r="D96" s="1740" t="n">
        <f aca="false">'7.2.2 Turnover Parts'!G20</f>
        <v>0</v>
      </c>
      <c r="E96" s="1740" t="n">
        <f aca="false">'7.2.2 Turnover Parts'!I20</f>
        <v>0</v>
      </c>
      <c r="F96" s="1741" t="n">
        <f aca="false">'7.2.2 Turnover Parts'!K20</f>
        <v>0</v>
      </c>
      <c r="G96" s="1739" t="n">
        <v>0</v>
      </c>
      <c r="H96" s="1740" t="n">
        <v>0</v>
      </c>
      <c r="I96" s="1740" t="n">
        <v>0</v>
      </c>
      <c r="J96" s="1740" t="n">
        <v>0</v>
      </c>
      <c r="K96" s="1741" t="n">
        <v>0</v>
      </c>
      <c r="L96" s="1736" t="n">
        <v>0</v>
      </c>
      <c r="M96" s="1737" t="n">
        <v>0</v>
      </c>
      <c r="N96" s="1737" t="n">
        <v>0</v>
      </c>
      <c r="O96" s="1737" t="n">
        <v>0</v>
      </c>
      <c r="P96" s="1738" t="n">
        <v>0</v>
      </c>
    </row>
    <row r="97" customFormat="false" ht="15" hidden="false" customHeight="false" outlineLevel="0" collapsed="false">
      <c r="A97" s="1719" t="s">
        <v>708</v>
      </c>
      <c r="B97" s="1739" t="n">
        <v>0</v>
      </c>
      <c r="C97" s="1740" t="n">
        <v>0</v>
      </c>
      <c r="D97" s="1740" t="n">
        <v>0</v>
      </c>
      <c r="E97" s="1740" t="n">
        <v>0</v>
      </c>
      <c r="F97" s="1741" t="n">
        <v>0</v>
      </c>
      <c r="G97" s="1739" t="n">
        <f aca="false">'7.2.3 Turnover Service &amp; Body'!C52</f>
        <v>3000</v>
      </c>
      <c r="H97" s="1740" t="n">
        <f aca="false">'7.2.3 Turnover Service &amp; Body'!E52</f>
        <v>5000</v>
      </c>
      <c r="I97" s="1740" t="n">
        <f aca="false">'7.2.3 Turnover Service &amp; Body'!G52</f>
        <v>8000</v>
      </c>
      <c r="J97" s="1740" t="n">
        <f aca="false">'7.2.3 Turnover Service &amp; Body'!I52</f>
        <v>12000</v>
      </c>
      <c r="K97" s="1741" t="n">
        <f aca="false">'7.2.3 Turnover Service &amp; Body'!K52</f>
        <v>16000</v>
      </c>
      <c r="L97" s="1736" t="n">
        <v>0</v>
      </c>
      <c r="M97" s="1737" t="n">
        <v>0</v>
      </c>
      <c r="N97" s="1737" t="n">
        <v>0</v>
      </c>
      <c r="O97" s="1737" t="n">
        <v>0</v>
      </c>
      <c r="P97" s="1738" t="n">
        <v>0</v>
      </c>
    </row>
    <row r="98" customFormat="false" ht="15" hidden="false" customHeight="false" outlineLevel="0" collapsed="false">
      <c r="A98" s="1719" t="s">
        <v>983</v>
      </c>
      <c r="B98" s="1742" t="n">
        <f aca="false">'7.2.2 Turnover Parts'!C28</f>
        <v>10</v>
      </c>
      <c r="C98" s="1743" t="n">
        <f aca="false">'7.2.2 Turnover Parts'!E28</f>
        <v>0</v>
      </c>
      <c r="D98" s="1743" t="n">
        <f aca="false">'7.2.2 Turnover Parts'!G28</f>
        <v>0</v>
      </c>
      <c r="E98" s="1743" t="n">
        <f aca="false">'7.2.2 Turnover Parts'!I28</f>
        <v>0</v>
      </c>
      <c r="F98" s="1744" t="n">
        <f aca="false">'7.2.2 Turnover Parts'!K28</f>
        <v>0</v>
      </c>
      <c r="G98" s="1742" t="n">
        <f aca="false">'7.2.3 Turnover Service &amp; Body'!C39+'7.2.3 Turnover Service &amp; Body'!C40</f>
        <v>0</v>
      </c>
      <c r="H98" s="1743" t="n">
        <f aca="false">'7.2.3 Turnover Service &amp; Body'!E39+'7.2.3 Turnover Service &amp; Body'!E40</f>
        <v>0</v>
      </c>
      <c r="I98" s="1743" t="n">
        <f aca="false">'7.2.3 Turnover Service &amp; Body'!G39+'7.2.3 Turnover Service &amp; Body'!G40</f>
        <v>0</v>
      </c>
      <c r="J98" s="1743" t="n">
        <f aca="false">'7.2.3 Turnover Service &amp; Body'!I39+'7.2.3 Turnover Service &amp; Body'!I40</f>
        <v>0</v>
      </c>
      <c r="K98" s="1744" t="n">
        <f aca="false">'7.2.3 Turnover Service &amp; Body'!K39+'7.2.3 Turnover Service &amp; Body'!K40</f>
        <v>0</v>
      </c>
      <c r="L98" s="1745" t="n">
        <v>0</v>
      </c>
      <c r="M98" s="1746" t="n">
        <v>0</v>
      </c>
      <c r="N98" s="1746" t="n">
        <v>0</v>
      </c>
      <c r="O98" s="1746" t="n">
        <v>0</v>
      </c>
      <c r="P98" s="1747" t="n">
        <v>0</v>
      </c>
    </row>
    <row r="99" customFormat="false" ht="15" hidden="false" customHeight="false" outlineLevel="0" collapsed="false">
      <c r="A99" s="1735" t="s">
        <v>984</v>
      </c>
      <c r="B99" s="1748" t="e">
        <f aca="false">SUM(B93:B98)</f>
        <v>#VALUE!</v>
      </c>
      <c r="C99" s="1749" t="e">
        <f aca="false">SUM(C93:C98)</f>
        <v>#VALUE!</v>
      </c>
      <c r="D99" s="1749" t="e">
        <f aca="false">SUM(D93:D98)</f>
        <v>#VALUE!</v>
      </c>
      <c r="E99" s="1749" t="e">
        <f aca="false">SUM(E93:E98)</f>
        <v>#VALUE!</v>
      </c>
      <c r="F99" s="1750" t="e">
        <f aca="false">SUM(F93:F98)</f>
        <v>#VALUE!</v>
      </c>
      <c r="G99" s="1748" t="n">
        <f aca="false">SUM(G93:G98)</f>
        <v>3000</v>
      </c>
      <c r="H99" s="1749" t="n">
        <f aca="false">SUM(H93:H98)</f>
        <v>5000</v>
      </c>
      <c r="I99" s="1749" t="n">
        <f aca="false">SUM(I93:I98)</f>
        <v>8000</v>
      </c>
      <c r="J99" s="1749" t="n">
        <f aca="false">SUM(J93:J98)</f>
        <v>12000</v>
      </c>
      <c r="K99" s="1750" t="n">
        <f aca="false">SUM(K93:K98)</f>
        <v>16000</v>
      </c>
      <c r="L99" s="1748" t="n">
        <v>0</v>
      </c>
      <c r="M99" s="1749" t="n">
        <v>0</v>
      </c>
      <c r="N99" s="1749" t="n">
        <v>0</v>
      </c>
      <c r="O99" s="1749" t="n">
        <v>0</v>
      </c>
      <c r="P99" s="1750" t="n">
        <v>0</v>
      </c>
    </row>
    <row r="100" customFormat="false" ht="15" hidden="false" customHeight="false" outlineLevel="0" collapsed="false">
      <c r="A100" s="1753"/>
      <c r="B100" s="1754"/>
      <c r="C100" s="1755"/>
      <c r="D100" s="1755"/>
      <c r="E100" s="1755"/>
      <c r="F100" s="1756"/>
      <c r="G100" s="1754"/>
      <c r="H100" s="1755"/>
      <c r="I100" s="1755"/>
      <c r="J100" s="1755"/>
      <c r="K100" s="1756"/>
      <c r="L100" s="1754"/>
      <c r="M100" s="1755"/>
      <c r="N100" s="1755"/>
      <c r="O100" s="1755"/>
      <c r="P100" s="1756"/>
    </row>
    <row r="101" customFormat="false" ht="15" hidden="false" customHeight="false" outlineLevel="0" collapsed="false">
      <c r="A101" s="1734"/>
      <c r="B101" s="1757"/>
      <c r="C101" s="1758"/>
      <c r="D101" s="1758"/>
      <c r="E101" s="1758"/>
      <c r="F101" s="1759"/>
      <c r="G101" s="1757"/>
      <c r="H101" s="1758"/>
      <c r="I101" s="1758"/>
      <c r="J101" s="1758"/>
      <c r="K101" s="1759"/>
      <c r="L101" s="1757"/>
      <c r="M101" s="1758"/>
      <c r="N101" s="1758"/>
      <c r="O101" s="1758"/>
      <c r="P101" s="1759"/>
    </row>
    <row r="102" customFormat="false" ht="15" hidden="false" customHeight="false" outlineLevel="0" collapsed="false">
      <c r="A102" s="1735" t="s">
        <v>985</v>
      </c>
      <c r="B102" s="1736"/>
      <c r="C102" s="1737"/>
      <c r="D102" s="1737"/>
      <c r="E102" s="1737"/>
      <c r="F102" s="1738"/>
      <c r="G102" s="1736"/>
      <c r="H102" s="1737"/>
      <c r="I102" s="1737"/>
      <c r="J102" s="1737"/>
      <c r="K102" s="1738"/>
      <c r="L102" s="1736"/>
      <c r="M102" s="1737"/>
      <c r="N102" s="1737"/>
      <c r="O102" s="1737"/>
      <c r="P102" s="1738"/>
    </row>
    <row r="103" customFormat="false" ht="15" hidden="false" customHeight="false" outlineLevel="0" collapsed="false">
      <c r="A103" s="1719" t="s">
        <v>978</v>
      </c>
      <c r="B103" s="1736"/>
      <c r="C103" s="1737"/>
      <c r="D103" s="1737"/>
      <c r="E103" s="1737"/>
      <c r="F103" s="1738"/>
      <c r="G103" s="1736"/>
      <c r="H103" s="1737"/>
      <c r="I103" s="1737"/>
      <c r="J103" s="1737"/>
      <c r="K103" s="1738"/>
      <c r="L103" s="1736"/>
      <c r="M103" s="1737"/>
      <c r="N103" s="1737"/>
      <c r="O103" s="1737"/>
      <c r="P103" s="1738"/>
    </row>
    <row r="104" customFormat="false" ht="15" hidden="false" customHeight="false" outlineLevel="0" collapsed="false">
      <c r="A104" s="1719" t="s">
        <v>979</v>
      </c>
      <c r="B104" s="1739" t="e">
        <f aca="false">'7.3 Cost of sales'!C76+'7.3 Cost of sales'!C78+'7.3 Cost of sales'!C80+'7.3 Cost of sales'!C81</f>
        <v>#VALUE!</v>
      </c>
      <c r="C104" s="1740" t="e">
        <f aca="false">'7.3 Cost of sales'!E76+'7.3 Cost of sales'!E78+'7.3 Cost of sales'!E80+'7.3 Cost of sales'!E81</f>
        <v>#VALUE!</v>
      </c>
      <c r="D104" s="1740" t="e">
        <f aca="false">'7.3 Cost of sales'!G76+'7.3 Cost of sales'!G78+'7.3 Cost of sales'!G80+'7.3 Cost of sales'!G81</f>
        <v>#VALUE!</v>
      </c>
      <c r="E104" s="1740" t="e">
        <f aca="false">'7.3 Cost of sales'!I76+'7.3 Cost of sales'!I78+'7.3 Cost of sales'!I80+'7.3 Cost of sales'!I81</f>
        <v>#VALUE!</v>
      </c>
      <c r="F104" s="1741" t="e">
        <f aca="false">'7.3 Cost of sales'!K76+'7.3 Cost of sales'!K78+'7.3 Cost of sales'!K80+'7.3 Cost of sales'!K81</f>
        <v>#VALUE!</v>
      </c>
      <c r="G104" s="1739" t="n">
        <v>0</v>
      </c>
      <c r="H104" s="1740" t="n">
        <v>0</v>
      </c>
      <c r="I104" s="1740" t="n">
        <v>0</v>
      </c>
      <c r="J104" s="1740" t="n">
        <v>0</v>
      </c>
      <c r="K104" s="1741" t="n">
        <v>0</v>
      </c>
      <c r="L104" s="1736" t="n">
        <v>0</v>
      </c>
      <c r="M104" s="1737" t="n">
        <v>0</v>
      </c>
      <c r="N104" s="1737" t="n">
        <v>0</v>
      </c>
      <c r="O104" s="1737" t="n">
        <v>0</v>
      </c>
      <c r="P104" s="1738" t="n">
        <v>0</v>
      </c>
    </row>
    <row r="105" customFormat="false" ht="15" hidden="false" customHeight="false" outlineLevel="0" collapsed="false">
      <c r="A105" s="1719" t="s">
        <v>980</v>
      </c>
      <c r="B105" s="1739" t="n">
        <f aca="false">'7.3 Cost of sales'!C77+'7.3 Cost of sales'!C79+'7.3 Cost of sales'!C82</f>
        <v>0</v>
      </c>
      <c r="C105" s="1740" t="n">
        <f aca="false">'7.3 Cost of sales'!E77+'7.3 Cost of sales'!E79+'7.3 Cost of sales'!E82</f>
        <v>0</v>
      </c>
      <c r="D105" s="1740" t="n">
        <f aca="false">'7.3 Cost of sales'!G77+'7.3 Cost of sales'!G79+'7.3 Cost of sales'!G82</f>
        <v>0</v>
      </c>
      <c r="E105" s="1740" t="n">
        <f aca="false">'7.3 Cost of sales'!I77+'7.3 Cost of sales'!I79+'7.3 Cost of sales'!I82</f>
        <v>0</v>
      </c>
      <c r="F105" s="1741" t="n">
        <f aca="false">'7.3 Cost of sales'!K77+'7.3 Cost of sales'!K79+'7.3 Cost of sales'!K82</f>
        <v>0</v>
      </c>
      <c r="G105" s="1736" t="n">
        <v>0</v>
      </c>
      <c r="H105" s="1737" t="n">
        <v>0</v>
      </c>
      <c r="I105" s="1737" t="n">
        <v>0</v>
      </c>
      <c r="J105" s="1737" t="n">
        <v>0</v>
      </c>
      <c r="K105" s="1738" t="n">
        <v>0</v>
      </c>
      <c r="L105" s="1739" t="n">
        <v>0</v>
      </c>
      <c r="M105" s="1740" t="n">
        <v>0</v>
      </c>
      <c r="N105" s="1740" t="n">
        <v>0</v>
      </c>
      <c r="O105" s="1740" t="n">
        <v>0</v>
      </c>
      <c r="P105" s="1741" t="n">
        <v>0</v>
      </c>
    </row>
    <row r="106" customFormat="false" ht="15" hidden="false" customHeight="false" outlineLevel="0" collapsed="false">
      <c r="A106" s="1719" t="s">
        <v>981</v>
      </c>
      <c r="B106" s="1739" t="n">
        <f aca="false">'7.3 Cost of sales'!C83</f>
        <v>0</v>
      </c>
      <c r="C106" s="1740" t="n">
        <f aca="false">'7.3 Cost of sales'!E83</f>
        <v>0</v>
      </c>
      <c r="D106" s="1740" t="n">
        <f aca="false">'7.3 Cost of sales'!G83</f>
        <v>0</v>
      </c>
      <c r="E106" s="1740" t="n">
        <f aca="false">'7.3 Cost of sales'!I83</f>
        <v>0</v>
      </c>
      <c r="F106" s="1741" t="n">
        <f aca="false">'7.3 Cost of sales'!K83</f>
        <v>0</v>
      </c>
      <c r="G106" s="1736" t="n">
        <v>0</v>
      </c>
      <c r="H106" s="1737" t="n">
        <v>0</v>
      </c>
      <c r="I106" s="1737" t="n">
        <v>0</v>
      </c>
      <c r="J106" s="1737" t="n">
        <v>0</v>
      </c>
      <c r="K106" s="1738" t="n">
        <v>0</v>
      </c>
      <c r="L106" s="1739" t="n">
        <v>0</v>
      </c>
      <c r="M106" s="1740" t="n">
        <v>0</v>
      </c>
      <c r="N106" s="1740" t="n">
        <v>0</v>
      </c>
      <c r="O106" s="1740" t="n">
        <v>0</v>
      </c>
      <c r="P106" s="1741" t="n">
        <v>0</v>
      </c>
    </row>
    <row r="107" customFormat="false" ht="15" hidden="false" customHeight="false" outlineLevel="0" collapsed="false">
      <c r="A107" s="1719" t="s">
        <v>982</v>
      </c>
      <c r="B107" s="1739" t="e">
        <f aca="false">'7.3 Cost of sales'!C84</f>
        <v>#VALUE!</v>
      </c>
      <c r="C107" s="1740" t="n">
        <f aca="false">'7.3 Cost of sales'!E84</f>
        <v>0</v>
      </c>
      <c r="D107" s="1740" t="n">
        <f aca="false">'7.3 Cost of sales'!G84</f>
        <v>0</v>
      </c>
      <c r="E107" s="1740" t="n">
        <f aca="false">'7.3 Cost of sales'!I84</f>
        <v>0</v>
      </c>
      <c r="F107" s="1741" t="n">
        <f aca="false">'7.3 Cost of sales'!K84</f>
        <v>0</v>
      </c>
      <c r="G107" s="1736" t="n">
        <v>0</v>
      </c>
      <c r="H107" s="1737" t="n">
        <v>0</v>
      </c>
      <c r="I107" s="1737" t="n">
        <v>0</v>
      </c>
      <c r="J107" s="1737" t="n">
        <v>0</v>
      </c>
      <c r="K107" s="1738" t="n">
        <v>0</v>
      </c>
      <c r="L107" s="1736" t="n">
        <v>0</v>
      </c>
      <c r="M107" s="1737" t="n">
        <v>0</v>
      </c>
      <c r="N107" s="1737" t="n">
        <v>0</v>
      </c>
      <c r="O107" s="1737" t="n">
        <v>0</v>
      </c>
      <c r="P107" s="1738" t="n">
        <v>0</v>
      </c>
    </row>
    <row r="108" customFormat="false" ht="15" hidden="false" customHeight="false" outlineLevel="0" collapsed="false">
      <c r="A108" s="1719" t="s">
        <v>986</v>
      </c>
      <c r="B108" s="1739" t="n">
        <v>0</v>
      </c>
      <c r="C108" s="1740" t="n">
        <v>0</v>
      </c>
      <c r="D108" s="1740" t="n">
        <v>0</v>
      </c>
      <c r="E108" s="1740" t="n">
        <v>0</v>
      </c>
      <c r="F108" s="1741" t="n">
        <v>0</v>
      </c>
      <c r="G108" s="1736" t="n">
        <f aca="false">'7.2.3 Turnover Service &amp; Body'!C59*('7.4.1 Salaries &amp; Wages'!C105+'7.4.1 Salaries &amp; Wages'!C114)</f>
        <v>0</v>
      </c>
      <c r="H108" s="1740" t="n">
        <f aca="false">'7.2.3 Turnover Service &amp; Body'!E59*('7.4.1 Salaries &amp; Wages'!E105+'7.4.1 Salaries &amp; Wages'!E114)</f>
        <v>0</v>
      </c>
      <c r="I108" s="1737" t="n">
        <f aca="false">'7.2.3 Turnover Service &amp; Body'!G59*('7.4.1 Salaries &amp; Wages'!G105+'7.4.1 Salaries &amp; Wages'!G114)</f>
        <v>0</v>
      </c>
      <c r="J108" s="1740" t="n">
        <f aca="false">'7.2.3 Turnover Service &amp; Body'!I59*('7.4.1 Salaries &amp; Wages'!I105+'7.4.1 Salaries &amp; Wages'!I114)</f>
        <v>0</v>
      </c>
      <c r="K108" s="1741" t="n">
        <f aca="false">'7.2.3 Turnover Service &amp; Body'!K59*('7.4.1 Salaries &amp; Wages'!K105+'7.4.1 Salaries &amp; Wages'!K114)</f>
        <v>0</v>
      </c>
      <c r="L108" s="1736" t="n">
        <v>0</v>
      </c>
      <c r="M108" s="1740" t="n">
        <v>0</v>
      </c>
      <c r="N108" s="1740" t="n">
        <v>0</v>
      </c>
      <c r="O108" s="1740" t="n">
        <v>0</v>
      </c>
      <c r="P108" s="1741" t="n">
        <v>0</v>
      </c>
    </row>
    <row r="109" customFormat="false" ht="15" hidden="false" customHeight="false" outlineLevel="0" collapsed="false">
      <c r="A109" s="1719" t="s">
        <v>987</v>
      </c>
      <c r="B109" s="1739" t="e">
        <f aca="false">-'7.3 Cost of sales'!C93</f>
        <v>#VALUE!</v>
      </c>
      <c r="C109" s="1740" t="e">
        <f aca="false">-'7.3 Cost of sales'!E93</f>
        <v>#VALUE!</v>
      </c>
      <c r="D109" s="1740" t="e">
        <f aca="false">-'7.3 Cost of sales'!G93</f>
        <v>#VALUE!</v>
      </c>
      <c r="E109" s="1740" t="e">
        <f aca="false">-'7.3 Cost of sales'!I93</f>
        <v>#VALUE!</v>
      </c>
      <c r="F109" s="1741" t="e">
        <f aca="false">-'7.3 Cost of sales'!K93</f>
        <v>#VALUE!</v>
      </c>
      <c r="G109" s="1739" t="n">
        <v>0</v>
      </c>
      <c r="H109" s="1740" t="n">
        <v>0</v>
      </c>
      <c r="I109" s="1740" t="n">
        <v>0</v>
      </c>
      <c r="J109" s="1740" t="n">
        <v>0</v>
      </c>
      <c r="K109" s="1741" t="n">
        <v>0</v>
      </c>
      <c r="L109" s="1739" t="n">
        <v>0</v>
      </c>
      <c r="M109" s="1740" t="n">
        <v>0</v>
      </c>
      <c r="N109" s="1740" t="n">
        <v>0</v>
      </c>
      <c r="O109" s="1740" t="n">
        <v>0</v>
      </c>
      <c r="P109" s="1741" t="n">
        <v>0</v>
      </c>
    </row>
    <row r="110" customFormat="false" ht="15" hidden="false" customHeight="false" outlineLevel="0" collapsed="false">
      <c r="A110" s="1719" t="s">
        <v>708</v>
      </c>
      <c r="B110" s="1739" t="n">
        <v>0</v>
      </c>
      <c r="C110" s="1740" t="n">
        <v>0</v>
      </c>
      <c r="D110" s="1740" t="n">
        <v>0</v>
      </c>
      <c r="E110" s="1740" t="n">
        <v>0</v>
      </c>
      <c r="F110" s="1741" t="n">
        <v>0</v>
      </c>
      <c r="G110" s="1739" t="n">
        <f aca="false">'7.3 Cost of sales'!C102</f>
        <v>3000</v>
      </c>
      <c r="H110" s="1740" t="n">
        <f aca="false">'7.3 Cost of sales'!E102</f>
        <v>5000</v>
      </c>
      <c r="I110" s="1740" t="n">
        <f aca="false">'7.3 Cost of sales'!G102</f>
        <v>8000</v>
      </c>
      <c r="J110" s="1740" t="n">
        <f aca="false">'7.3 Cost of sales'!I102</f>
        <v>12000</v>
      </c>
      <c r="K110" s="1741" t="n">
        <f aca="false">'7.3 Cost of sales'!K102</f>
        <v>16000</v>
      </c>
      <c r="L110" s="1739" t="n">
        <v>0</v>
      </c>
      <c r="M110" s="1740" t="n">
        <v>0</v>
      </c>
      <c r="N110" s="1740" t="n">
        <v>0</v>
      </c>
      <c r="O110" s="1740" t="n">
        <v>0</v>
      </c>
      <c r="P110" s="1741" t="n">
        <v>0</v>
      </c>
    </row>
    <row r="111" customFormat="false" ht="15" hidden="false" customHeight="false" outlineLevel="0" collapsed="false">
      <c r="A111" s="1719" t="s">
        <v>983</v>
      </c>
      <c r="B111" s="1742" t="n">
        <v>0</v>
      </c>
      <c r="C111" s="1743" t="n">
        <v>0</v>
      </c>
      <c r="D111" s="1743" t="n">
        <v>0</v>
      </c>
      <c r="E111" s="1743" t="n">
        <v>0</v>
      </c>
      <c r="F111" s="1744" t="n">
        <v>0</v>
      </c>
      <c r="G111" s="1742" t="n">
        <v>0</v>
      </c>
      <c r="H111" s="1743" t="n">
        <v>0</v>
      </c>
      <c r="I111" s="1743" t="n">
        <v>0</v>
      </c>
      <c r="J111" s="1743" t="n">
        <v>0</v>
      </c>
      <c r="K111" s="1744" t="n">
        <v>0</v>
      </c>
      <c r="L111" s="1745" t="n">
        <v>0</v>
      </c>
      <c r="M111" s="1746" t="n">
        <v>0</v>
      </c>
      <c r="N111" s="1746" t="n">
        <v>0</v>
      </c>
      <c r="O111" s="1746" t="n">
        <v>0</v>
      </c>
      <c r="P111" s="1747" t="n">
        <v>0</v>
      </c>
    </row>
    <row r="112" customFormat="false" ht="15" hidden="false" customHeight="false" outlineLevel="0" collapsed="false">
      <c r="A112" s="1735" t="s">
        <v>988</v>
      </c>
      <c r="B112" s="1748" t="e">
        <f aca="false">SUM(B104:B111)</f>
        <v>#VALUE!</v>
      </c>
      <c r="C112" s="1749" t="e">
        <f aca="false">SUM(C104:C111)</f>
        <v>#VALUE!</v>
      </c>
      <c r="D112" s="1749" t="e">
        <f aca="false">SUM(D104:D111)</f>
        <v>#VALUE!</v>
      </c>
      <c r="E112" s="1749" t="e">
        <f aca="false">SUM(E104:E111)</f>
        <v>#VALUE!</v>
      </c>
      <c r="F112" s="1750" t="e">
        <f aca="false">SUM(F104:F111)</f>
        <v>#VALUE!</v>
      </c>
      <c r="G112" s="1748" t="n">
        <f aca="false">SUM(G104:G111)</f>
        <v>3000</v>
      </c>
      <c r="H112" s="1749" t="n">
        <f aca="false">SUM(H104:H111)</f>
        <v>5000</v>
      </c>
      <c r="I112" s="1749" t="n">
        <f aca="false">SUM(I104:I111)</f>
        <v>8000</v>
      </c>
      <c r="J112" s="1749" t="n">
        <f aca="false">SUM(J104:J111)</f>
        <v>12000</v>
      </c>
      <c r="K112" s="1750" t="n">
        <f aca="false">SUM(K104:K111)</f>
        <v>16000</v>
      </c>
      <c r="L112" s="1748" t="n">
        <v>0</v>
      </c>
      <c r="M112" s="1749" t="n">
        <v>0</v>
      </c>
      <c r="N112" s="1749" t="n">
        <v>0</v>
      </c>
      <c r="O112" s="1749" t="n">
        <v>0</v>
      </c>
      <c r="P112" s="1750" t="n">
        <v>0</v>
      </c>
    </row>
    <row r="113" customFormat="false" ht="15" hidden="false" customHeight="false" outlineLevel="0" collapsed="false">
      <c r="A113" s="1753"/>
      <c r="B113" s="1754"/>
      <c r="C113" s="1755"/>
      <c r="D113" s="1755"/>
      <c r="E113" s="1755"/>
      <c r="F113" s="1756"/>
      <c r="G113" s="1754"/>
      <c r="H113" s="1755"/>
      <c r="I113" s="1755"/>
      <c r="J113" s="1755"/>
      <c r="K113" s="1756"/>
      <c r="L113" s="1754"/>
      <c r="M113" s="1755"/>
      <c r="N113" s="1755"/>
      <c r="O113" s="1755"/>
      <c r="P113" s="1756"/>
    </row>
    <row r="114" customFormat="false" ht="15" hidden="false" customHeight="false" outlineLevel="0" collapsed="false">
      <c r="A114" s="1734"/>
      <c r="B114" s="1757"/>
      <c r="C114" s="1758"/>
      <c r="D114" s="1758"/>
      <c r="E114" s="1758"/>
      <c r="F114" s="1759"/>
      <c r="G114" s="1757"/>
      <c r="H114" s="1758"/>
      <c r="I114" s="1758"/>
      <c r="J114" s="1758"/>
      <c r="K114" s="1759"/>
      <c r="L114" s="1757"/>
      <c r="M114" s="1758"/>
      <c r="N114" s="1758"/>
      <c r="O114" s="1758"/>
      <c r="P114" s="1759"/>
    </row>
    <row r="115" customFormat="false" ht="15" hidden="false" customHeight="false" outlineLevel="0" collapsed="false">
      <c r="A115" s="1735" t="s">
        <v>989</v>
      </c>
      <c r="B115" s="1748" t="e">
        <f aca="false">B99-B112</f>
        <v>#VALUE!</v>
      </c>
      <c r="C115" s="1749" t="e">
        <f aca="false">C99-C112</f>
        <v>#VALUE!</v>
      </c>
      <c r="D115" s="1749" t="e">
        <f aca="false">D99-D112</f>
        <v>#VALUE!</v>
      </c>
      <c r="E115" s="1749" t="e">
        <f aca="false">E99-E112</f>
        <v>#VALUE!</v>
      </c>
      <c r="F115" s="1750" t="e">
        <f aca="false">F99-F112</f>
        <v>#VALUE!</v>
      </c>
      <c r="G115" s="1748" t="n">
        <f aca="false">G99-G112</f>
        <v>0</v>
      </c>
      <c r="H115" s="1749" t="n">
        <f aca="false">H99-H112</f>
        <v>0</v>
      </c>
      <c r="I115" s="1749" t="n">
        <f aca="false">I99-I112</f>
        <v>0</v>
      </c>
      <c r="J115" s="1749" t="n">
        <f aca="false">J99-J112</f>
        <v>0</v>
      </c>
      <c r="K115" s="1750" t="n">
        <f aca="false">K99-K112</f>
        <v>0</v>
      </c>
      <c r="L115" s="1748" t="n">
        <v>0</v>
      </c>
      <c r="M115" s="1749" t="n">
        <v>0</v>
      </c>
      <c r="N115" s="1749" t="n">
        <v>0</v>
      </c>
      <c r="O115" s="1749" t="n">
        <v>0</v>
      </c>
      <c r="P115" s="1750" t="n">
        <v>0</v>
      </c>
    </row>
    <row r="116" customFormat="false" ht="15" hidden="false" customHeight="false" outlineLevel="0" collapsed="false">
      <c r="A116" s="1735"/>
      <c r="B116" s="1748"/>
      <c r="C116" s="1749"/>
      <c r="D116" s="1749"/>
      <c r="E116" s="1749"/>
      <c r="F116" s="1750"/>
      <c r="G116" s="1748"/>
      <c r="H116" s="1749"/>
      <c r="I116" s="1749"/>
      <c r="J116" s="1749"/>
      <c r="K116" s="1750"/>
      <c r="L116" s="1748"/>
      <c r="M116" s="1749"/>
      <c r="N116" s="1749"/>
      <c r="O116" s="1749"/>
      <c r="P116" s="1750"/>
    </row>
    <row r="117" customFormat="false" ht="15" hidden="false" customHeight="false" outlineLevel="0" collapsed="false">
      <c r="A117" s="1760" t="s">
        <v>1011</v>
      </c>
      <c r="B117" s="1761" t="e">
        <f aca="false">IF(B99=0,0,B115/B99)</f>
        <v>#VALUE!</v>
      </c>
      <c r="C117" s="1762" t="e">
        <f aca="false">IF(C99=0,0,C115/C99)</f>
        <v>#VALUE!</v>
      </c>
      <c r="D117" s="1762" t="e">
        <f aca="false">IF(D99=0,0,D115/D99)</f>
        <v>#VALUE!</v>
      </c>
      <c r="E117" s="1762" t="e">
        <f aca="false">IF(E99=0,0,E115/E99)</f>
        <v>#VALUE!</v>
      </c>
      <c r="F117" s="1763" t="e">
        <f aca="false">IF(F99=0,0,F115/F99)</f>
        <v>#VALUE!</v>
      </c>
      <c r="G117" s="1761" t="n">
        <f aca="false">IF(G99=0,0,G115/G99)</f>
        <v>0</v>
      </c>
      <c r="H117" s="1762" t="n">
        <f aca="false">IF(H99=0,0,H115/H99)</f>
        <v>0</v>
      </c>
      <c r="I117" s="1762" t="n">
        <f aca="false">IF(I99=0,0,I115/I99)</f>
        <v>0</v>
      </c>
      <c r="J117" s="1762" t="n">
        <f aca="false">IF(J99=0,0,J115/J99)</f>
        <v>0</v>
      </c>
      <c r="K117" s="1763" t="n">
        <f aca="false">IF(K99=0,0,K115/K99)</f>
        <v>0</v>
      </c>
      <c r="L117" s="1761" t="n">
        <f aca="false">IF(L99=0,0,L115/L99)</f>
        <v>0</v>
      </c>
      <c r="M117" s="1762" t="n">
        <f aca="false">IF(M99=0,0,M115/M99)</f>
        <v>0</v>
      </c>
      <c r="N117" s="1762" t="n">
        <f aca="false">IF(N99=0,0,N115/N99)</f>
        <v>0</v>
      </c>
      <c r="O117" s="1762" t="n">
        <f aca="false">IF(O99=0,0,O115/O99)</f>
        <v>0</v>
      </c>
      <c r="P117" s="1763" t="n">
        <f aca="false">IF(P99=0,0,P115/P99)</f>
        <v>0</v>
      </c>
    </row>
    <row r="118" customFormat="false" ht="15" hidden="false" customHeight="false" outlineLevel="0" collapsed="false">
      <c r="A118" s="1753"/>
      <c r="B118" s="1754"/>
      <c r="C118" s="1755"/>
      <c r="D118" s="1755"/>
      <c r="E118" s="1755"/>
      <c r="F118" s="1756"/>
      <c r="G118" s="1754"/>
      <c r="H118" s="1755"/>
      <c r="I118" s="1755"/>
      <c r="J118" s="1755"/>
      <c r="K118" s="1756"/>
      <c r="L118" s="1754"/>
      <c r="M118" s="1755"/>
      <c r="N118" s="1755"/>
      <c r="O118" s="1755"/>
      <c r="P118" s="1756"/>
    </row>
    <row r="119" customFormat="false" ht="15" hidden="false" customHeight="false" outlineLevel="0" collapsed="false">
      <c r="A119" s="1734"/>
      <c r="B119" s="1757"/>
      <c r="C119" s="1758"/>
      <c r="D119" s="1758"/>
      <c r="E119" s="1758"/>
      <c r="F119" s="1759"/>
      <c r="G119" s="1757"/>
      <c r="H119" s="1758"/>
      <c r="I119" s="1758"/>
      <c r="J119" s="1758"/>
      <c r="K119" s="1759"/>
      <c r="L119" s="1757"/>
      <c r="M119" s="1758"/>
      <c r="N119" s="1758"/>
      <c r="O119" s="1758"/>
      <c r="P119" s="1759"/>
    </row>
    <row r="120" s="273" customFormat="true" ht="15" hidden="false" customHeight="false" outlineLevel="0" collapsed="false">
      <c r="A120" s="1766" t="s">
        <v>1010</v>
      </c>
      <c r="B120" s="1748" t="n">
        <f aca="false">('7.4.2 Selling &amp; Oper. expenses'!C9*'7.4.2 Selling &amp; Oper. expenses'!$H$63)</f>
        <v>0</v>
      </c>
      <c r="C120" s="1749" t="n">
        <f aca="false">('7.4.2 Selling &amp; Oper. expenses'!E9*'7.4.2 Selling &amp; Oper. expenses'!$H$63)</f>
        <v>0</v>
      </c>
      <c r="D120" s="1749" t="n">
        <f aca="false">('7.4.2 Selling &amp; Oper. expenses'!G9*'7.4.2 Selling &amp; Oper. expenses'!$H$63)</f>
        <v>0</v>
      </c>
      <c r="E120" s="1749" t="n">
        <f aca="false">('7.4.2 Selling &amp; Oper. expenses'!I9*'7.4.2 Selling &amp; Oper. expenses'!$H$63)</f>
        <v>0</v>
      </c>
      <c r="F120" s="1750" t="n">
        <f aca="false">('7.4.2 Selling &amp; Oper. expenses'!K9*'7.4.2 Selling &amp; Oper. expenses'!$H$63)</f>
        <v>0</v>
      </c>
      <c r="G120" s="1748" t="n">
        <f aca="false">('7.4.2 Selling &amp; Oper. expenses'!C9*'7.4.2 Selling &amp; Oper. expenses'!$I$63)</f>
        <v>0</v>
      </c>
      <c r="H120" s="1749" t="n">
        <f aca="false">('7.4.2 Selling &amp; Oper. expenses'!E9*'7.4.2 Selling &amp; Oper. expenses'!$I$63)</f>
        <v>0</v>
      </c>
      <c r="I120" s="1749" t="n">
        <f aca="false">('7.4.2 Selling &amp; Oper. expenses'!G9*'7.4.2 Selling &amp; Oper. expenses'!$I$63)</f>
        <v>0</v>
      </c>
      <c r="J120" s="1749" t="n">
        <f aca="false">('7.4.2 Selling &amp; Oper. expenses'!I9*'7.4.2 Selling &amp; Oper. expenses'!$I$63)</f>
        <v>0</v>
      </c>
      <c r="K120" s="1750" t="n">
        <f aca="false">('7.4.2 Selling &amp; Oper. expenses'!K9*'7.4.2 Selling &amp; Oper. expenses'!$I$63)</f>
        <v>0</v>
      </c>
      <c r="L120" s="1668" t="n">
        <f aca="false">'7.4.2 Selling &amp; Oper. expenses'!C9*'7.4.2 Selling &amp; Oper. expenses'!$J$63</f>
        <v>0</v>
      </c>
      <c r="M120" s="1668" t="n">
        <f aca="false">'7.4.2 Selling &amp; Oper. expenses'!E9*'7.4.2 Selling &amp; Oper. expenses'!$J$63</f>
        <v>0</v>
      </c>
      <c r="N120" s="1668" t="n">
        <f aca="false">'7.4.2 Selling &amp; Oper. expenses'!G9*'7.4.2 Selling &amp; Oper. expenses'!$J$63</f>
        <v>0</v>
      </c>
      <c r="O120" s="1668" t="n">
        <f aca="false">'7.4.2 Selling &amp; Oper. expenses'!I9*'7.4.2 Selling &amp; Oper. expenses'!$J$63</f>
        <v>0</v>
      </c>
      <c r="P120" s="1712" t="n">
        <f aca="false">'7.4.2 Selling &amp; Oper. expenses'!K9*'7.4.2 Selling &amp; Oper. expenses'!$J$63</f>
        <v>0</v>
      </c>
      <c r="Q120" s="271"/>
    </row>
    <row r="121" customFormat="false" ht="15" hidden="false" customHeight="false" outlineLevel="0" collapsed="false">
      <c r="A121" s="1770"/>
      <c r="B121" s="1660"/>
      <c r="C121" s="1661"/>
      <c r="D121" s="1661"/>
      <c r="E121" s="1661"/>
      <c r="F121" s="1681"/>
      <c r="G121" s="1660"/>
      <c r="H121" s="1661"/>
      <c r="I121" s="1661"/>
      <c r="J121" s="1661"/>
      <c r="K121" s="1681"/>
      <c r="L121" s="1660"/>
      <c r="M121" s="1661"/>
      <c r="N121" s="1661"/>
      <c r="O121" s="1661"/>
      <c r="P121" s="1681"/>
    </row>
    <row r="122" s="273" customFormat="true" ht="15" hidden="false" customHeight="false" outlineLevel="0" collapsed="false">
      <c r="A122" s="1766" t="s">
        <v>986</v>
      </c>
      <c r="B122" s="1668" t="n">
        <f aca="false">'7.6.1 Activity contribution'!E37</f>
        <v>0</v>
      </c>
      <c r="C122" s="1669" t="n">
        <f aca="false">'7.6.1 Activity contribution'!E114</f>
        <v>0</v>
      </c>
      <c r="D122" s="1669" t="n">
        <f aca="false">'7.6.1 Activity contribution'!E191</f>
        <v>0</v>
      </c>
      <c r="E122" s="1669" t="n">
        <f aca="false">'7.6.1 Activity contribution'!E268</f>
        <v>0</v>
      </c>
      <c r="F122" s="1670" t="n">
        <f aca="false">'7.6.1 Activity contribution'!E345</f>
        <v>0</v>
      </c>
      <c r="G122" s="1668" t="n">
        <f aca="false">'7.6.1 Activity contribution'!F37</f>
        <v>0</v>
      </c>
      <c r="H122" s="1669" t="n">
        <f aca="false">'7.6.1 Activity contribution'!F114</f>
        <v>0</v>
      </c>
      <c r="I122" s="1669" t="n">
        <f aca="false">'7.6.1 Activity contribution'!F191</f>
        <v>0</v>
      </c>
      <c r="J122" s="1669" t="n">
        <f aca="false">'7.6.1 Activity contribution'!F268</f>
        <v>0</v>
      </c>
      <c r="K122" s="1670" t="n">
        <f aca="false">'7.6.1 Activity contribution'!F345</f>
        <v>0</v>
      </c>
      <c r="L122" s="1668" t="n">
        <f aca="false">'7.6.1 Activity contribution'!G37</f>
        <v>0</v>
      </c>
      <c r="M122" s="1669" t="n">
        <f aca="false">'7.6.1 Activity contribution'!G114</f>
        <v>0</v>
      </c>
      <c r="N122" s="1669" t="n">
        <f aca="false">'7.6.1 Activity contribution'!G191</f>
        <v>0</v>
      </c>
      <c r="O122" s="1669" t="n">
        <f aca="false">'7.6.1 Activity contribution'!G268</f>
        <v>0</v>
      </c>
      <c r="P122" s="1670" t="n">
        <f aca="false">'7.6.1 Activity contribution'!G345</f>
        <v>0</v>
      </c>
      <c r="Q122" s="271"/>
    </row>
    <row r="123" customFormat="false" ht="15" hidden="false" customHeight="false" outlineLevel="0" collapsed="false">
      <c r="A123" s="1766"/>
      <c r="B123" s="1668"/>
      <c r="C123" s="1669"/>
      <c r="D123" s="1669"/>
      <c r="E123" s="1669"/>
      <c r="F123" s="1670"/>
      <c r="G123" s="1668"/>
      <c r="H123" s="1669"/>
      <c r="I123" s="1669"/>
      <c r="J123" s="1669"/>
      <c r="K123" s="1670"/>
      <c r="L123" s="1668"/>
      <c r="M123" s="1669"/>
      <c r="N123" s="1669"/>
      <c r="O123" s="1669"/>
      <c r="P123" s="1670"/>
    </row>
    <row r="124" customFormat="false" ht="15" hidden="false" customHeight="false" outlineLevel="0" collapsed="false">
      <c r="A124" s="1735" t="s">
        <v>991</v>
      </c>
      <c r="B124" s="1736"/>
      <c r="C124" s="1737"/>
      <c r="D124" s="1737"/>
      <c r="E124" s="1737"/>
      <c r="F124" s="1738"/>
      <c r="G124" s="1736"/>
      <c r="H124" s="1737"/>
      <c r="I124" s="1737"/>
      <c r="J124" s="1737"/>
      <c r="K124" s="1738"/>
      <c r="L124" s="1736"/>
      <c r="M124" s="1737"/>
      <c r="N124" s="1737"/>
      <c r="O124" s="1737"/>
      <c r="P124" s="1738"/>
    </row>
    <row r="125" customFormat="false" ht="15" hidden="false" customHeight="false" outlineLevel="0" collapsed="false">
      <c r="A125" s="1719" t="s">
        <v>760</v>
      </c>
      <c r="B125" s="1739" t="n">
        <f aca="false">'7.4.2 Selling &amp; Oper. expenses'!C37*'7.4.2 Selling &amp; Oper. expenses'!H68</f>
        <v>0</v>
      </c>
      <c r="C125" s="1740" t="n">
        <f aca="false">'7.4.2 Selling &amp; Oper. expenses'!E37*'7.4.2 Selling &amp; Oper. expenses'!H68</f>
        <v>0</v>
      </c>
      <c r="D125" s="1740" t="n">
        <f aca="false">'7.4.2 Selling &amp; Oper. expenses'!G37*'7.4.2 Selling &amp; Oper. expenses'!H68</f>
        <v>0</v>
      </c>
      <c r="E125" s="1740" t="n">
        <f aca="false">'7.4.2 Selling &amp; Oper. expenses'!I37*'7.4.2 Selling &amp; Oper. expenses'!H68</f>
        <v>0</v>
      </c>
      <c r="F125" s="1741" t="n">
        <f aca="false">'7.4.2 Selling &amp; Oper. expenses'!K37*'7.4.2 Selling &amp; Oper. expenses'!H68</f>
        <v>0</v>
      </c>
      <c r="G125" s="1739" t="n">
        <f aca="false">'7.4.2 Selling &amp; Oper. expenses'!C37*'7.4.2 Selling &amp; Oper. expenses'!I68</f>
        <v>0</v>
      </c>
      <c r="H125" s="1740" t="n">
        <f aca="false">'7.4.2 Selling &amp; Oper. expenses'!E37*'7.4.2 Selling &amp; Oper. expenses'!I68</f>
        <v>0</v>
      </c>
      <c r="I125" s="1740" t="n">
        <f aca="false">'7.4.2 Selling &amp; Oper. expenses'!G37*'7.4.2 Selling &amp; Oper. expenses'!I68</f>
        <v>0</v>
      </c>
      <c r="J125" s="1740" t="n">
        <f aca="false">'7.4.2 Selling &amp; Oper. expenses'!I37*'7.4.2 Selling &amp; Oper. expenses'!I68</f>
        <v>0</v>
      </c>
      <c r="K125" s="1741" t="n">
        <f aca="false">'7.4.2 Selling &amp; Oper. expenses'!K37*'7.4.2 Selling &amp; Oper. expenses'!I68</f>
        <v>0</v>
      </c>
      <c r="L125" s="1739" t="n">
        <f aca="false">'7.4.2 Selling &amp; Oper. expenses'!C37*'7.4.2 Selling &amp; Oper. expenses'!J68</f>
        <v>0</v>
      </c>
      <c r="M125" s="1740" t="n">
        <f aca="false">'7.4.2 Selling &amp; Oper. expenses'!E37*'7.4.2 Selling &amp; Oper. expenses'!J68</f>
        <v>0</v>
      </c>
      <c r="N125" s="1740" t="n">
        <f aca="false">'7.4.2 Selling &amp; Oper. expenses'!G37*'7.4.2 Selling &amp; Oper. expenses'!J68</f>
        <v>0</v>
      </c>
      <c r="O125" s="1740" t="n">
        <f aca="false">'7.4.2 Selling &amp; Oper. expenses'!I37*'7.4.2 Selling &amp; Oper. expenses'!J68</f>
        <v>0</v>
      </c>
      <c r="P125" s="1741" t="n">
        <f aca="false">'7.4.2 Selling &amp; Oper. expenses'!K37*'7.4.2 Selling &amp; Oper. expenses'!J68</f>
        <v>0</v>
      </c>
    </row>
    <row r="126" customFormat="false" ht="15" hidden="false" customHeight="false" outlineLevel="0" collapsed="false">
      <c r="A126" s="1719" t="s">
        <v>761</v>
      </c>
      <c r="B126" s="1739" t="n">
        <f aca="false">'7.4.2 Selling &amp; Oper. expenses'!C38*'7.4.2 Selling &amp; Oper. expenses'!H69</f>
        <v>0</v>
      </c>
      <c r="C126" s="1740" t="n">
        <f aca="false">'7.4.2 Selling &amp; Oper. expenses'!E38*'7.4.2 Selling &amp; Oper. expenses'!H69</f>
        <v>0</v>
      </c>
      <c r="D126" s="1740" t="n">
        <f aca="false">'7.4.2 Selling &amp; Oper. expenses'!G38*'7.4.2 Selling &amp; Oper. expenses'!H69</f>
        <v>0</v>
      </c>
      <c r="E126" s="1740" t="n">
        <f aca="false">'7.4.2 Selling &amp; Oper. expenses'!I38*'7.4.2 Selling &amp; Oper. expenses'!H69</f>
        <v>0</v>
      </c>
      <c r="F126" s="1741" t="n">
        <f aca="false">'7.4.2 Selling &amp; Oper. expenses'!K38*'7.4.2 Selling &amp; Oper. expenses'!H69</f>
        <v>0</v>
      </c>
      <c r="G126" s="1739" t="n">
        <f aca="false">'7.4.2 Selling &amp; Oper. expenses'!C38*'7.4.2 Selling &amp; Oper. expenses'!I69</f>
        <v>0</v>
      </c>
      <c r="H126" s="1740" t="n">
        <f aca="false">'7.4.2 Selling &amp; Oper. expenses'!E38*'7.4.2 Selling &amp; Oper. expenses'!I69</f>
        <v>0</v>
      </c>
      <c r="I126" s="1740" t="n">
        <f aca="false">'7.4.2 Selling &amp; Oper. expenses'!G38*'7.4.2 Selling &amp; Oper. expenses'!I69</f>
        <v>0</v>
      </c>
      <c r="J126" s="1740" t="n">
        <f aca="false">'7.4.2 Selling &amp; Oper. expenses'!I38*'7.4.2 Selling &amp; Oper. expenses'!I69</f>
        <v>0</v>
      </c>
      <c r="K126" s="1741" t="n">
        <f aca="false">'7.4.2 Selling &amp; Oper. expenses'!K38*'7.4.2 Selling &amp; Oper. expenses'!I69</f>
        <v>0</v>
      </c>
      <c r="L126" s="1739" t="n">
        <f aca="false">'7.4.2 Selling &amp; Oper. expenses'!C38*'7.4.2 Selling &amp; Oper. expenses'!J69</f>
        <v>0</v>
      </c>
      <c r="M126" s="1740" t="n">
        <f aca="false">'7.4.2 Selling &amp; Oper. expenses'!E38*'7.4.2 Selling &amp; Oper. expenses'!J69</f>
        <v>0</v>
      </c>
      <c r="N126" s="1740" t="n">
        <f aca="false">'7.4.2 Selling &amp; Oper. expenses'!G38*'7.4.2 Selling &amp; Oper. expenses'!J69</f>
        <v>0</v>
      </c>
      <c r="O126" s="1740" t="n">
        <f aca="false">'7.4.2 Selling &amp; Oper. expenses'!I38*'7.4.2 Selling &amp; Oper. expenses'!J69</f>
        <v>0</v>
      </c>
      <c r="P126" s="1741" t="n">
        <f aca="false">'7.4.2 Selling &amp; Oper. expenses'!K38*'7.4.2 Selling &amp; Oper. expenses'!J69</f>
        <v>0</v>
      </c>
    </row>
    <row r="127" s="669" customFormat="true" ht="15" hidden="false" customHeight="false" outlineLevel="0" collapsed="false">
      <c r="A127" s="1719" t="s">
        <v>762</v>
      </c>
      <c r="B127" s="1739" t="n">
        <f aca="false">'7.4.2 Selling &amp; Oper. expenses'!C39*'7.4.2 Selling &amp; Oper. expenses'!H70</f>
        <v>0</v>
      </c>
      <c r="C127" s="1740" t="n">
        <f aca="false">'7.4.2 Selling &amp; Oper. expenses'!E39*'7.4.2 Selling &amp; Oper. expenses'!H70</f>
        <v>0</v>
      </c>
      <c r="D127" s="1740" t="n">
        <f aca="false">'7.4.2 Selling &amp; Oper. expenses'!G39*'7.4.2 Selling &amp; Oper. expenses'!H70</f>
        <v>0</v>
      </c>
      <c r="E127" s="1740" t="n">
        <f aca="false">'7.4.2 Selling &amp; Oper. expenses'!I39*'7.4.2 Selling &amp; Oper. expenses'!H70</f>
        <v>0</v>
      </c>
      <c r="F127" s="1741" t="n">
        <f aca="false">'7.4.2 Selling &amp; Oper. expenses'!K39*'7.4.2 Selling &amp; Oper. expenses'!H70</f>
        <v>0</v>
      </c>
      <c r="G127" s="1739" t="n">
        <f aca="false">'7.4.2 Selling &amp; Oper. expenses'!C39*'7.4.2 Selling &amp; Oper. expenses'!I70</f>
        <v>0</v>
      </c>
      <c r="H127" s="1740" t="n">
        <f aca="false">'7.4.2 Selling &amp; Oper. expenses'!E39*'7.4.2 Selling &amp; Oper. expenses'!I70</f>
        <v>0</v>
      </c>
      <c r="I127" s="1740" t="n">
        <f aca="false">'7.4.2 Selling &amp; Oper. expenses'!G39*'7.4.2 Selling &amp; Oper. expenses'!I70</f>
        <v>0</v>
      </c>
      <c r="J127" s="1740" t="n">
        <f aca="false">'7.4.2 Selling &amp; Oper. expenses'!I39*'7.4.2 Selling &amp; Oper. expenses'!I70</f>
        <v>0</v>
      </c>
      <c r="K127" s="1741" t="n">
        <f aca="false">'7.4.2 Selling &amp; Oper. expenses'!K39*'7.4.2 Selling &amp; Oper. expenses'!I70</f>
        <v>0</v>
      </c>
      <c r="L127" s="1739" t="n">
        <f aca="false">'7.4.2 Selling &amp; Oper. expenses'!C39*'7.4.2 Selling &amp; Oper. expenses'!J70</f>
        <v>0</v>
      </c>
      <c r="M127" s="1740" t="n">
        <f aca="false">'7.4.2 Selling &amp; Oper. expenses'!E39*'7.4.2 Selling &amp; Oper. expenses'!J70</f>
        <v>0</v>
      </c>
      <c r="N127" s="1740" t="n">
        <f aca="false">'7.4.2 Selling &amp; Oper. expenses'!G39*'7.4.2 Selling &amp; Oper. expenses'!J70</f>
        <v>0</v>
      </c>
      <c r="O127" s="1740" t="n">
        <f aca="false">'7.4.2 Selling &amp; Oper. expenses'!I39*'7.4.2 Selling &amp; Oper. expenses'!J70</f>
        <v>0</v>
      </c>
      <c r="P127" s="1741" t="n">
        <f aca="false">'7.4.2 Selling &amp; Oper. expenses'!K39*'7.4.2 Selling &amp; Oper. expenses'!J70</f>
        <v>0</v>
      </c>
      <c r="Q127" s="1785"/>
    </row>
    <row r="128" s="669" customFormat="true" ht="15" hidden="false" customHeight="false" outlineLevel="0" collapsed="false">
      <c r="A128" s="1719" t="s">
        <v>763</v>
      </c>
      <c r="B128" s="1739" t="n">
        <f aca="false">'7.4.2 Selling &amp; Oper. expenses'!C40*'7.4.2 Selling &amp; Oper. expenses'!H71</f>
        <v>0</v>
      </c>
      <c r="C128" s="1740" t="n">
        <f aca="false">'7.4.2 Selling &amp; Oper. expenses'!E40*'7.4.2 Selling &amp; Oper. expenses'!H71</f>
        <v>0</v>
      </c>
      <c r="D128" s="1740" t="n">
        <f aca="false">'7.4.2 Selling &amp; Oper. expenses'!G40*'7.4.2 Selling &amp; Oper. expenses'!H71</f>
        <v>0</v>
      </c>
      <c r="E128" s="1740" t="n">
        <f aca="false">'7.4.2 Selling &amp; Oper. expenses'!I40*'7.4.2 Selling &amp; Oper. expenses'!H71</f>
        <v>0</v>
      </c>
      <c r="F128" s="1741" t="n">
        <f aca="false">'7.4.2 Selling &amp; Oper. expenses'!K40*'7.4.2 Selling &amp; Oper. expenses'!H71</f>
        <v>0</v>
      </c>
      <c r="G128" s="1739" t="n">
        <f aca="false">'7.4.2 Selling &amp; Oper. expenses'!C40*'7.4.2 Selling &amp; Oper. expenses'!I71</f>
        <v>0</v>
      </c>
      <c r="H128" s="1740" t="n">
        <f aca="false">'7.4.2 Selling &amp; Oper. expenses'!E40*'7.4.2 Selling &amp; Oper. expenses'!I71</f>
        <v>0</v>
      </c>
      <c r="I128" s="1740" t="n">
        <f aca="false">'7.4.2 Selling &amp; Oper. expenses'!G40*'7.4.2 Selling &amp; Oper. expenses'!I71</f>
        <v>0</v>
      </c>
      <c r="J128" s="1740" t="n">
        <f aca="false">'7.4.2 Selling &amp; Oper. expenses'!I40*'7.4.2 Selling &amp; Oper. expenses'!I71</f>
        <v>0</v>
      </c>
      <c r="K128" s="1741" t="n">
        <f aca="false">'7.4.2 Selling &amp; Oper. expenses'!K40*'7.4.2 Selling &amp; Oper. expenses'!I71</f>
        <v>0</v>
      </c>
      <c r="L128" s="1739" t="n">
        <f aca="false">'7.4.2 Selling &amp; Oper. expenses'!C40*'7.4.2 Selling &amp; Oper. expenses'!J71</f>
        <v>0</v>
      </c>
      <c r="M128" s="1740" t="n">
        <f aca="false">'7.4.2 Selling &amp; Oper. expenses'!E40*'7.4.2 Selling &amp; Oper. expenses'!J71</f>
        <v>0</v>
      </c>
      <c r="N128" s="1740" t="n">
        <f aca="false">'7.4.2 Selling &amp; Oper. expenses'!G40*'7.4.2 Selling &amp; Oper. expenses'!J71</f>
        <v>0</v>
      </c>
      <c r="O128" s="1740" t="n">
        <f aca="false">'7.4.2 Selling &amp; Oper. expenses'!I40*'7.4.2 Selling &amp; Oper. expenses'!J71</f>
        <v>0</v>
      </c>
      <c r="P128" s="1741" t="n">
        <f aca="false">'7.4.2 Selling &amp; Oper. expenses'!K40*'7.4.2 Selling &amp; Oper. expenses'!J71</f>
        <v>0</v>
      </c>
      <c r="Q128" s="1785"/>
    </row>
    <row r="129" s="669" customFormat="true" ht="15" hidden="false" customHeight="false" outlineLevel="0" collapsed="false">
      <c r="A129" s="1719" t="s">
        <v>764</v>
      </c>
      <c r="B129" s="1739" t="n">
        <f aca="false">'7.4.2 Selling &amp; Oper. expenses'!C41*'7.4.2 Selling &amp; Oper. expenses'!H72</f>
        <v>0</v>
      </c>
      <c r="C129" s="1740" t="n">
        <f aca="false">'7.4.2 Selling &amp; Oper. expenses'!E41*'7.4.2 Selling &amp; Oper. expenses'!H72</f>
        <v>0</v>
      </c>
      <c r="D129" s="1740" t="n">
        <f aca="false">'7.4.2 Selling &amp; Oper. expenses'!G41*'7.4.2 Selling &amp; Oper. expenses'!H72</f>
        <v>0</v>
      </c>
      <c r="E129" s="1740" t="n">
        <f aca="false">'7.4.2 Selling &amp; Oper. expenses'!I41*'7.4.2 Selling &amp; Oper. expenses'!H72</f>
        <v>0</v>
      </c>
      <c r="F129" s="1741" t="n">
        <f aca="false">'7.4.2 Selling &amp; Oper. expenses'!K41*'7.4.2 Selling &amp; Oper. expenses'!H72</f>
        <v>0</v>
      </c>
      <c r="G129" s="1739" t="n">
        <f aca="false">'7.4.2 Selling &amp; Oper. expenses'!C41*'7.4.2 Selling &amp; Oper. expenses'!I72</f>
        <v>0</v>
      </c>
      <c r="H129" s="1740" t="n">
        <f aca="false">'7.4.2 Selling &amp; Oper. expenses'!E41*'7.4.2 Selling &amp; Oper. expenses'!I72</f>
        <v>0</v>
      </c>
      <c r="I129" s="1740" t="n">
        <f aca="false">'7.4.2 Selling &amp; Oper. expenses'!G41*'7.4.2 Selling &amp; Oper. expenses'!I72</f>
        <v>0</v>
      </c>
      <c r="J129" s="1740" t="n">
        <f aca="false">'7.4.2 Selling &amp; Oper. expenses'!I41*'7.4.2 Selling &amp; Oper. expenses'!I72</f>
        <v>0</v>
      </c>
      <c r="K129" s="1741" t="n">
        <f aca="false">'7.4.2 Selling &amp; Oper. expenses'!K41*'7.4.2 Selling &amp; Oper. expenses'!I72</f>
        <v>0</v>
      </c>
      <c r="L129" s="1739" t="n">
        <f aca="false">'7.4.2 Selling &amp; Oper. expenses'!C41*'7.4.2 Selling &amp; Oper. expenses'!J72</f>
        <v>0</v>
      </c>
      <c r="M129" s="1740" t="n">
        <f aca="false">'7.4.2 Selling &amp; Oper. expenses'!E41*'7.4.2 Selling &amp; Oper. expenses'!J72</f>
        <v>0</v>
      </c>
      <c r="N129" s="1740" t="n">
        <f aca="false">'7.4.2 Selling &amp; Oper. expenses'!G41*'7.4.2 Selling &amp; Oper. expenses'!J72</f>
        <v>0</v>
      </c>
      <c r="O129" s="1740" t="n">
        <f aca="false">'7.4.2 Selling &amp; Oper. expenses'!I41*'7.4.2 Selling &amp; Oper. expenses'!J72</f>
        <v>0</v>
      </c>
      <c r="P129" s="1741" t="n">
        <f aca="false">'7.4.2 Selling &amp; Oper. expenses'!K41*'7.4.2 Selling &amp; Oper. expenses'!J72</f>
        <v>0</v>
      </c>
      <c r="Q129" s="1785"/>
    </row>
    <row r="130" customFormat="false" ht="15" hidden="false" customHeight="false" outlineLevel="0" collapsed="false">
      <c r="A130" s="1719" t="s">
        <v>992</v>
      </c>
      <c r="B130" s="1739" t="n">
        <f aca="false">'7.4.2 Selling &amp; Oper. expenses'!C42*'7.4.2 Selling &amp; Oper. expenses'!H73</f>
        <v>0</v>
      </c>
      <c r="C130" s="1740" t="n">
        <f aca="false">'7.4.2 Selling &amp; Oper. expenses'!E42*'7.4.2 Selling &amp; Oper. expenses'!H73</f>
        <v>0</v>
      </c>
      <c r="D130" s="1740" t="n">
        <f aca="false">'7.4.2 Selling &amp; Oper. expenses'!G42*'7.4.2 Selling &amp; Oper. expenses'!H73</f>
        <v>0</v>
      </c>
      <c r="E130" s="1740" t="n">
        <f aca="false">'7.4.2 Selling &amp; Oper. expenses'!I42*'7.4.2 Selling &amp; Oper. expenses'!H73</f>
        <v>0</v>
      </c>
      <c r="F130" s="1741" t="n">
        <f aca="false">'7.4.2 Selling &amp; Oper. expenses'!K42*'7.4.2 Selling &amp; Oper. expenses'!H73</f>
        <v>0</v>
      </c>
      <c r="G130" s="1739" t="n">
        <f aca="false">'7.4.2 Selling &amp; Oper. expenses'!C42*'7.4.2 Selling &amp; Oper. expenses'!I73</f>
        <v>0</v>
      </c>
      <c r="H130" s="1740" t="n">
        <f aca="false">'7.4.2 Selling &amp; Oper. expenses'!E42*'7.4.2 Selling &amp; Oper. expenses'!I73</f>
        <v>0</v>
      </c>
      <c r="I130" s="1740" t="n">
        <f aca="false">'7.4.2 Selling &amp; Oper. expenses'!G42*'7.4.2 Selling &amp; Oper. expenses'!I73</f>
        <v>0</v>
      </c>
      <c r="J130" s="1740" t="n">
        <f aca="false">'7.4.2 Selling &amp; Oper. expenses'!I42*'7.4.2 Selling &amp; Oper. expenses'!I73</f>
        <v>0</v>
      </c>
      <c r="K130" s="1741" t="n">
        <f aca="false">'7.4.2 Selling &amp; Oper. expenses'!K42*'7.4.2 Selling &amp; Oper. expenses'!I73</f>
        <v>0</v>
      </c>
      <c r="L130" s="1739" t="n">
        <f aca="false">'7.4.2 Selling &amp; Oper. expenses'!C42*'7.4.2 Selling &amp; Oper. expenses'!J73</f>
        <v>0</v>
      </c>
      <c r="M130" s="1740" t="n">
        <f aca="false">'7.4.2 Selling &amp; Oper. expenses'!E42*'7.4.2 Selling &amp; Oper. expenses'!J73</f>
        <v>0</v>
      </c>
      <c r="N130" s="1740" t="n">
        <f aca="false">'7.4.2 Selling &amp; Oper. expenses'!G42*'7.4.2 Selling &amp; Oper. expenses'!J73</f>
        <v>0</v>
      </c>
      <c r="O130" s="1740" t="n">
        <f aca="false">'7.4.2 Selling &amp; Oper. expenses'!I42*'7.4.2 Selling &amp; Oper. expenses'!J73</f>
        <v>0</v>
      </c>
      <c r="P130" s="1741" t="n">
        <f aca="false">'7.4.2 Selling &amp; Oper. expenses'!K42*'7.4.2 Selling &amp; Oper. expenses'!J73</f>
        <v>0</v>
      </c>
    </row>
    <row r="131" customFormat="false" ht="15" hidden="false" customHeight="false" outlineLevel="0" collapsed="false">
      <c r="A131" s="1719" t="s">
        <v>766</v>
      </c>
      <c r="B131" s="1739" t="n">
        <f aca="false">'7.4.2 Selling &amp; Oper. expenses'!C43*'7.4.2 Selling &amp; Oper. expenses'!H74</f>
        <v>0</v>
      </c>
      <c r="C131" s="1740" t="n">
        <f aca="false">'7.4.2 Selling &amp; Oper. expenses'!E43*'7.4.2 Selling &amp; Oper. expenses'!H74</f>
        <v>0</v>
      </c>
      <c r="D131" s="1740" t="n">
        <f aca="false">'7.4.2 Selling &amp; Oper. expenses'!G43*'7.4.2 Selling &amp; Oper. expenses'!H74</f>
        <v>0</v>
      </c>
      <c r="E131" s="1740" t="n">
        <f aca="false">'7.4.2 Selling &amp; Oper. expenses'!I43*'7.4.2 Selling &amp; Oper. expenses'!H74</f>
        <v>0</v>
      </c>
      <c r="F131" s="1741" t="n">
        <f aca="false">'7.4.2 Selling &amp; Oper. expenses'!K43*'7.4.2 Selling &amp; Oper. expenses'!H74</f>
        <v>0</v>
      </c>
      <c r="G131" s="1739" t="n">
        <f aca="false">'7.4.2 Selling &amp; Oper. expenses'!C43*'7.4.2 Selling &amp; Oper. expenses'!I74</f>
        <v>0</v>
      </c>
      <c r="H131" s="1740" t="n">
        <f aca="false">'7.4.2 Selling &amp; Oper. expenses'!E43*'7.4.2 Selling &amp; Oper. expenses'!I74</f>
        <v>0</v>
      </c>
      <c r="I131" s="1740" t="n">
        <f aca="false">'7.4.2 Selling &amp; Oper. expenses'!G43*'7.4.2 Selling &amp; Oper. expenses'!I74</f>
        <v>0</v>
      </c>
      <c r="J131" s="1740" t="n">
        <f aca="false">'7.4.2 Selling &amp; Oper. expenses'!I43*'7.4.2 Selling &amp; Oper. expenses'!I74</f>
        <v>0</v>
      </c>
      <c r="K131" s="1741" t="n">
        <f aca="false">'7.4.2 Selling &amp; Oper. expenses'!K43*'7.4.2 Selling &amp; Oper. expenses'!I74</f>
        <v>0</v>
      </c>
      <c r="L131" s="1739" t="n">
        <f aca="false">'7.4.2 Selling &amp; Oper. expenses'!C43*'7.4.2 Selling &amp; Oper. expenses'!J74</f>
        <v>0</v>
      </c>
      <c r="M131" s="1740" t="n">
        <f aca="false">'7.4.2 Selling &amp; Oper. expenses'!E43*'7.4.2 Selling &amp; Oper. expenses'!J74</f>
        <v>0</v>
      </c>
      <c r="N131" s="1740" t="n">
        <f aca="false">'7.4.2 Selling &amp; Oper. expenses'!G43*'7.4.2 Selling &amp; Oper. expenses'!J74</f>
        <v>0</v>
      </c>
      <c r="O131" s="1740" t="n">
        <f aca="false">'7.4.2 Selling &amp; Oper. expenses'!I43*'7.4.2 Selling &amp; Oper. expenses'!J74</f>
        <v>0</v>
      </c>
      <c r="P131" s="1741" t="n">
        <f aca="false">'7.4.2 Selling &amp; Oper. expenses'!K43*'7.4.2 Selling &amp; Oper. expenses'!J74</f>
        <v>0</v>
      </c>
    </row>
    <row r="132" s="669" customFormat="true" ht="15" hidden="false" customHeight="false" outlineLevel="0" collapsed="false">
      <c r="A132" s="1719" t="s">
        <v>993</v>
      </c>
      <c r="B132" s="1739" t="n">
        <f aca="false">'7.4.2 Selling &amp; Oper. expenses'!C44*'7.4.2 Selling &amp; Oper. expenses'!H75</f>
        <v>0</v>
      </c>
      <c r="C132" s="1740" t="n">
        <f aca="false">'7.4.2 Selling &amp; Oper. expenses'!E44*'7.4.2 Selling &amp; Oper. expenses'!H75</f>
        <v>0</v>
      </c>
      <c r="D132" s="1740" t="n">
        <f aca="false">'7.4.2 Selling &amp; Oper. expenses'!G44*'7.4.2 Selling &amp; Oper. expenses'!H75</f>
        <v>0</v>
      </c>
      <c r="E132" s="1740" t="n">
        <f aca="false">'7.4.2 Selling &amp; Oper. expenses'!I44*'7.4.2 Selling &amp; Oper. expenses'!H75</f>
        <v>0</v>
      </c>
      <c r="F132" s="1741" t="n">
        <f aca="false">'7.4.2 Selling &amp; Oper. expenses'!K44*'7.4.2 Selling &amp; Oper. expenses'!H75</f>
        <v>0</v>
      </c>
      <c r="G132" s="1739" t="n">
        <f aca="false">'7.4.2 Selling &amp; Oper. expenses'!C44*'7.4.2 Selling &amp; Oper. expenses'!I75</f>
        <v>0</v>
      </c>
      <c r="H132" s="1740" t="n">
        <f aca="false">'7.4.2 Selling &amp; Oper. expenses'!E44*'7.4.2 Selling &amp; Oper. expenses'!I75</f>
        <v>0</v>
      </c>
      <c r="I132" s="1740" t="n">
        <f aca="false">'7.4.2 Selling &amp; Oper. expenses'!G44*'7.4.2 Selling &amp; Oper. expenses'!I75</f>
        <v>0</v>
      </c>
      <c r="J132" s="1740" t="n">
        <f aca="false">'7.4.2 Selling &amp; Oper. expenses'!I44*'7.4.2 Selling &amp; Oper. expenses'!I75</f>
        <v>0</v>
      </c>
      <c r="K132" s="1741" t="n">
        <f aca="false">'7.4.2 Selling &amp; Oper. expenses'!K44*'7.4.2 Selling &amp; Oper. expenses'!I75</f>
        <v>0</v>
      </c>
      <c r="L132" s="1739" t="n">
        <f aca="false">'7.4.2 Selling &amp; Oper. expenses'!C44*'7.4.2 Selling &amp; Oper. expenses'!J75</f>
        <v>0</v>
      </c>
      <c r="M132" s="1740" t="n">
        <f aca="false">'7.4.2 Selling &amp; Oper. expenses'!E44*'7.4.2 Selling &amp; Oper. expenses'!J75</f>
        <v>0</v>
      </c>
      <c r="N132" s="1740" t="n">
        <f aca="false">'7.4.2 Selling &amp; Oper. expenses'!G44*'7.4.2 Selling &amp; Oper. expenses'!J75</f>
        <v>0</v>
      </c>
      <c r="O132" s="1740" t="n">
        <f aca="false">'7.4.2 Selling &amp; Oper. expenses'!I44*'7.4.2 Selling &amp; Oper. expenses'!J75</f>
        <v>0</v>
      </c>
      <c r="P132" s="1741" t="n">
        <f aca="false">'7.4.2 Selling &amp; Oper. expenses'!K44*'7.4.2 Selling &amp; Oper. expenses'!J75</f>
        <v>0</v>
      </c>
      <c r="Q132" s="1785"/>
    </row>
    <row r="133" customFormat="false" ht="15" hidden="false" customHeight="false" outlineLevel="0" collapsed="false">
      <c r="A133" s="1719" t="s">
        <v>994</v>
      </c>
      <c r="B133" s="1739" t="n">
        <f aca="false">'7.4.2 Selling &amp; Oper. expenses'!C45*'7.4.2 Selling &amp; Oper. expenses'!H76</f>
        <v>0</v>
      </c>
      <c r="C133" s="1740" t="n">
        <f aca="false">'7.4.2 Selling &amp; Oper. expenses'!E45*'7.4.2 Selling &amp; Oper. expenses'!H76</f>
        <v>0</v>
      </c>
      <c r="D133" s="1740" t="n">
        <f aca="false">'7.4.2 Selling &amp; Oper. expenses'!G45*'7.4.2 Selling &amp; Oper. expenses'!H76</f>
        <v>0</v>
      </c>
      <c r="E133" s="1740" t="n">
        <f aca="false">'7.4.2 Selling &amp; Oper. expenses'!I45*'7.4.2 Selling &amp; Oper. expenses'!H76</f>
        <v>0</v>
      </c>
      <c r="F133" s="1741" t="n">
        <f aca="false">'7.4.2 Selling &amp; Oper. expenses'!K45*'7.4.2 Selling &amp; Oper. expenses'!H76</f>
        <v>0</v>
      </c>
      <c r="G133" s="1739" t="n">
        <f aca="false">'7.4.2 Selling &amp; Oper. expenses'!C45*'7.4.2 Selling &amp; Oper. expenses'!I76</f>
        <v>0</v>
      </c>
      <c r="H133" s="1740" t="n">
        <f aca="false">'7.4.2 Selling &amp; Oper. expenses'!E45*'7.4.2 Selling &amp; Oper. expenses'!I76</f>
        <v>0</v>
      </c>
      <c r="I133" s="1740" t="n">
        <f aca="false">'7.4.2 Selling &amp; Oper. expenses'!G45*'7.4.2 Selling &amp; Oper. expenses'!I76</f>
        <v>0</v>
      </c>
      <c r="J133" s="1740" t="n">
        <f aca="false">'7.4.2 Selling &amp; Oper. expenses'!I45*'7.4.2 Selling &amp; Oper. expenses'!I76</f>
        <v>0</v>
      </c>
      <c r="K133" s="1741" t="n">
        <f aca="false">'7.4.2 Selling &amp; Oper. expenses'!K45*'7.4.2 Selling &amp; Oper. expenses'!I76</f>
        <v>0</v>
      </c>
      <c r="L133" s="1739" t="n">
        <f aca="false">'7.4.2 Selling &amp; Oper. expenses'!C45*'7.4.2 Selling &amp; Oper. expenses'!J76</f>
        <v>0</v>
      </c>
      <c r="M133" s="1740" t="n">
        <f aca="false">'7.4.2 Selling &amp; Oper. expenses'!E45*'7.4.2 Selling &amp; Oper. expenses'!J76</f>
        <v>0</v>
      </c>
      <c r="N133" s="1740" t="n">
        <f aca="false">'7.4.2 Selling &amp; Oper. expenses'!G45*'7.4.2 Selling &amp; Oper. expenses'!J76</f>
        <v>0</v>
      </c>
      <c r="O133" s="1740" t="n">
        <f aca="false">'7.4.2 Selling &amp; Oper. expenses'!I45*'7.4.2 Selling &amp; Oper. expenses'!J76</f>
        <v>0</v>
      </c>
      <c r="P133" s="1741" t="n">
        <f aca="false">'7.4.2 Selling &amp; Oper. expenses'!K45*'7.4.2 Selling &amp; Oper. expenses'!J76</f>
        <v>0</v>
      </c>
    </row>
    <row r="134" customFormat="false" ht="15" hidden="false" customHeight="false" outlineLevel="0" collapsed="false">
      <c r="A134" s="1719" t="s">
        <v>769</v>
      </c>
      <c r="B134" s="1739" t="n">
        <f aca="false">'7.4.2 Selling &amp; Oper. expenses'!C46*'7.4.2 Selling &amp; Oper. expenses'!H77</f>
        <v>0</v>
      </c>
      <c r="C134" s="1740" t="n">
        <f aca="false">'7.4.2 Selling &amp; Oper. expenses'!E46*'7.4.2 Selling &amp; Oper. expenses'!H77</f>
        <v>0</v>
      </c>
      <c r="D134" s="1740" t="n">
        <f aca="false">'7.4.2 Selling &amp; Oper. expenses'!G46*'7.4.2 Selling &amp; Oper. expenses'!H77</f>
        <v>0</v>
      </c>
      <c r="E134" s="1740" t="n">
        <f aca="false">'7.4.2 Selling &amp; Oper. expenses'!I46*'7.4.2 Selling &amp; Oper. expenses'!H77</f>
        <v>0</v>
      </c>
      <c r="F134" s="1741" t="n">
        <f aca="false">'7.4.2 Selling &amp; Oper. expenses'!K46*'7.4.2 Selling &amp; Oper. expenses'!H77</f>
        <v>0</v>
      </c>
      <c r="G134" s="1739" t="n">
        <f aca="false">'7.4.2 Selling &amp; Oper. expenses'!C46*'7.4.2 Selling &amp; Oper. expenses'!I77</f>
        <v>0</v>
      </c>
      <c r="H134" s="1740" t="n">
        <f aca="false">'7.4.2 Selling &amp; Oper. expenses'!E46*'7.4.2 Selling &amp; Oper. expenses'!I77</f>
        <v>0</v>
      </c>
      <c r="I134" s="1740" t="n">
        <f aca="false">'7.4.2 Selling &amp; Oper. expenses'!G46*'7.4.2 Selling &amp; Oper. expenses'!I77</f>
        <v>0</v>
      </c>
      <c r="J134" s="1740" t="n">
        <f aca="false">'7.4.2 Selling &amp; Oper. expenses'!I46*'7.4.2 Selling &amp; Oper. expenses'!I77</f>
        <v>0</v>
      </c>
      <c r="K134" s="1741" t="n">
        <f aca="false">'7.4.2 Selling &amp; Oper. expenses'!K46*'7.4.2 Selling &amp; Oper. expenses'!I77</f>
        <v>0</v>
      </c>
      <c r="L134" s="1739" t="n">
        <f aca="false">'7.4.2 Selling &amp; Oper. expenses'!C46*'7.4.2 Selling &amp; Oper. expenses'!J77</f>
        <v>0</v>
      </c>
      <c r="M134" s="1740" t="n">
        <f aca="false">'7.4.2 Selling &amp; Oper. expenses'!E46*'7.4.2 Selling &amp; Oper. expenses'!J77</f>
        <v>0</v>
      </c>
      <c r="N134" s="1740" t="n">
        <f aca="false">'7.4.2 Selling &amp; Oper. expenses'!G46*'7.4.2 Selling &amp; Oper. expenses'!J77</f>
        <v>0</v>
      </c>
      <c r="O134" s="1740" t="n">
        <f aca="false">'7.4.2 Selling &amp; Oper. expenses'!I46*'7.4.2 Selling &amp; Oper. expenses'!J77</f>
        <v>0</v>
      </c>
      <c r="P134" s="1741" t="n">
        <f aca="false">'7.4.2 Selling &amp; Oper. expenses'!K46*'7.4.2 Selling &amp; Oper. expenses'!J77</f>
        <v>0</v>
      </c>
    </row>
    <row r="135" customFormat="false" ht="15" hidden="false" customHeight="false" outlineLevel="0" collapsed="false">
      <c r="A135" s="1719" t="s">
        <v>252</v>
      </c>
      <c r="B135" s="1739" t="n">
        <f aca="false">'7.4.2 Selling &amp; Oper. expenses'!C47*'7.4.2 Selling &amp; Oper. expenses'!H78</f>
        <v>0</v>
      </c>
      <c r="C135" s="1740" t="n">
        <f aca="false">'7.4.2 Selling &amp; Oper. expenses'!E47*'7.4.2 Selling &amp; Oper. expenses'!H78</f>
        <v>0</v>
      </c>
      <c r="D135" s="1740" t="n">
        <f aca="false">'7.4.2 Selling &amp; Oper. expenses'!G47*'7.4.2 Selling &amp; Oper. expenses'!H78</f>
        <v>0</v>
      </c>
      <c r="E135" s="1740" t="n">
        <f aca="false">'7.4.2 Selling &amp; Oper. expenses'!I47*'7.4.2 Selling &amp; Oper. expenses'!H78</f>
        <v>0</v>
      </c>
      <c r="F135" s="1741" t="n">
        <f aca="false">'7.4.2 Selling &amp; Oper. expenses'!K47*'7.4.2 Selling &amp; Oper. expenses'!H78</f>
        <v>0</v>
      </c>
      <c r="G135" s="1739" t="n">
        <f aca="false">'7.4.2 Selling &amp; Oper. expenses'!C47*'7.4.2 Selling &amp; Oper. expenses'!I78</f>
        <v>0</v>
      </c>
      <c r="H135" s="1740" t="n">
        <f aca="false">'7.4.2 Selling &amp; Oper. expenses'!E47*'7.4.2 Selling &amp; Oper. expenses'!I78</f>
        <v>0</v>
      </c>
      <c r="I135" s="1740" t="n">
        <f aca="false">'7.4.2 Selling &amp; Oper. expenses'!G47*'7.4.2 Selling &amp; Oper. expenses'!I78</f>
        <v>0</v>
      </c>
      <c r="J135" s="1740" t="n">
        <f aca="false">'7.4.2 Selling &amp; Oper. expenses'!I47*'7.4.2 Selling &amp; Oper. expenses'!I78</f>
        <v>0</v>
      </c>
      <c r="K135" s="1741" t="n">
        <f aca="false">'7.4.2 Selling &amp; Oper. expenses'!K47*'7.4.2 Selling &amp; Oper. expenses'!I78</f>
        <v>0</v>
      </c>
      <c r="L135" s="1739" t="n">
        <f aca="false">'7.4.2 Selling &amp; Oper. expenses'!C47*'7.4.2 Selling &amp; Oper. expenses'!J78</f>
        <v>0</v>
      </c>
      <c r="M135" s="1740" t="n">
        <f aca="false">'7.4.2 Selling &amp; Oper. expenses'!E47*'7.4.2 Selling &amp; Oper. expenses'!J78</f>
        <v>0</v>
      </c>
      <c r="N135" s="1740" t="n">
        <f aca="false">'7.4.2 Selling &amp; Oper. expenses'!G47*'7.4.2 Selling &amp; Oper. expenses'!J78</f>
        <v>0</v>
      </c>
      <c r="O135" s="1740" t="n">
        <f aca="false">'7.4.2 Selling &amp; Oper. expenses'!I47*'7.4.2 Selling &amp; Oper. expenses'!J78</f>
        <v>0</v>
      </c>
      <c r="P135" s="1741" t="n">
        <f aca="false">'7.4.2 Selling &amp; Oper. expenses'!K47*'7.4.2 Selling &amp; Oper. expenses'!J78</f>
        <v>0</v>
      </c>
    </row>
    <row r="136" customFormat="false" ht="15" hidden="false" customHeight="false" outlineLevel="0" collapsed="false">
      <c r="A136" s="1719" t="s">
        <v>995</v>
      </c>
      <c r="B136" s="1739" t="n">
        <f aca="false">'7.4.2 Selling &amp; Oper. expenses'!C48*'7.4.2 Selling &amp; Oper. expenses'!H79</f>
        <v>0</v>
      </c>
      <c r="C136" s="1740" t="n">
        <f aca="false">'7.4.2 Selling &amp; Oper. expenses'!E48*'7.4.2 Selling &amp; Oper. expenses'!H79</f>
        <v>0</v>
      </c>
      <c r="D136" s="1740" t="n">
        <f aca="false">'7.4.2 Selling &amp; Oper. expenses'!G48*'7.4.2 Selling &amp; Oper. expenses'!H79</f>
        <v>0</v>
      </c>
      <c r="E136" s="1740" t="n">
        <f aca="false">'7.4.2 Selling &amp; Oper. expenses'!I48*'7.4.2 Selling &amp; Oper. expenses'!H79</f>
        <v>0</v>
      </c>
      <c r="F136" s="1741" t="n">
        <f aca="false">'7.4.2 Selling &amp; Oper. expenses'!K48*'7.4.2 Selling &amp; Oper. expenses'!H79</f>
        <v>0</v>
      </c>
      <c r="G136" s="1739" t="n">
        <f aca="false">'7.4.2 Selling &amp; Oper. expenses'!C48*'7.4.2 Selling &amp; Oper. expenses'!I79</f>
        <v>0</v>
      </c>
      <c r="H136" s="1740" t="n">
        <f aca="false">'7.4.2 Selling &amp; Oper. expenses'!E48*'7.4.2 Selling &amp; Oper. expenses'!I79</f>
        <v>0</v>
      </c>
      <c r="I136" s="1740" t="n">
        <f aca="false">'7.4.2 Selling &amp; Oper. expenses'!G48*'7.4.2 Selling &amp; Oper. expenses'!I79</f>
        <v>0</v>
      </c>
      <c r="J136" s="1740" t="n">
        <f aca="false">'7.4.2 Selling &amp; Oper. expenses'!I48*'7.4.2 Selling &amp; Oper. expenses'!I79</f>
        <v>0</v>
      </c>
      <c r="K136" s="1741" t="n">
        <f aca="false">'7.4.2 Selling &amp; Oper. expenses'!K48*'7.4.2 Selling &amp; Oper. expenses'!I79</f>
        <v>0</v>
      </c>
      <c r="L136" s="1739" t="n">
        <f aca="false">'7.4.2 Selling &amp; Oper. expenses'!C48*'7.4.2 Selling &amp; Oper. expenses'!J79</f>
        <v>0</v>
      </c>
      <c r="M136" s="1740" t="n">
        <f aca="false">'7.4.2 Selling &amp; Oper. expenses'!E48*'7.4.2 Selling &amp; Oper. expenses'!J79</f>
        <v>0</v>
      </c>
      <c r="N136" s="1740" t="n">
        <f aca="false">'7.4.2 Selling &amp; Oper. expenses'!G48*'7.4.2 Selling &amp; Oper. expenses'!J79</f>
        <v>0</v>
      </c>
      <c r="O136" s="1740" t="n">
        <f aca="false">'7.4.2 Selling &amp; Oper. expenses'!I48*'7.4.2 Selling &amp; Oper. expenses'!J79</f>
        <v>0</v>
      </c>
      <c r="P136" s="1741" t="n">
        <f aca="false">'7.4.2 Selling &amp; Oper. expenses'!K48*'7.4.2 Selling &amp; Oper. expenses'!J79</f>
        <v>0</v>
      </c>
    </row>
    <row r="137" customFormat="false" ht="15" hidden="false" customHeight="false" outlineLevel="0" collapsed="false">
      <c r="A137" s="1719" t="s">
        <v>798</v>
      </c>
      <c r="B137" s="1739" t="n">
        <v>0</v>
      </c>
      <c r="C137" s="1740" t="n">
        <f aca="false">'7.4.2 Selling &amp; Oper. expenses'!E49*'7.4.2 Selling &amp; Oper. expenses'!H80</f>
        <v>0</v>
      </c>
      <c r="D137" s="1740" t="n">
        <f aca="false">'7.4.2 Selling &amp; Oper. expenses'!G49*'7.4.2 Selling &amp; Oper. expenses'!H80</f>
        <v>0</v>
      </c>
      <c r="E137" s="1740" t="n">
        <f aca="false">'7.4.2 Selling &amp; Oper. expenses'!I49*'7.4.2 Selling &amp; Oper. expenses'!H80</f>
        <v>0</v>
      </c>
      <c r="F137" s="1741" t="n">
        <f aca="false">'7.4.2 Selling &amp; Oper. expenses'!K49*'7.4.2 Selling &amp; Oper. expenses'!H80</f>
        <v>0</v>
      </c>
      <c r="G137" s="1739" t="n">
        <v>0</v>
      </c>
      <c r="H137" s="1740" t="n">
        <f aca="false">'7.4.2 Selling &amp; Oper. expenses'!E49*'7.4.2 Selling &amp; Oper. expenses'!I80</f>
        <v>0</v>
      </c>
      <c r="I137" s="1740" t="n">
        <f aca="false">'7.4.2 Selling &amp; Oper. expenses'!G49*'7.4.2 Selling &amp; Oper. expenses'!I80</f>
        <v>0</v>
      </c>
      <c r="J137" s="1740" t="n">
        <f aca="false">'7.4.2 Selling &amp; Oper. expenses'!I49*'7.4.2 Selling &amp; Oper. expenses'!I80</f>
        <v>0</v>
      </c>
      <c r="K137" s="1741" t="n">
        <f aca="false">'7.4.2 Selling &amp; Oper. expenses'!K49*'7.4.2 Selling &amp; Oper. expenses'!I80</f>
        <v>0</v>
      </c>
      <c r="L137" s="1739" t="n">
        <f aca="false">'7.4.2 Selling &amp; Oper. expenses'!C49*'7.4.2 Selling &amp; Oper. expenses'!J80</f>
        <v>0</v>
      </c>
      <c r="M137" s="1740" t="n">
        <f aca="false">'7.4.2 Selling &amp; Oper. expenses'!E49*'7.4.2 Selling &amp; Oper. expenses'!J80</f>
        <v>0</v>
      </c>
      <c r="N137" s="1740" t="n">
        <f aca="false">'7.4.2 Selling &amp; Oper. expenses'!G49*'7.4.2 Selling &amp; Oper. expenses'!J80</f>
        <v>0</v>
      </c>
      <c r="O137" s="1740" t="n">
        <f aca="false">'7.4.2 Selling &amp; Oper. expenses'!I49*'7.4.2 Selling &amp; Oper. expenses'!J80</f>
        <v>0</v>
      </c>
      <c r="P137" s="1741" t="n">
        <f aca="false">'7.4.2 Selling &amp; Oper. expenses'!K49*'7.4.2 Selling &amp; Oper. expenses'!J80</f>
        <v>0</v>
      </c>
    </row>
    <row r="138" customFormat="false" ht="15" hidden="false" customHeight="false" outlineLevel="0" collapsed="false">
      <c r="A138" s="1719" t="s">
        <v>772</v>
      </c>
      <c r="B138" s="1739" t="n">
        <f aca="false">'7.4.2 Selling &amp; Oper. expenses'!C50*'7.4.2 Selling &amp; Oper. expenses'!H81</f>
        <v>0</v>
      </c>
      <c r="C138" s="1740" t="n">
        <f aca="false">'7.4.2 Selling &amp; Oper. expenses'!E50*'7.4.2 Selling &amp; Oper. expenses'!H81</f>
        <v>0</v>
      </c>
      <c r="D138" s="1740" t="n">
        <f aca="false">'7.4.2 Selling &amp; Oper. expenses'!G50*'7.4.2 Selling &amp; Oper. expenses'!H81</f>
        <v>0</v>
      </c>
      <c r="E138" s="1740" t="n">
        <f aca="false">'7.4.2 Selling &amp; Oper. expenses'!I50*'7.4.2 Selling &amp; Oper. expenses'!H81</f>
        <v>0</v>
      </c>
      <c r="F138" s="1741" t="n">
        <f aca="false">'7.4.2 Selling &amp; Oper. expenses'!K50*'7.4.2 Selling &amp; Oper. expenses'!H81</f>
        <v>0</v>
      </c>
      <c r="G138" s="1739" t="n">
        <f aca="false">'7.4.2 Selling &amp; Oper. expenses'!C50*'7.4.2 Selling &amp; Oper. expenses'!I81</f>
        <v>0</v>
      </c>
      <c r="H138" s="1740" t="n">
        <f aca="false">'7.4.2 Selling &amp; Oper. expenses'!E50*'7.4.2 Selling &amp; Oper. expenses'!I81</f>
        <v>0</v>
      </c>
      <c r="I138" s="1740" t="n">
        <f aca="false">'7.4.2 Selling &amp; Oper. expenses'!G50*'7.4.2 Selling &amp; Oper. expenses'!I81</f>
        <v>0</v>
      </c>
      <c r="J138" s="1740" t="n">
        <f aca="false">'7.4.2 Selling &amp; Oper. expenses'!I50*'7.4.2 Selling &amp; Oper. expenses'!I81</f>
        <v>0</v>
      </c>
      <c r="K138" s="1741" t="n">
        <f aca="false">'7.4.2 Selling &amp; Oper. expenses'!K50*'7.4.2 Selling &amp; Oper. expenses'!I81</f>
        <v>0</v>
      </c>
      <c r="L138" s="1739" t="n">
        <f aca="false">'7.4.2 Selling &amp; Oper. expenses'!C50*'7.4.2 Selling &amp; Oper. expenses'!J81</f>
        <v>0</v>
      </c>
      <c r="M138" s="1740" t="n">
        <f aca="false">'7.4.2 Selling &amp; Oper. expenses'!E50*'7.4.2 Selling &amp; Oper. expenses'!J81</f>
        <v>0</v>
      </c>
      <c r="N138" s="1740" t="n">
        <f aca="false">'7.4.2 Selling &amp; Oper. expenses'!G50*'7.4.2 Selling &amp; Oper. expenses'!J81</f>
        <v>0</v>
      </c>
      <c r="O138" s="1740" t="n">
        <f aca="false">'7.4.2 Selling &amp; Oper. expenses'!I50*'7.4.2 Selling &amp; Oper. expenses'!J81</f>
        <v>0</v>
      </c>
      <c r="P138" s="1741" t="n">
        <f aca="false">'7.4.2 Selling &amp; Oper. expenses'!K50*'7.4.2 Selling &amp; Oper. expenses'!J81</f>
        <v>0</v>
      </c>
    </row>
    <row r="139" customFormat="false" ht="15" hidden="false" customHeight="false" outlineLevel="0" collapsed="false">
      <c r="A139" s="1719" t="s">
        <v>773</v>
      </c>
      <c r="B139" s="1739" t="n">
        <f aca="false">'7.4.2 Selling &amp; Oper. expenses'!C51*'7.4.2 Selling &amp; Oper. expenses'!H82</f>
        <v>0</v>
      </c>
      <c r="C139" s="1740" t="n">
        <f aca="false">'7.4.2 Selling &amp; Oper. expenses'!E51*'7.4.2 Selling &amp; Oper. expenses'!H82</f>
        <v>0</v>
      </c>
      <c r="D139" s="1740" t="n">
        <f aca="false">'7.4.2 Selling &amp; Oper. expenses'!G51*'7.4.2 Selling &amp; Oper. expenses'!H82</f>
        <v>0</v>
      </c>
      <c r="E139" s="1740" t="n">
        <f aca="false">'7.4.2 Selling &amp; Oper. expenses'!I51*'7.4.2 Selling &amp; Oper. expenses'!H82</f>
        <v>0</v>
      </c>
      <c r="F139" s="1741" t="n">
        <f aca="false">'7.4.2 Selling &amp; Oper. expenses'!K51*'7.4.2 Selling &amp; Oper. expenses'!H82</f>
        <v>0</v>
      </c>
      <c r="G139" s="1739" t="n">
        <f aca="false">'7.4.2 Selling &amp; Oper. expenses'!C51*'7.4.2 Selling &amp; Oper. expenses'!I82</f>
        <v>0</v>
      </c>
      <c r="H139" s="1740" t="n">
        <f aca="false">'7.4.2 Selling &amp; Oper. expenses'!E51*'7.4.2 Selling &amp; Oper. expenses'!I82</f>
        <v>0</v>
      </c>
      <c r="I139" s="1740" t="n">
        <f aca="false">'7.4.2 Selling &amp; Oper. expenses'!G51*'7.4.2 Selling &amp; Oper. expenses'!I82</f>
        <v>0</v>
      </c>
      <c r="J139" s="1740" t="n">
        <f aca="false">'7.4.2 Selling &amp; Oper. expenses'!I51*'7.4.2 Selling &amp; Oper. expenses'!I82</f>
        <v>0</v>
      </c>
      <c r="K139" s="1741" t="n">
        <f aca="false">'7.4.2 Selling &amp; Oper. expenses'!K51*'7.4.2 Selling &amp; Oper. expenses'!I82</f>
        <v>0</v>
      </c>
      <c r="L139" s="1739" t="n">
        <f aca="false">'7.4.2 Selling &amp; Oper. expenses'!C51*'7.4.2 Selling &amp; Oper. expenses'!J82</f>
        <v>0</v>
      </c>
      <c r="M139" s="1740" t="n">
        <f aca="false">'7.4.2 Selling &amp; Oper. expenses'!E51*'7.4.2 Selling &amp; Oper. expenses'!J82</f>
        <v>0</v>
      </c>
      <c r="N139" s="1740" t="n">
        <f aca="false">'7.4.2 Selling &amp; Oper. expenses'!G51*'7.4.2 Selling &amp; Oper. expenses'!J82</f>
        <v>0</v>
      </c>
      <c r="O139" s="1740" t="n">
        <f aca="false">'7.4.2 Selling &amp; Oper. expenses'!I51*'7.4.2 Selling &amp; Oper. expenses'!J82</f>
        <v>0</v>
      </c>
      <c r="P139" s="1741" t="n">
        <f aca="false">'7.4.2 Selling &amp; Oper. expenses'!K51*'7.4.2 Selling &amp; Oper. expenses'!J82</f>
        <v>0</v>
      </c>
    </row>
    <row r="140" customFormat="false" ht="15" hidden="false" customHeight="false" outlineLevel="0" collapsed="false">
      <c r="A140" s="1719" t="s">
        <v>996</v>
      </c>
      <c r="B140" s="1739" t="n">
        <f aca="false">'7.4.2 Selling &amp; Oper. expenses'!C52*'7.4.2 Selling &amp; Oper. expenses'!H83</f>
        <v>0</v>
      </c>
      <c r="C140" s="1740" t="n">
        <f aca="false">'7.4.2 Selling &amp; Oper. expenses'!E52*'7.4.2 Selling &amp; Oper. expenses'!H83</f>
        <v>0</v>
      </c>
      <c r="D140" s="1740" t="n">
        <f aca="false">'7.4.2 Selling &amp; Oper. expenses'!G52*'7.4.2 Selling &amp; Oper. expenses'!H83</f>
        <v>0</v>
      </c>
      <c r="E140" s="1740" t="n">
        <f aca="false">'7.4.2 Selling &amp; Oper. expenses'!I52*'7.4.2 Selling &amp; Oper. expenses'!H83</f>
        <v>0</v>
      </c>
      <c r="F140" s="1741" t="n">
        <f aca="false">'7.4.2 Selling &amp; Oper. expenses'!K52*'7.4.2 Selling &amp; Oper. expenses'!H83</f>
        <v>0</v>
      </c>
      <c r="G140" s="1739" t="n">
        <f aca="false">'7.4.2 Selling &amp; Oper. expenses'!C52*'7.4.2 Selling &amp; Oper. expenses'!I83</f>
        <v>0</v>
      </c>
      <c r="H140" s="1740" t="n">
        <f aca="false">'7.4.2 Selling &amp; Oper. expenses'!E52*'7.4.2 Selling &amp; Oper. expenses'!I83</f>
        <v>0</v>
      </c>
      <c r="I140" s="1740" t="n">
        <f aca="false">'7.4.2 Selling &amp; Oper. expenses'!G52*'7.4.2 Selling &amp; Oper. expenses'!I83</f>
        <v>0</v>
      </c>
      <c r="J140" s="1740" t="n">
        <f aca="false">'7.4.2 Selling &amp; Oper. expenses'!I52*'7.4.2 Selling &amp; Oper. expenses'!I83</f>
        <v>0</v>
      </c>
      <c r="K140" s="1741" t="n">
        <f aca="false">'7.4.2 Selling &amp; Oper. expenses'!K52*'7.4.2 Selling &amp; Oper. expenses'!I83</f>
        <v>0</v>
      </c>
      <c r="L140" s="1739" t="n">
        <f aca="false">'7.4.2 Selling &amp; Oper. expenses'!C52*'7.4.2 Selling &amp; Oper. expenses'!J83</f>
        <v>0</v>
      </c>
      <c r="M140" s="1740" t="n">
        <f aca="false">'7.4.2 Selling &amp; Oper. expenses'!E52*'7.4.2 Selling &amp; Oper. expenses'!J83</f>
        <v>0</v>
      </c>
      <c r="N140" s="1740" t="n">
        <f aca="false">'7.4.2 Selling &amp; Oper. expenses'!G52*'7.4.2 Selling &amp; Oper. expenses'!J83</f>
        <v>0</v>
      </c>
      <c r="O140" s="1740" t="n">
        <f aca="false">'7.4.2 Selling &amp; Oper. expenses'!I52*'7.4.2 Selling &amp; Oper. expenses'!J83</f>
        <v>0</v>
      </c>
      <c r="P140" s="1741" t="n">
        <f aca="false">'7.4.2 Selling &amp; Oper. expenses'!K52*'7.4.2 Selling &amp; Oper. expenses'!J83</f>
        <v>0</v>
      </c>
    </row>
    <row r="141" customFormat="false" ht="15" hidden="false" customHeight="false" outlineLevel="0" collapsed="false">
      <c r="A141" s="1719" t="s">
        <v>775</v>
      </c>
      <c r="B141" s="1739" t="n">
        <f aca="false">'7.4.2 Selling &amp; Oper. expenses'!C53*'7.4.2 Selling &amp; Oper. expenses'!H84</f>
        <v>0</v>
      </c>
      <c r="C141" s="1740" t="n">
        <f aca="false">'7.4.2 Selling &amp; Oper. expenses'!E53*'7.4.2 Selling &amp; Oper. expenses'!H84</f>
        <v>0</v>
      </c>
      <c r="D141" s="1740" t="n">
        <f aca="false">'7.4.2 Selling &amp; Oper. expenses'!G53*'7.4.2 Selling &amp; Oper. expenses'!H84</f>
        <v>0</v>
      </c>
      <c r="E141" s="1740" t="n">
        <f aca="false">'7.4.2 Selling &amp; Oper. expenses'!I53*'7.4.2 Selling &amp; Oper. expenses'!H84</f>
        <v>0</v>
      </c>
      <c r="F141" s="1741" t="n">
        <f aca="false">'7.4.2 Selling &amp; Oper. expenses'!K53*'7.4.2 Selling &amp; Oper. expenses'!H84</f>
        <v>0</v>
      </c>
      <c r="G141" s="1739" t="n">
        <f aca="false">'7.4.2 Selling &amp; Oper. expenses'!C53*'7.4.2 Selling &amp; Oper. expenses'!I84</f>
        <v>0</v>
      </c>
      <c r="H141" s="1740" t="n">
        <f aca="false">'7.4.2 Selling &amp; Oper. expenses'!E53*'7.4.2 Selling &amp; Oper. expenses'!I84</f>
        <v>0</v>
      </c>
      <c r="I141" s="1740" t="n">
        <f aca="false">'7.4.2 Selling &amp; Oper. expenses'!G53*'7.4.2 Selling &amp; Oper. expenses'!I84</f>
        <v>0</v>
      </c>
      <c r="J141" s="1740" t="n">
        <f aca="false">'7.4.2 Selling &amp; Oper. expenses'!I53*'7.4.2 Selling &amp; Oper. expenses'!I84</f>
        <v>0</v>
      </c>
      <c r="K141" s="1741" t="n">
        <f aca="false">'7.4.2 Selling &amp; Oper. expenses'!K53*'7.4.2 Selling &amp; Oper. expenses'!I84</f>
        <v>0</v>
      </c>
      <c r="L141" s="1739" t="n">
        <f aca="false">'7.4.2 Selling &amp; Oper. expenses'!C53*'7.4.2 Selling &amp; Oper. expenses'!J84</f>
        <v>0</v>
      </c>
      <c r="M141" s="1740" t="n">
        <f aca="false">'7.4.2 Selling &amp; Oper. expenses'!E53*'7.4.2 Selling &amp; Oper. expenses'!J84</f>
        <v>0</v>
      </c>
      <c r="N141" s="1740" t="n">
        <f aca="false">'7.4.2 Selling &amp; Oper. expenses'!G53*'7.4.2 Selling &amp; Oper. expenses'!J84</f>
        <v>0</v>
      </c>
      <c r="O141" s="1740" t="n">
        <f aca="false">'7.4.2 Selling &amp; Oper. expenses'!I53*'7.4.2 Selling &amp; Oper. expenses'!J84</f>
        <v>0</v>
      </c>
      <c r="P141" s="1741" t="n">
        <f aca="false">'7.4.2 Selling &amp; Oper. expenses'!K53*'7.4.2 Selling &amp; Oper. expenses'!J84</f>
        <v>0</v>
      </c>
    </row>
    <row r="142" customFormat="false" ht="15" hidden="false" customHeight="false" outlineLevel="0" collapsed="false">
      <c r="A142" s="1719" t="s">
        <v>776</v>
      </c>
      <c r="B142" s="1742" t="n">
        <f aca="false">'7.4.2 Selling &amp; Oper. expenses'!C54*'7.4.2 Selling &amp; Oper. expenses'!H85</f>
        <v>0</v>
      </c>
      <c r="C142" s="1743" t="n">
        <f aca="false">'7.4.2 Selling &amp; Oper. expenses'!E54*'7.4.2 Selling &amp; Oper. expenses'!H85</f>
        <v>0</v>
      </c>
      <c r="D142" s="1743" t="n">
        <f aca="false">'7.4.2 Selling &amp; Oper. expenses'!G54*'7.4.2 Selling &amp; Oper. expenses'!H85</f>
        <v>0</v>
      </c>
      <c r="E142" s="1743" t="n">
        <f aca="false">'7.4.2 Selling &amp; Oper. expenses'!I54*'7.4.2 Selling &amp; Oper. expenses'!H85</f>
        <v>0</v>
      </c>
      <c r="F142" s="1744" t="n">
        <f aca="false">'7.4.2 Selling &amp; Oper. expenses'!K54*'7.4.2 Selling &amp; Oper. expenses'!H85</f>
        <v>0</v>
      </c>
      <c r="G142" s="1742" t="n">
        <f aca="false">'7.4.2 Selling &amp; Oper. expenses'!C54*'7.4.2 Selling &amp; Oper. expenses'!I85</f>
        <v>0</v>
      </c>
      <c r="H142" s="1743" t="n">
        <f aca="false">'7.4.2 Selling &amp; Oper. expenses'!E54*'7.4.2 Selling &amp; Oper. expenses'!I85</f>
        <v>0</v>
      </c>
      <c r="I142" s="1743" t="n">
        <f aca="false">'7.4.2 Selling &amp; Oper. expenses'!G54*'7.4.2 Selling &amp; Oper. expenses'!I85</f>
        <v>0</v>
      </c>
      <c r="J142" s="1743" t="n">
        <f aca="false">'7.4.2 Selling &amp; Oper. expenses'!I54*'7.4.2 Selling &amp; Oper. expenses'!I85</f>
        <v>0</v>
      </c>
      <c r="K142" s="1744" t="n">
        <f aca="false">'7.4.2 Selling &amp; Oper. expenses'!K54*'7.4.2 Selling &amp; Oper. expenses'!I85</f>
        <v>0</v>
      </c>
      <c r="L142" s="1742" t="n">
        <f aca="false">'7.4.2 Selling &amp; Oper. expenses'!C54*'7.4.2 Selling &amp; Oper. expenses'!J85</f>
        <v>0</v>
      </c>
      <c r="M142" s="1743" t="n">
        <f aca="false">'7.4.2 Selling &amp; Oper. expenses'!E54*'7.4.2 Selling &amp; Oper. expenses'!J85</f>
        <v>0</v>
      </c>
      <c r="N142" s="1743" t="n">
        <f aca="false">'7.4.2 Selling &amp; Oper. expenses'!G54*'7.4.2 Selling &amp; Oper. expenses'!J85</f>
        <v>0</v>
      </c>
      <c r="O142" s="1743" t="n">
        <f aca="false">'7.4.2 Selling &amp; Oper. expenses'!I54*'7.4.2 Selling &amp; Oper. expenses'!J85</f>
        <v>0</v>
      </c>
      <c r="P142" s="1744" t="n">
        <f aca="false">'7.4.2 Selling &amp; Oper. expenses'!K54*'7.4.2 Selling &amp; Oper. expenses'!J85</f>
        <v>0</v>
      </c>
    </row>
    <row r="143" customFormat="false" ht="15" hidden="false" customHeight="false" outlineLevel="0" collapsed="false">
      <c r="A143" s="1735" t="s">
        <v>997</v>
      </c>
      <c r="B143" s="1774" t="n">
        <f aca="false">SUM(B125:B142)</f>
        <v>0</v>
      </c>
      <c r="C143" s="1775" t="n">
        <f aca="false">SUM(C125:C142)</f>
        <v>0</v>
      </c>
      <c r="D143" s="1775" t="n">
        <f aca="false">SUM(D125:D142)</f>
        <v>0</v>
      </c>
      <c r="E143" s="1775" t="n">
        <f aca="false">SUM(E125:E142)</f>
        <v>0</v>
      </c>
      <c r="F143" s="1776" t="n">
        <f aca="false">SUM(F125:F142)</f>
        <v>0</v>
      </c>
      <c r="G143" s="1774" t="n">
        <f aca="false">SUM(G125:G142)</f>
        <v>0</v>
      </c>
      <c r="H143" s="1775" t="n">
        <f aca="false">SUM(H125:H142)</f>
        <v>0</v>
      </c>
      <c r="I143" s="1775" t="n">
        <f aca="false">SUM(I125:I142)</f>
        <v>0</v>
      </c>
      <c r="J143" s="1775" t="n">
        <f aca="false">SUM(J125:J142)</f>
        <v>0</v>
      </c>
      <c r="K143" s="1776" t="n">
        <f aca="false">SUM(K125:K142)</f>
        <v>0</v>
      </c>
      <c r="L143" s="1774" t="n">
        <f aca="false">SUM(L125:L142)</f>
        <v>0</v>
      </c>
      <c r="M143" s="1775" t="n">
        <f aca="false">SUM(M125:M142)</f>
        <v>0</v>
      </c>
      <c r="N143" s="1775" t="n">
        <f aca="false">SUM(N125:N142)</f>
        <v>0</v>
      </c>
      <c r="O143" s="1775" t="n">
        <f aca="false">SUM(O125:O142)</f>
        <v>0</v>
      </c>
      <c r="P143" s="1776" t="n">
        <f aca="false">SUM(P125:P142)</f>
        <v>0</v>
      </c>
    </row>
    <row r="144" customFormat="false" ht="15" hidden="false" customHeight="false" outlineLevel="0" collapsed="false">
      <c r="A144" s="1735"/>
      <c r="B144" s="1748"/>
      <c r="C144" s="1749"/>
      <c r="D144" s="1749"/>
      <c r="E144" s="1749"/>
      <c r="F144" s="1750"/>
      <c r="G144" s="1748"/>
      <c r="H144" s="1749"/>
      <c r="I144" s="1749"/>
      <c r="J144" s="1749"/>
      <c r="K144" s="1750"/>
      <c r="L144" s="1748"/>
      <c r="M144" s="1749"/>
      <c r="N144" s="1749"/>
      <c r="O144" s="1749"/>
      <c r="P144" s="1750"/>
    </row>
    <row r="145" s="273" customFormat="true" ht="15" hidden="false" customHeight="false" outlineLevel="0" collapsed="false">
      <c r="A145" s="1735" t="s">
        <v>998</v>
      </c>
      <c r="B145" s="1748" t="n">
        <f aca="false">'7.4.3 Inv. &amp; Depr.'!D129</f>
        <v>16129</v>
      </c>
      <c r="C145" s="1749" t="n">
        <f aca="false">'7.4.3 Inv. &amp; Depr.'!F129</f>
        <v>0</v>
      </c>
      <c r="D145" s="1749" t="n">
        <f aca="false">'7.4.3 Inv. &amp; Depr.'!H129</f>
        <v>0</v>
      </c>
      <c r="E145" s="1749" t="n">
        <f aca="false">'7.4.3 Inv. &amp; Depr.'!J129</f>
        <v>0</v>
      </c>
      <c r="F145" s="1750" t="n">
        <f aca="false">'7.4.3 Inv. &amp; Depr.'!L129</f>
        <v>0</v>
      </c>
      <c r="G145" s="1748" t="n">
        <v>0</v>
      </c>
      <c r="H145" s="1749" t="n">
        <v>0</v>
      </c>
      <c r="I145" s="1749" t="n">
        <v>0</v>
      </c>
      <c r="J145" s="1749" t="n">
        <v>0</v>
      </c>
      <c r="K145" s="1750" t="n">
        <v>0</v>
      </c>
      <c r="L145" s="1748" t="n">
        <f aca="false">'7.4.3 Inv. &amp; Depr.'!D121+'7.4.3 Inv. &amp; Depr.'!D131</f>
        <v>128048.333333333</v>
      </c>
      <c r="M145" s="1749" t="n">
        <f aca="false">'7.4.3 Inv. &amp; Depr.'!F121+'7.4.3 Inv. &amp; Depr.'!F131</f>
        <v>119808.6</v>
      </c>
      <c r="N145" s="1749" t="n">
        <f aca="false">'7.4.3 Inv. &amp; Depr.'!H121+'7.4.3 Inv. &amp; Depr.'!H131</f>
        <v>117009.6</v>
      </c>
      <c r="O145" s="1749" t="n">
        <f aca="false">'7.4.3 Inv. &amp; Depr.'!J121+'7.4.3 Inv. &amp; Depr.'!J131</f>
        <v>58425.8</v>
      </c>
      <c r="P145" s="1750" t="n">
        <f aca="false">'7.4.3 Inv. &amp; Depr.'!L121+'7.4.3 Inv. &amp; Depr.'!L131</f>
        <v>59971</v>
      </c>
      <c r="Q145" s="271"/>
    </row>
    <row r="146" customFormat="false" ht="15" hidden="false" customHeight="false" outlineLevel="0" collapsed="false">
      <c r="A146" s="1735"/>
      <c r="B146" s="1748"/>
      <c r="C146" s="1749"/>
      <c r="D146" s="1749"/>
      <c r="E146" s="1749"/>
      <c r="F146" s="1750"/>
      <c r="G146" s="1748"/>
      <c r="H146" s="1749"/>
      <c r="I146" s="1749"/>
      <c r="J146" s="1749"/>
      <c r="K146" s="1750"/>
      <c r="L146" s="1748"/>
      <c r="M146" s="1749"/>
      <c r="N146" s="1749"/>
      <c r="O146" s="1749"/>
      <c r="P146" s="1750"/>
    </row>
    <row r="147" customFormat="false" ht="15" hidden="false" customHeight="false" outlineLevel="0" collapsed="false">
      <c r="A147" s="1734"/>
      <c r="B147" s="1774"/>
      <c r="C147" s="1775"/>
      <c r="D147" s="1775"/>
      <c r="E147" s="1775"/>
      <c r="F147" s="1776"/>
      <c r="G147" s="1774"/>
      <c r="H147" s="1775"/>
      <c r="I147" s="1775"/>
      <c r="J147" s="1775"/>
      <c r="K147" s="1776"/>
      <c r="L147" s="1774"/>
      <c r="M147" s="1775"/>
      <c r="N147" s="1775"/>
      <c r="O147" s="1775"/>
      <c r="P147" s="1776"/>
    </row>
    <row r="148" customFormat="false" ht="15" hidden="false" customHeight="false" outlineLevel="0" collapsed="false">
      <c r="A148" s="1735" t="s">
        <v>999</v>
      </c>
      <c r="B148" s="1668" t="e">
        <f aca="false">B115-B120-B122-B143-B145</f>
        <v>#VALUE!</v>
      </c>
      <c r="C148" s="1669" t="e">
        <f aca="false">C115-C120-C122-C143-C145</f>
        <v>#VALUE!</v>
      </c>
      <c r="D148" s="1669" t="e">
        <f aca="false">D115-D120-D122-D143-D145</f>
        <v>#VALUE!</v>
      </c>
      <c r="E148" s="1669" t="e">
        <f aca="false">E115-E120-E122-E143-E145</f>
        <v>#VALUE!</v>
      </c>
      <c r="F148" s="1670" t="e">
        <f aca="false">F115-F120-F122-F143-F145</f>
        <v>#VALUE!</v>
      </c>
      <c r="G148" s="1668" t="n">
        <f aca="false">G115-G120-G122-G143-G145</f>
        <v>0</v>
      </c>
      <c r="H148" s="1669" t="n">
        <f aca="false">H115-H120-H122-H143-H145</f>
        <v>0</v>
      </c>
      <c r="I148" s="1669" t="n">
        <f aca="false">I115-I120-I122-I143-I145</f>
        <v>0</v>
      </c>
      <c r="J148" s="1669" t="n">
        <f aca="false">J115-J120-J122-J143-J145</f>
        <v>0</v>
      </c>
      <c r="K148" s="1670" t="n">
        <f aca="false">K115-K120-K122-K143-K145</f>
        <v>0</v>
      </c>
      <c r="L148" s="1668" t="n">
        <f aca="false">L115-L120-L122-L143-L145</f>
        <v>-128048.333333333</v>
      </c>
      <c r="M148" s="1669" t="n">
        <f aca="false">M115-M120-M122-M143-M145</f>
        <v>-119808.6</v>
      </c>
      <c r="N148" s="1669" t="n">
        <f aca="false">N115-N120-N122-N143-N145</f>
        <v>-117009.6</v>
      </c>
      <c r="O148" s="1669" t="n">
        <f aca="false">O115-O120-O122-O143-O145</f>
        <v>-58425.8</v>
      </c>
      <c r="P148" s="1670" t="n">
        <f aca="false">P115-P120-P122-P143-P145</f>
        <v>-59971</v>
      </c>
    </row>
    <row r="149" customFormat="false" ht="15" hidden="false" customHeight="false" outlineLevel="0" collapsed="false">
      <c r="A149" s="1735"/>
      <c r="B149" s="1748"/>
      <c r="C149" s="1749"/>
      <c r="D149" s="1749"/>
      <c r="E149" s="1749"/>
      <c r="F149" s="1750"/>
      <c r="G149" s="1748"/>
      <c r="H149" s="1749"/>
      <c r="I149" s="1749"/>
      <c r="J149" s="1749"/>
      <c r="K149" s="1750"/>
      <c r="L149" s="1748"/>
      <c r="M149" s="1749"/>
      <c r="N149" s="1749"/>
      <c r="O149" s="1749"/>
      <c r="P149" s="1750"/>
    </row>
    <row r="150" customFormat="false" ht="15" hidden="false" customHeight="false" outlineLevel="0" collapsed="false">
      <c r="A150" s="1735" t="s">
        <v>1011</v>
      </c>
      <c r="B150" s="1761" t="e">
        <f aca="false">IF(B99=0,0,B148/B99)</f>
        <v>#VALUE!</v>
      </c>
      <c r="C150" s="1762" t="e">
        <f aca="false">IF(C99=0,0,C148/C99)</f>
        <v>#VALUE!</v>
      </c>
      <c r="D150" s="1762" t="e">
        <f aca="false">IF(D99=0,0,D148/D99)</f>
        <v>#VALUE!</v>
      </c>
      <c r="E150" s="1762" t="e">
        <f aca="false">IF(E99=0,0,E148/E99)</f>
        <v>#VALUE!</v>
      </c>
      <c r="F150" s="1763" t="e">
        <f aca="false">IF(F99=0,0,F148/F99)</f>
        <v>#VALUE!</v>
      </c>
      <c r="G150" s="1761" t="n">
        <f aca="false">IF(G99=0,0,G148/G99)</f>
        <v>0</v>
      </c>
      <c r="H150" s="1762" t="n">
        <f aca="false">IF(H99=0,0,H148/H99)</f>
        <v>0</v>
      </c>
      <c r="I150" s="1762" t="n">
        <f aca="false">IF(I99=0,0,I148/I99)</f>
        <v>0</v>
      </c>
      <c r="J150" s="1762" t="n">
        <f aca="false">IF(J99=0,0,J148/J99)</f>
        <v>0</v>
      </c>
      <c r="K150" s="1763" t="n">
        <f aca="false">IF(K99=0,0,K148/K99)</f>
        <v>0</v>
      </c>
      <c r="L150" s="1761" t="n">
        <f aca="false">IF(L99=0,0,L148/L99)</f>
        <v>0</v>
      </c>
      <c r="M150" s="1762" t="n">
        <f aca="false">IF(M99=0,0,M148/M99)</f>
        <v>0</v>
      </c>
      <c r="N150" s="1762" t="n">
        <f aca="false">IF(N99=0,0,N148/N99)</f>
        <v>0</v>
      </c>
      <c r="O150" s="1762" t="n">
        <f aca="false">IF(O99=0,0,O148/O99)</f>
        <v>0</v>
      </c>
      <c r="P150" s="1763" t="n">
        <f aca="false">IF(P99=0,0,P148/P99)</f>
        <v>0</v>
      </c>
    </row>
    <row r="151" customFormat="false" ht="15" hidden="false" customHeight="false" outlineLevel="0" collapsed="false">
      <c r="A151" s="1753"/>
      <c r="B151" s="1754"/>
      <c r="C151" s="1755"/>
      <c r="D151" s="1755"/>
      <c r="E151" s="1755"/>
      <c r="F151" s="1756"/>
      <c r="G151" s="1754"/>
      <c r="H151" s="1755"/>
      <c r="I151" s="1755"/>
      <c r="J151" s="1755"/>
      <c r="K151" s="1756"/>
      <c r="L151" s="1754"/>
      <c r="M151" s="1755"/>
      <c r="N151" s="1755"/>
      <c r="O151" s="1755"/>
      <c r="P151" s="1756"/>
    </row>
    <row r="152" customFormat="false" ht="15" hidden="false" customHeight="false" outlineLevel="0" collapsed="false">
      <c r="A152" s="1735"/>
      <c r="B152" s="1748"/>
      <c r="C152" s="1749"/>
      <c r="D152" s="1749"/>
      <c r="E152" s="1749"/>
      <c r="F152" s="1750"/>
      <c r="G152" s="1748"/>
      <c r="H152" s="1749"/>
      <c r="I152" s="1749"/>
      <c r="J152" s="1749"/>
      <c r="K152" s="1750"/>
      <c r="L152" s="1748"/>
      <c r="M152" s="1749"/>
      <c r="N152" s="1749"/>
      <c r="O152" s="1749"/>
      <c r="P152" s="1750"/>
    </row>
    <row r="153" customFormat="false" ht="15" hidden="false" customHeight="false" outlineLevel="0" collapsed="false">
      <c r="A153" s="1719" t="s">
        <v>1000</v>
      </c>
      <c r="B153" s="1739" t="n">
        <v>0</v>
      </c>
      <c r="C153" s="1740" t="n">
        <v>0</v>
      </c>
      <c r="D153" s="1740" t="n">
        <v>0</v>
      </c>
      <c r="E153" s="1740" t="n">
        <v>0</v>
      </c>
      <c r="F153" s="1741" t="n">
        <v>0</v>
      </c>
      <c r="G153" s="1739" t="n">
        <v>0</v>
      </c>
      <c r="H153" s="1740" t="n">
        <v>0</v>
      </c>
      <c r="I153" s="1740" t="n">
        <v>0</v>
      </c>
      <c r="J153" s="1740" t="n">
        <v>0</v>
      </c>
      <c r="K153" s="1741" t="n">
        <v>0</v>
      </c>
      <c r="L153" s="1739" t="e">
        <f aca="false">-'7.5.2 Fin. Income &amp; Expenses '!E70</f>
        <v>#VALUE!</v>
      </c>
      <c r="M153" s="1740" t="e">
        <f aca="false">-'7.5.2 Fin. Income &amp; Expenses '!G70</f>
        <v>#VALUE!</v>
      </c>
      <c r="N153" s="1740" t="e">
        <f aca="false">-'7.5.2 Fin. Income &amp; Expenses '!I70</f>
        <v>#VALUE!</v>
      </c>
      <c r="O153" s="1740" t="e">
        <f aca="false">-'7.5.2 Fin. Income &amp; Expenses '!K70</f>
        <v>#VALUE!</v>
      </c>
      <c r="P153" s="1741" t="e">
        <f aca="false">-'7.5.2 Fin. Income &amp; Expenses '!M70</f>
        <v>#VALUE!</v>
      </c>
    </row>
    <row r="154" customFormat="false" ht="15" hidden="false" customHeight="false" outlineLevel="0" collapsed="false">
      <c r="A154" s="1719" t="s">
        <v>1001</v>
      </c>
      <c r="B154" s="1739" t="n">
        <v>0</v>
      </c>
      <c r="C154" s="1740" t="n">
        <v>0</v>
      </c>
      <c r="D154" s="1740" t="n">
        <v>0</v>
      </c>
      <c r="E154" s="1740" t="n">
        <v>0</v>
      </c>
      <c r="F154" s="1741" t="n">
        <v>0</v>
      </c>
      <c r="G154" s="1739" t="n">
        <v>0</v>
      </c>
      <c r="H154" s="1740" t="n">
        <v>0</v>
      </c>
      <c r="I154" s="1740" t="n">
        <v>0</v>
      </c>
      <c r="J154" s="1740" t="n">
        <v>0</v>
      </c>
      <c r="K154" s="1741" t="n">
        <v>0</v>
      </c>
      <c r="L154" s="1739" t="n">
        <f aca="false">-'7.5.2 Fin. Income &amp; Expenses '!E71</f>
        <v>-39000</v>
      </c>
      <c r="M154" s="1740" t="n">
        <f aca="false">-'7.5.2 Fin. Income &amp; Expenses '!G71</f>
        <v>-33000</v>
      </c>
      <c r="N154" s="1740" t="n">
        <f aca="false">-'7.5.2 Fin. Income &amp; Expenses '!I71</f>
        <v>-27000</v>
      </c>
      <c r="O154" s="1740" t="n">
        <f aca="false">-'7.5.2 Fin. Income &amp; Expenses '!K71</f>
        <v>-21000</v>
      </c>
      <c r="P154" s="1741" t="n">
        <f aca="false">-'7.5.2 Fin. Income &amp; Expenses '!M71</f>
        <v>-15000</v>
      </c>
    </row>
    <row r="155" customFormat="false" ht="15" hidden="false" customHeight="false" outlineLevel="0" collapsed="false">
      <c r="A155" s="1719" t="s">
        <v>1013</v>
      </c>
      <c r="B155" s="1739" t="n">
        <v>0</v>
      </c>
      <c r="C155" s="1740" t="n">
        <v>0</v>
      </c>
      <c r="D155" s="1740" t="n">
        <v>0</v>
      </c>
      <c r="E155" s="1740" t="n">
        <v>0</v>
      </c>
      <c r="F155" s="1741" t="n">
        <v>0</v>
      </c>
      <c r="G155" s="1739" t="n">
        <v>0</v>
      </c>
      <c r="H155" s="1740" t="n">
        <v>0</v>
      </c>
      <c r="I155" s="1740" t="n">
        <v>0</v>
      </c>
      <c r="J155" s="1740" t="n">
        <v>0</v>
      </c>
      <c r="K155" s="1741" t="n">
        <v>0</v>
      </c>
      <c r="L155" s="1739" t="n">
        <f aca="false">-'7.5.2 Fin. Income &amp; Expenses '!E72</f>
        <v>-0</v>
      </c>
      <c r="M155" s="1740" t="n">
        <f aca="false">-'7.5.2 Fin. Income &amp; Expenses '!G72</f>
        <v>-0</v>
      </c>
      <c r="N155" s="1740" t="n">
        <f aca="false">-'7.5.2 Fin. Income &amp; Expenses '!I72</f>
        <v>-0</v>
      </c>
      <c r="O155" s="1740" t="n">
        <f aca="false">-'7.5.2 Fin. Income &amp; Expenses '!K72</f>
        <v>-0</v>
      </c>
      <c r="P155" s="1741" t="n">
        <f aca="false">-'7.5.2 Fin. Income &amp; Expenses '!M72</f>
        <v>-0</v>
      </c>
    </row>
    <row r="156" customFormat="false" ht="15" hidden="false" customHeight="false" outlineLevel="0" collapsed="false">
      <c r="A156" s="1770" t="s">
        <v>930</v>
      </c>
      <c r="B156" s="1663" t="n">
        <v>0</v>
      </c>
      <c r="C156" s="1665" t="n">
        <v>0</v>
      </c>
      <c r="D156" s="1665" t="n">
        <v>0</v>
      </c>
      <c r="E156" s="1665" t="n">
        <v>0</v>
      </c>
      <c r="F156" s="1682" t="n">
        <v>0</v>
      </c>
      <c r="G156" s="1663" t="n">
        <v>0</v>
      </c>
      <c r="H156" s="1665" t="n">
        <v>0</v>
      </c>
      <c r="I156" s="1665" t="n">
        <v>0</v>
      </c>
      <c r="J156" s="1665" t="n">
        <v>0</v>
      </c>
      <c r="K156" s="1682" t="n">
        <v>0</v>
      </c>
      <c r="L156" s="1739" t="n">
        <v>0</v>
      </c>
      <c r="M156" s="1740" t="n">
        <v>0</v>
      </c>
      <c r="N156" s="1740" t="n">
        <v>0</v>
      </c>
      <c r="O156" s="1740" t="n">
        <v>0</v>
      </c>
      <c r="P156" s="1744" t="n">
        <v>0</v>
      </c>
    </row>
    <row r="157" s="273" customFormat="true" ht="15" hidden="false" customHeight="false" outlineLevel="0" collapsed="false">
      <c r="A157" s="1735" t="s">
        <v>1003</v>
      </c>
      <c r="B157" s="1774" t="n">
        <f aca="false">SUM(B153:B156)</f>
        <v>0</v>
      </c>
      <c r="C157" s="1775" t="n">
        <f aca="false">SUM(C153:C156)</f>
        <v>0</v>
      </c>
      <c r="D157" s="1775" t="n">
        <f aca="false">SUM(D153:D156)</f>
        <v>0</v>
      </c>
      <c r="E157" s="1775" t="n">
        <f aca="false">SUM(E153:E156)</f>
        <v>0</v>
      </c>
      <c r="F157" s="1776" t="n">
        <f aca="false">SUM(F153:F156)</f>
        <v>0</v>
      </c>
      <c r="G157" s="1774" t="n">
        <f aca="false">SUM(G153:G156)</f>
        <v>0</v>
      </c>
      <c r="H157" s="1775" t="n">
        <f aca="false">SUM(H153:H156)</f>
        <v>0</v>
      </c>
      <c r="I157" s="1775" t="n">
        <f aca="false">SUM(I153:I156)</f>
        <v>0</v>
      </c>
      <c r="J157" s="1775" t="n">
        <f aca="false">SUM(J153:J156)</f>
        <v>0</v>
      </c>
      <c r="K157" s="1776" t="n">
        <f aca="false">SUM(K153:K156)</f>
        <v>0</v>
      </c>
      <c r="L157" s="1774" t="e">
        <f aca="false">SUM(L153:L156)</f>
        <v>#VALUE!</v>
      </c>
      <c r="M157" s="1775" t="e">
        <f aca="false">SUM(M153:M156)</f>
        <v>#VALUE!</v>
      </c>
      <c r="N157" s="1775" t="e">
        <f aca="false">SUM(N153:N156)</f>
        <v>#VALUE!</v>
      </c>
      <c r="O157" s="1775" t="e">
        <f aca="false">SUM(O153:O156)</f>
        <v>#VALUE!</v>
      </c>
      <c r="P157" s="1776" t="e">
        <f aca="false">SUM(P153:P156)</f>
        <v>#VALUE!</v>
      </c>
      <c r="Q157" s="271"/>
    </row>
    <row r="158" s="273" customFormat="true" ht="15" hidden="false" customHeight="false" outlineLevel="0" collapsed="false">
      <c r="A158" s="1735"/>
      <c r="B158" s="1748"/>
      <c r="C158" s="1030"/>
      <c r="D158" s="1030"/>
      <c r="E158" s="1030"/>
      <c r="F158" s="1269"/>
      <c r="G158" s="1748"/>
      <c r="H158" s="1030"/>
      <c r="I158" s="1030"/>
      <c r="J158" s="1030"/>
      <c r="K158" s="1269"/>
      <c r="L158" s="1748"/>
      <c r="M158" s="1030"/>
      <c r="N158" s="1030"/>
      <c r="O158" s="1030"/>
      <c r="P158" s="1750"/>
      <c r="Q158" s="271"/>
    </row>
    <row r="159" s="273" customFormat="true" ht="15" hidden="false" customHeight="false" outlineLevel="0" collapsed="false">
      <c r="A159" s="1735" t="s">
        <v>1004</v>
      </c>
      <c r="B159" s="1748" t="n">
        <v>0</v>
      </c>
      <c r="C159" s="1030" t="n">
        <v>0</v>
      </c>
      <c r="D159" s="1030" t="n">
        <v>0</v>
      </c>
      <c r="E159" s="1030" t="n">
        <v>0</v>
      </c>
      <c r="F159" s="1269" t="n">
        <v>0</v>
      </c>
      <c r="G159" s="1748" t="n">
        <v>0</v>
      </c>
      <c r="H159" s="1030" t="n">
        <v>0</v>
      </c>
      <c r="I159" s="1030" t="n">
        <v>0</v>
      </c>
      <c r="J159" s="1030" t="n">
        <v>0</v>
      </c>
      <c r="K159" s="1269" t="n">
        <v>0</v>
      </c>
      <c r="L159" s="1748" t="e">
        <f aca="false">'7.5.2 Fin. Income &amp; Expenses '!E86</f>
        <v>#VALUE!</v>
      </c>
      <c r="M159" s="1030" t="e">
        <f aca="false">'7.5.2 Fin. Income &amp; Expenses '!G86</f>
        <v>#VALUE!</v>
      </c>
      <c r="N159" s="1030" t="e">
        <f aca="false">'7.5.2 Fin. Income &amp; Expenses '!I86</f>
        <v>#VALUE!</v>
      </c>
      <c r="O159" s="1030" t="e">
        <f aca="false">'7.5.2 Fin. Income &amp; Expenses '!K86</f>
        <v>#VALUE!</v>
      </c>
      <c r="P159" s="1750" t="e">
        <f aca="false">'7.5.2 Fin. Income &amp; Expenses '!M86</f>
        <v>#VALUE!</v>
      </c>
      <c r="Q159" s="271"/>
    </row>
    <row r="160" customFormat="false" ht="15" hidden="false" customHeight="false" outlineLevel="0" collapsed="false">
      <c r="A160" s="1735"/>
      <c r="B160" s="1748"/>
      <c r="C160" s="1030"/>
      <c r="D160" s="1030"/>
      <c r="E160" s="1030"/>
      <c r="F160" s="1269"/>
      <c r="G160" s="1748"/>
      <c r="H160" s="1030"/>
      <c r="I160" s="1030"/>
      <c r="J160" s="1030"/>
      <c r="K160" s="1269"/>
      <c r="L160" s="1748"/>
      <c r="M160" s="1030"/>
      <c r="N160" s="1030"/>
      <c r="O160" s="1030"/>
      <c r="P160" s="1750"/>
    </row>
    <row r="161" customFormat="false" ht="15" hidden="false" customHeight="false" outlineLevel="0" collapsed="false">
      <c r="A161" s="1734"/>
      <c r="B161" s="1757"/>
      <c r="C161" s="1758"/>
      <c r="D161" s="1758"/>
      <c r="E161" s="1758"/>
      <c r="F161" s="1759"/>
      <c r="G161" s="1757"/>
      <c r="H161" s="1758"/>
      <c r="I161" s="1758"/>
      <c r="J161" s="1758"/>
      <c r="K161" s="1759"/>
      <c r="L161" s="1757"/>
      <c r="M161" s="1758"/>
      <c r="N161" s="1758"/>
      <c r="O161" s="1758"/>
      <c r="P161" s="1759"/>
    </row>
    <row r="162" customFormat="false" ht="15" hidden="false" customHeight="false" outlineLevel="0" collapsed="false">
      <c r="A162" s="1766" t="s">
        <v>1012</v>
      </c>
      <c r="B162" s="1668" t="e">
        <f aca="false">B148+B157+B159</f>
        <v>#VALUE!</v>
      </c>
      <c r="C162" s="1669" t="e">
        <f aca="false">C148+C157+C159</f>
        <v>#VALUE!</v>
      </c>
      <c r="D162" s="1669" t="e">
        <f aca="false">D148+D157+D159</f>
        <v>#VALUE!</v>
      </c>
      <c r="E162" s="1669" t="e">
        <f aca="false">E148+E157+E159</f>
        <v>#VALUE!</v>
      </c>
      <c r="F162" s="1670" t="e">
        <f aca="false">F148+F157+F159</f>
        <v>#VALUE!</v>
      </c>
      <c r="G162" s="1668" t="n">
        <f aca="false">G148+G157+G159</f>
        <v>0</v>
      </c>
      <c r="H162" s="1669" t="n">
        <f aca="false">H148+H157+H159</f>
        <v>0</v>
      </c>
      <c r="I162" s="1669" t="n">
        <f aca="false">I148+I157+I159</f>
        <v>0</v>
      </c>
      <c r="J162" s="1669" t="n">
        <f aca="false">J148+J157+J159</f>
        <v>0</v>
      </c>
      <c r="K162" s="1670" t="n">
        <f aca="false">K148+K157+K159</f>
        <v>0</v>
      </c>
      <c r="L162" s="1668" t="e">
        <f aca="false">L148+L157+L159</f>
        <v>#VALUE!</v>
      </c>
      <c r="M162" s="1669" t="e">
        <f aca="false">M148+M157+M159</f>
        <v>#VALUE!</v>
      </c>
      <c r="N162" s="1669" t="e">
        <f aca="false">N148+N157+N159</f>
        <v>#VALUE!</v>
      </c>
      <c r="O162" s="1669" t="e">
        <f aca="false">O148+O157+O159</f>
        <v>#VALUE!</v>
      </c>
      <c r="P162" s="1670" t="e">
        <f aca="false">P148+P157+P159</f>
        <v>#VALUE!</v>
      </c>
    </row>
    <row r="163" customFormat="false" ht="15" hidden="false" customHeight="false" outlineLevel="0" collapsed="false">
      <c r="A163" s="1735"/>
      <c r="B163" s="1748"/>
      <c r="C163" s="1749"/>
      <c r="D163" s="1749"/>
      <c r="E163" s="1749"/>
      <c r="F163" s="1750"/>
      <c r="G163" s="1748"/>
      <c r="H163" s="1749"/>
      <c r="I163" s="1749"/>
      <c r="J163" s="1749"/>
      <c r="K163" s="1750"/>
      <c r="L163" s="1748"/>
      <c r="M163" s="1749"/>
      <c r="N163" s="1749"/>
      <c r="O163" s="1749"/>
      <c r="P163" s="1750"/>
    </row>
    <row r="164" customFormat="false" ht="15" hidden="false" customHeight="false" outlineLevel="0" collapsed="false">
      <c r="A164" s="1766" t="s">
        <v>1011</v>
      </c>
      <c r="B164" s="1761" t="e">
        <f aca="false">IF(B99=0,0,B162/B99)</f>
        <v>#VALUE!</v>
      </c>
      <c r="C164" s="1762" t="e">
        <f aca="false">IF(C99=0,0,C162/C99)</f>
        <v>#VALUE!</v>
      </c>
      <c r="D164" s="1762" t="e">
        <f aca="false">IF(D99=0,0,D162/D99)</f>
        <v>#VALUE!</v>
      </c>
      <c r="E164" s="1762" t="e">
        <f aca="false">IF(E99=0,0,E162/E99)</f>
        <v>#VALUE!</v>
      </c>
      <c r="F164" s="1763" t="e">
        <f aca="false">IF(F99=0,0,F162/F99)</f>
        <v>#VALUE!</v>
      </c>
      <c r="G164" s="1761" t="n">
        <f aca="false">IF(G99=0,0,G162/G99)</f>
        <v>0</v>
      </c>
      <c r="H164" s="1762" t="n">
        <f aca="false">IF(H99=0,0,H162/H99)</f>
        <v>0</v>
      </c>
      <c r="I164" s="1762" t="n">
        <f aca="false">IF(I99=0,0,I162/I99)</f>
        <v>0</v>
      </c>
      <c r="J164" s="1762" t="n">
        <f aca="false">IF(J99=0,0,J162/J99)</f>
        <v>0</v>
      </c>
      <c r="K164" s="1763" t="n">
        <f aca="false">IF(K99=0,0,K162/K99)</f>
        <v>0</v>
      </c>
      <c r="L164" s="1761" t="n">
        <f aca="false">IF(L99=0,0,L162/L99)</f>
        <v>0</v>
      </c>
      <c r="M164" s="1762" t="n">
        <f aca="false">IF(M99=0,0,M162/M99)</f>
        <v>0</v>
      </c>
      <c r="N164" s="1762" t="n">
        <f aca="false">IF(N99=0,0,N162/N99)</f>
        <v>0</v>
      </c>
      <c r="O164" s="1762" t="n">
        <f aca="false">IF(O99=0,0,O162/O99)</f>
        <v>0</v>
      </c>
      <c r="P164" s="1763" t="n">
        <f aca="false">IF(P99=0,0,P162/P99)</f>
        <v>0</v>
      </c>
    </row>
    <row r="165" customFormat="false" ht="15.75" hidden="false" customHeight="false" outlineLevel="0" collapsed="false">
      <c r="A165" s="1777"/>
      <c r="B165" s="1778"/>
      <c r="C165" s="1779"/>
      <c r="D165" s="1779"/>
      <c r="E165" s="1779"/>
      <c r="F165" s="1780"/>
      <c r="G165" s="1778"/>
      <c r="H165" s="1779"/>
      <c r="I165" s="1779"/>
      <c r="J165" s="1779"/>
      <c r="K165" s="1780"/>
      <c r="L165" s="1778"/>
      <c r="M165" s="1779"/>
      <c r="N165" s="1779"/>
      <c r="O165" s="1779"/>
      <c r="P165" s="1780"/>
    </row>
  </sheetData>
  <mergeCells count="6">
    <mergeCell ref="B5:F5"/>
    <mergeCell ref="G5:K5"/>
    <mergeCell ref="L5:P5"/>
    <mergeCell ref="B88:F88"/>
    <mergeCell ref="G88:K88"/>
    <mergeCell ref="L88:P88"/>
  </mergeCells>
  <printOptions headings="false" gridLines="false" gridLinesSet="true" horizontalCentered="true" verticalCentered="true"/>
  <pageMargins left="0.7875" right="0.7875" top="0.984027777777778" bottom="0.984027777777778" header="0.511805555555555" footer="0.511805555555555"/>
  <pageSetup paperSize="9" scale="35"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rowBreaks count="1" manualBreakCount="1">
    <brk id="83" man="true" max="16383" min="0"/>
  </rowBreaks>
  <drawing r:id="rId1"/>
</worksheet>
</file>

<file path=xl/worksheets/sheet56.xml><?xml version="1.0" encoding="utf-8"?>
<worksheet xmlns="http://schemas.openxmlformats.org/spreadsheetml/2006/main" xmlns:r="http://schemas.openxmlformats.org/officeDocument/2006/relationships">
  <sheetPr filterMode="false">
    <tabColor rgb="FFC0C0C0"/>
    <pageSetUpPr fitToPage="true"/>
  </sheetPr>
  <dimension ref="A1:M53"/>
  <sheetViews>
    <sheetView showFormulas="false" showGridLines="false" showRowColHeaders="true" showZeros="true" rightToLeft="false" tabSelected="false" showOutlineSymbols="true" defaultGridColor="true" view="normal" topLeftCell="A1" colorId="64" zoomScale="70" zoomScaleNormal="70" zoomScalePageLayoutView="100" workbookViewId="0">
      <pane xSplit="0" ySplit="5" topLeftCell="A33" activePane="bottomLeft" state="frozen"/>
      <selection pane="topLeft" activeCell="A1" activeCellId="0" sqref="A1"/>
      <selection pane="bottomLeft" activeCell="B50" activeCellId="0" sqref="B50"/>
    </sheetView>
  </sheetViews>
  <sheetFormatPr defaultRowHeight="15" zeroHeight="true" outlineLevelRow="0" outlineLevelCol="0"/>
  <cols>
    <col collapsed="false" customWidth="true" hidden="false" outlineLevel="0" max="1" min="1" style="172" width="32.42"/>
    <col collapsed="false" customWidth="true" hidden="false" outlineLevel="0" max="2" min="2" style="172" width="20.42"/>
    <col collapsed="false" customWidth="true" hidden="false" outlineLevel="0" max="3" min="3" style="1786" width="16.29"/>
    <col collapsed="false" customWidth="true" hidden="false" outlineLevel="0" max="4" min="4" style="172" width="10.58"/>
    <col collapsed="false" customWidth="true" hidden="false" outlineLevel="0" max="5" min="5" style="1786" width="16.86"/>
    <col collapsed="false" customWidth="true" hidden="false" outlineLevel="0" max="6" min="6" style="172" width="10.58"/>
    <col collapsed="false" customWidth="true" hidden="false" outlineLevel="0" max="7" min="7" style="1786" width="17.58"/>
    <col collapsed="false" customWidth="true" hidden="false" outlineLevel="0" max="8" min="8" style="172" width="10.58"/>
    <col collapsed="false" customWidth="true" hidden="false" outlineLevel="0" max="9" min="9" style="1786" width="18.58"/>
    <col collapsed="false" customWidth="true" hidden="false" outlineLevel="0" max="10" min="10" style="172" width="10.58"/>
    <col collapsed="false" customWidth="true" hidden="false" outlineLevel="0" max="11" min="11" style="1786" width="19.99"/>
    <col collapsed="false" customWidth="true" hidden="false" outlineLevel="0" max="12" min="12" style="89" width="2.14"/>
    <col collapsed="false" customWidth="true" hidden="true" outlineLevel="0" max="1025" min="13" style="172" width="9.14"/>
  </cols>
  <sheetData>
    <row r="1" customFormat="false" ht="28.5" hidden="false" customHeight="false" outlineLevel="0" collapsed="false">
      <c r="A1" s="5" t="s">
        <v>525</v>
      </c>
      <c r="B1" s="6"/>
      <c r="C1" s="6"/>
      <c r="D1" s="6"/>
      <c r="E1" s="6"/>
      <c r="F1" s="6"/>
      <c r="G1" s="6"/>
      <c r="H1" s="6"/>
      <c r="I1" s="6"/>
      <c r="J1" s="6"/>
      <c r="K1" s="8" t="s">
        <v>1014</v>
      </c>
    </row>
    <row r="2" customFormat="false" ht="15" hidden="false" customHeight="false" outlineLevel="0" collapsed="false">
      <c r="A2" s="1"/>
      <c r="B2" s="2"/>
      <c r="C2" s="15"/>
      <c r="D2" s="2"/>
      <c r="E2" s="1787"/>
      <c r="F2" s="2"/>
      <c r="G2" s="15"/>
      <c r="H2" s="2"/>
      <c r="I2" s="15"/>
      <c r="J2" s="2"/>
      <c r="K2" s="1071"/>
    </row>
    <row r="3" customFormat="false" ht="18" hidden="false" customHeight="false" outlineLevel="0" collapsed="false">
      <c r="A3" s="17" t="s">
        <v>34</v>
      </c>
      <c r="B3" s="1788" t="str">
        <f aca="false">'Reference sheet'!C12</f>
        <v>TEST</v>
      </c>
      <c r="C3" s="1789"/>
      <c r="E3" s="1075" t="s">
        <v>46</v>
      </c>
      <c r="F3" s="25" t="n">
        <f aca="false">'Reference sheet'!C15</f>
        <v>1</v>
      </c>
      <c r="G3" s="1075" t="s">
        <v>49</v>
      </c>
      <c r="H3" s="1790" t="str">
        <f aca="false">'Reference sheet'!C17</f>
        <v>July</v>
      </c>
      <c r="I3" s="1077" t="n">
        <f aca="false">'Reference sheet'!D17</f>
        <v>2018</v>
      </c>
      <c r="J3" s="29" t="s">
        <v>527</v>
      </c>
      <c r="K3" s="1791" t="str">
        <f aca="false">'Reference sheet'!C21</f>
        <v>EUR</v>
      </c>
    </row>
    <row r="4" customFormat="false" ht="15" hidden="false" customHeight="false" outlineLevel="0" collapsed="false">
      <c r="A4" s="1"/>
      <c r="B4" s="225"/>
      <c r="C4" s="15"/>
      <c r="D4" s="2"/>
      <c r="E4" s="15"/>
      <c r="F4" s="2"/>
      <c r="G4" s="1792"/>
      <c r="H4" s="2"/>
      <c r="I4" s="15"/>
      <c r="J4" s="2"/>
      <c r="K4" s="1793"/>
    </row>
    <row r="5" customFormat="false" ht="18" hidden="false" customHeight="false" outlineLevel="0" collapsed="false">
      <c r="A5" s="17"/>
      <c r="B5" s="1794"/>
      <c r="C5" s="1795" t="n">
        <f aca="false">+'7.1 Dealer area'!C5</f>
        <v>2019</v>
      </c>
      <c r="D5" s="1796"/>
      <c r="E5" s="1795" t="n">
        <f aca="false">+'7.1 Dealer area'!E5</f>
        <v>2020</v>
      </c>
      <c r="F5" s="1797"/>
      <c r="G5" s="1795" t="n">
        <f aca="false">+'7.1 Dealer area'!G5</f>
        <v>2021</v>
      </c>
      <c r="H5" s="1798"/>
      <c r="I5" s="1795" t="n">
        <f aca="false">+'7.1 Dealer area'!I5</f>
        <v>2022</v>
      </c>
      <c r="J5" s="1798"/>
      <c r="K5" s="1795" t="n">
        <f aca="false">+'7.1 Dealer area'!K5</f>
        <v>2023</v>
      </c>
    </row>
    <row r="6" s="2" customFormat="true" ht="18" hidden="false" customHeight="false" outlineLevel="0" collapsed="false">
      <c r="A6" s="1799"/>
      <c r="B6" s="1800"/>
      <c r="C6" s="1801"/>
      <c r="D6" s="1800"/>
      <c r="E6" s="1802"/>
      <c r="F6" s="1800"/>
      <c r="G6" s="1802"/>
      <c r="H6" s="1800"/>
      <c r="I6" s="1802"/>
      <c r="J6" s="1800"/>
      <c r="K6" s="1801"/>
      <c r="L6" s="91"/>
    </row>
    <row r="7" customFormat="false" ht="18" hidden="false" customHeight="false" outlineLevel="0" collapsed="false">
      <c r="A7" s="1803" t="s">
        <v>604</v>
      </c>
      <c r="B7" s="1804"/>
      <c r="C7" s="1805" t="e">
        <f aca="false">'7.6.1 Activity contribution'!H16</f>
        <v>#VALUE!</v>
      </c>
      <c r="D7" s="1804"/>
      <c r="E7" s="1806" t="e">
        <f aca="false">'7.6.1 Activity contribution'!H93</f>
        <v>#VALUE!</v>
      </c>
      <c r="F7" s="1804"/>
      <c r="G7" s="1806" t="e">
        <f aca="false">'7.6.1 Activity contribution'!H170</f>
        <v>#VALUE!</v>
      </c>
      <c r="H7" s="1804"/>
      <c r="I7" s="1806" t="e">
        <f aca="false">'7.6.1 Activity contribution'!H247</f>
        <v>#VALUE!</v>
      </c>
      <c r="J7" s="1804"/>
      <c r="K7" s="1805" t="e">
        <f aca="false">'7.6.1 Activity contribution'!H324</f>
        <v>#VALUE!</v>
      </c>
    </row>
    <row r="8" customFormat="false" ht="18" hidden="false" customHeight="false" outlineLevel="0" collapsed="false">
      <c r="A8" s="1807"/>
      <c r="B8" s="1808"/>
      <c r="C8" s="1809"/>
      <c r="D8" s="1808"/>
      <c r="E8" s="1810"/>
      <c r="F8" s="1808"/>
      <c r="G8" s="1810"/>
      <c r="H8" s="1808"/>
      <c r="I8" s="1810"/>
      <c r="J8" s="1808"/>
      <c r="K8" s="1809"/>
    </row>
    <row r="9" customFormat="false" ht="18" hidden="false" customHeight="false" outlineLevel="0" collapsed="false">
      <c r="A9" s="1811"/>
      <c r="B9" s="18"/>
      <c r="C9" s="1812"/>
      <c r="D9" s="18"/>
      <c r="E9" s="1813"/>
      <c r="F9" s="18"/>
      <c r="G9" s="1813"/>
      <c r="H9" s="18"/>
      <c r="I9" s="1813"/>
      <c r="J9" s="18"/>
      <c r="K9" s="1812"/>
    </row>
    <row r="10" customFormat="false" ht="18" hidden="false" customHeight="false" outlineLevel="0" collapsed="false">
      <c r="A10" s="17" t="s">
        <v>985</v>
      </c>
      <c r="B10" s="18"/>
      <c r="C10" s="1812" t="e">
        <f aca="false">'7.6.1 Activity contribution'!H29</f>
        <v>#VALUE!</v>
      </c>
      <c r="D10" s="18"/>
      <c r="E10" s="1813" t="e">
        <f aca="false">'7.6.1 Activity contribution'!H106</f>
        <v>#VALUE!</v>
      </c>
      <c r="F10" s="18"/>
      <c r="G10" s="1813" t="e">
        <f aca="false">'7.6.1 Activity contribution'!H183</f>
        <v>#VALUE!</v>
      </c>
      <c r="H10" s="18"/>
      <c r="I10" s="1813" t="e">
        <f aca="false">'7.6.1 Activity contribution'!H260</f>
        <v>#VALUE!</v>
      </c>
      <c r="J10" s="18"/>
      <c r="K10" s="1812" t="e">
        <f aca="false">'7.6.1 Activity contribution'!H337</f>
        <v>#VALUE!</v>
      </c>
    </row>
    <row r="11" customFormat="false" ht="18" hidden="false" customHeight="false" outlineLevel="0" collapsed="false">
      <c r="A11" s="17"/>
      <c r="B11" s="18"/>
      <c r="C11" s="1814"/>
      <c r="D11" s="18"/>
      <c r="E11" s="1815"/>
      <c r="F11" s="18"/>
      <c r="G11" s="1815"/>
      <c r="H11" s="18"/>
      <c r="I11" s="1815"/>
      <c r="J11" s="18"/>
      <c r="K11" s="1814"/>
    </row>
    <row r="12" customFormat="false" ht="18" hidden="false" customHeight="false" outlineLevel="0" collapsed="false">
      <c r="A12" s="1799"/>
      <c r="B12" s="1800"/>
      <c r="C12" s="1801"/>
      <c r="D12" s="1800"/>
      <c r="E12" s="1802"/>
      <c r="F12" s="1800"/>
      <c r="G12" s="1802"/>
      <c r="H12" s="1800"/>
      <c r="I12" s="1802"/>
      <c r="J12" s="1800"/>
      <c r="K12" s="1801"/>
    </row>
    <row r="13" s="1817" customFormat="true" ht="19.5" hidden="false" customHeight="false" outlineLevel="0" collapsed="false">
      <c r="A13" s="1803" t="s">
        <v>1015</v>
      </c>
      <c r="B13" s="1804"/>
      <c r="C13" s="1805" t="e">
        <f aca="false">C7-C10</f>
        <v>#VALUE!</v>
      </c>
      <c r="D13" s="1804"/>
      <c r="E13" s="1806" t="e">
        <f aca="false">E7-E10</f>
        <v>#VALUE!</v>
      </c>
      <c r="F13" s="1804"/>
      <c r="G13" s="1806" t="e">
        <f aca="false">G7-G10</f>
        <v>#VALUE!</v>
      </c>
      <c r="H13" s="1804"/>
      <c r="I13" s="1806" t="e">
        <f aca="false">I7-I10</f>
        <v>#VALUE!</v>
      </c>
      <c r="J13" s="1804"/>
      <c r="K13" s="1805" t="e">
        <f aca="false">K7-K10</f>
        <v>#VALUE!</v>
      </c>
      <c r="L13" s="1816"/>
    </row>
    <row r="14" customFormat="false" ht="18" hidden="false" customHeight="false" outlineLevel="0" collapsed="false">
      <c r="A14" s="1818"/>
      <c r="B14" s="1808"/>
      <c r="C14" s="1819"/>
      <c r="D14" s="1808"/>
      <c r="E14" s="1820"/>
      <c r="F14" s="1808"/>
      <c r="G14" s="1820"/>
      <c r="H14" s="1808"/>
      <c r="I14" s="1820"/>
      <c r="J14" s="1808"/>
      <c r="K14" s="1819"/>
    </row>
    <row r="15" customFormat="false" ht="18" hidden="false" customHeight="false" outlineLevel="0" collapsed="false">
      <c r="A15" s="17"/>
      <c r="B15" s="18"/>
      <c r="C15" s="1814"/>
      <c r="D15" s="18"/>
      <c r="E15" s="1815"/>
      <c r="F15" s="18"/>
      <c r="G15" s="1815"/>
      <c r="H15" s="18"/>
      <c r="I15" s="1815"/>
      <c r="J15" s="18"/>
      <c r="K15" s="1814"/>
    </row>
    <row r="16" customFormat="false" ht="18" hidden="false" customHeight="false" outlineLevel="0" collapsed="false">
      <c r="A16" s="17" t="s">
        <v>990</v>
      </c>
      <c r="B16" s="18"/>
      <c r="C16" s="1812" t="n">
        <f aca="false">'7.6.1 Activity contribution'!I35</f>
        <v>650</v>
      </c>
      <c r="D16" s="18"/>
      <c r="E16" s="1813" t="n">
        <f aca="false">'7.6.1 Activity contribution'!I112</f>
        <v>0</v>
      </c>
      <c r="F16" s="18"/>
      <c r="G16" s="1813" t="n">
        <f aca="false">'7.6.1 Activity contribution'!I189</f>
        <v>0</v>
      </c>
      <c r="H16" s="18"/>
      <c r="I16" s="1813" t="n">
        <f aca="false">'7.6.1 Activity contribution'!I266</f>
        <v>0</v>
      </c>
      <c r="J16" s="18"/>
      <c r="K16" s="1812" t="n">
        <f aca="false">'7.6.1 Activity contribution'!I343</f>
        <v>0</v>
      </c>
    </row>
    <row r="17" customFormat="false" ht="18" hidden="false" customHeight="false" outlineLevel="0" collapsed="false">
      <c r="A17" s="17" t="s">
        <v>1016</v>
      </c>
      <c r="B17" s="18"/>
      <c r="C17" s="1812" t="n">
        <f aca="false">'7.6.1 Activity contribution'!I37</f>
        <v>30192</v>
      </c>
      <c r="D17" s="18"/>
      <c r="E17" s="1813" t="n">
        <f aca="false">'7.6.1 Activity contribution'!I114</f>
        <v>32003.52</v>
      </c>
      <c r="F17" s="18"/>
      <c r="G17" s="1813" t="n">
        <f aca="false">'7.6.1 Activity contribution'!I191</f>
        <v>42404.664</v>
      </c>
      <c r="H17" s="18"/>
      <c r="I17" s="1813" t="n">
        <f aca="false">'7.6.1 Activity contribution'!I268</f>
        <v>53938.732608</v>
      </c>
      <c r="J17" s="18"/>
      <c r="K17" s="1812" t="n">
        <f aca="false">'7.6.1 Activity contribution'!I345</f>
        <v>57175.05656448</v>
      </c>
    </row>
    <row r="18" customFormat="false" ht="18" hidden="false" customHeight="false" outlineLevel="0" collapsed="false">
      <c r="A18" s="17" t="s">
        <v>1017</v>
      </c>
      <c r="B18" s="18"/>
      <c r="C18" s="1812" t="n">
        <f aca="false">'7.6.1 Activity contribution'!I58</f>
        <v>385532</v>
      </c>
      <c r="D18" s="18"/>
      <c r="E18" s="1813" t="n">
        <f aca="false">'7.6.1 Activity contribution'!I135</f>
        <v>363742</v>
      </c>
      <c r="F18" s="18"/>
      <c r="G18" s="1813" t="n">
        <f aca="false">'7.6.1 Activity contribution'!I212</f>
        <v>341160</v>
      </c>
      <c r="H18" s="18"/>
      <c r="I18" s="1813" t="n">
        <f aca="false">'7.6.1 Activity contribution'!I289</f>
        <v>346968</v>
      </c>
      <c r="J18" s="18"/>
      <c r="K18" s="1812" t="n">
        <f aca="false">'7.6.1 Activity contribution'!I366</f>
        <v>353418</v>
      </c>
    </row>
    <row r="19" customFormat="false" ht="18" hidden="false" customHeight="false" outlineLevel="0" collapsed="false">
      <c r="A19" s="17" t="s">
        <v>1018</v>
      </c>
      <c r="B19" s="18"/>
      <c r="C19" s="1812" t="n">
        <f aca="false">'7.6.1 Activity contribution'!I60</f>
        <v>128048.333333333</v>
      </c>
      <c r="D19" s="18"/>
      <c r="E19" s="1813" t="n">
        <f aca="false">'7.6.1 Activity contribution'!I137</f>
        <v>119808.6</v>
      </c>
      <c r="F19" s="18"/>
      <c r="G19" s="1813" t="n">
        <f aca="false">'7.6.1 Activity contribution'!I214</f>
        <v>117009.6</v>
      </c>
      <c r="H19" s="18"/>
      <c r="I19" s="1813" t="n">
        <f aca="false">'7.6.1 Activity contribution'!I291</f>
        <v>58425.8</v>
      </c>
      <c r="J19" s="18"/>
      <c r="K19" s="1812" t="n">
        <f aca="false">'7.6.1 Activity contribution'!I368</f>
        <v>59971</v>
      </c>
    </row>
    <row r="20" customFormat="false" ht="18" hidden="false" customHeight="false" outlineLevel="0" collapsed="false">
      <c r="A20" s="43" t="str">
        <f aca="false">IF(SUM('7.4.2 Selling &amp; Oper. expenses'!K63:K85)&lt;1900%,"Warning! Not all expenses have been allocated yet."," ")</f>
        <v> </v>
      </c>
      <c r="B20" s="18"/>
      <c r="C20" s="1814"/>
      <c r="D20" s="18"/>
      <c r="E20" s="1815"/>
      <c r="F20" s="18"/>
      <c r="G20" s="1815"/>
      <c r="H20" s="18"/>
      <c r="I20" s="1815"/>
      <c r="J20" s="18"/>
      <c r="K20" s="1814"/>
    </row>
    <row r="21" customFormat="false" ht="18" hidden="false" customHeight="false" outlineLevel="0" collapsed="false">
      <c r="A21" s="1799"/>
      <c r="B21" s="1800"/>
      <c r="C21" s="1801"/>
      <c r="D21" s="1800"/>
      <c r="E21" s="1802"/>
      <c r="F21" s="1800"/>
      <c r="G21" s="1802"/>
      <c r="H21" s="1800"/>
      <c r="I21" s="1802"/>
      <c r="J21" s="1800"/>
      <c r="K21" s="1801"/>
    </row>
    <row r="22" s="1817" customFormat="true" ht="19.5" hidden="false" customHeight="false" outlineLevel="0" collapsed="false">
      <c r="A22" s="1803" t="s">
        <v>1019</v>
      </c>
      <c r="B22" s="1804"/>
      <c r="C22" s="1805" t="e">
        <f aca="false">C13-(C16+C17+C18+C19)</f>
        <v>#VALUE!</v>
      </c>
      <c r="D22" s="1821"/>
      <c r="E22" s="1806" t="e">
        <f aca="false">E13-(E16+E17+E18+E19)</f>
        <v>#VALUE!</v>
      </c>
      <c r="F22" s="1806"/>
      <c r="G22" s="1806" t="e">
        <f aca="false">G13-(G16+G17+G18+G19)</f>
        <v>#VALUE!</v>
      </c>
      <c r="H22" s="1806"/>
      <c r="I22" s="1806" t="e">
        <f aca="false">I13-(I16+I17+I18+I19)</f>
        <v>#VALUE!</v>
      </c>
      <c r="J22" s="1806"/>
      <c r="K22" s="1805" t="e">
        <f aca="false">K13-(K16+K17+K18+K19)</f>
        <v>#VALUE!</v>
      </c>
      <c r="L22" s="1816"/>
    </row>
    <row r="23" s="1817" customFormat="true" ht="19.5" hidden="false" customHeight="false" outlineLevel="0" collapsed="false">
      <c r="A23" s="1803"/>
      <c r="B23" s="1804"/>
      <c r="C23" s="1805"/>
      <c r="D23" s="1804"/>
      <c r="E23" s="1806"/>
      <c r="F23" s="1804"/>
      <c r="G23" s="1806"/>
      <c r="H23" s="1804"/>
      <c r="I23" s="1806"/>
      <c r="J23" s="1804"/>
      <c r="K23" s="1805"/>
      <c r="L23" s="1816"/>
    </row>
    <row r="24" s="1830" customFormat="true" ht="19.5" hidden="false" customHeight="false" outlineLevel="0" collapsed="false">
      <c r="A24" s="228"/>
      <c r="B24" s="1822"/>
      <c r="C24" s="1823"/>
      <c r="D24" s="1824"/>
      <c r="E24" s="1825"/>
      <c r="F24" s="1824"/>
      <c r="G24" s="1826"/>
      <c r="H24" s="1827"/>
      <c r="I24" s="1826"/>
      <c r="J24" s="1827"/>
      <c r="K24" s="1828"/>
      <c r="L24" s="1829"/>
    </row>
    <row r="25" s="1817" customFormat="true" ht="19.5" hidden="false" customHeight="false" outlineLevel="0" collapsed="false">
      <c r="A25" s="17" t="s">
        <v>1020</v>
      </c>
      <c r="B25" s="18"/>
      <c r="C25" s="1831" t="e">
        <f aca="false">-'7.5.2 Fin. Income &amp; Expenses '!E76+'7.5.2 Fin. Income &amp; Expenses '!E86</f>
        <v>#VALUE!</v>
      </c>
      <c r="D25" s="1832"/>
      <c r="E25" s="1833" t="e">
        <f aca="false">-'7.5.2 Fin. Income &amp; Expenses '!G76+'7.5.2 Fin. Income &amp; Expenses '!G86</f>
        <v>#VALUE!</v>
      </c>
      <c r="F25" s="1834"/>
      <c r="G25" s="1835" t="e">
        <f aca="false">-'7.5.2 Fin. Income &amp; Expenses '!I76+'7.5.2 Fin. Income &amp; Expenses '!I86</f>
        <v>#VALUE!</v>
      </c>
      <c r="H25" s="1836"/>
      <c r="I25" s="1835" t="e">
        <f aca="false">-'7.5.2 Fin. Income &amp; Expenses '!K76+'7.5.2 Fin. Income &amp; Expenses '!K86</f>
        <v>#VALUE!</v>
      </c>
      <c r="J25" s="1836"/>
      <c r="K25" s="1831" t="e">
        <f aca="false">-'7.5.2 Fin. Income &amp; Expenses '!M76+'7.5.2 Fin. Income &amp; Expenses '!M86</f>
        <v>#VALUE!</v>
      </c>
      <c r="L25" s="1816"/>
    </row>
    <row r="26" s="1817" customFormat="true" ht="19.5" hidden="false" customHeight="false" outlineLevel="0" collapsed="false">
      <c r="A26" s="17"/>
      <c r="B26" s="18"/>
      <c r="C26" s="1831"/>
      <c r="D26" s="1834"/>
      <c r="E26" s="1835"/>
      <c r="F26" s="1834"/>
      <c r="G26" s="1833"/>
      <c r="H26" s="1836"/>
      <c r="I26" s="1833"/>
      <c r="J26" s="1836"/>
      <c r="K26" s="1837"/>
      <c r="L26" s="1816"/>
    </row>
    <row r="27" s="1830" customFormat="true" ht="19.5" hidden="false" customHeight="false" outlineLevel="0" collapsed="false">
      <c r="A27" s="1838"/>
      <c r="B27" s="1800"/>
      <c r="C27" s="1839"/>
      <c r="D27" s="351"/>
      <c r="E27" s="1840"/>
      <c r="F27" s="351"/>
      <c r="G27" s="1840"/>
      <c r="H27" s="351"/>
      <c r="I27" s="1840"/>
      <c r="J27" s="351"/>
      <c r="K27" s="1839"/>
      <c r="L27" s="1829"/>
    </row>
    <row r="28" s="1841" customFormat="true" ht="19.5" hidden="false" customHeight="false" outlineLevel="0" collapsed="false">
      <c r="A28" s="1803" t="s">
        <v>1021</v>
      </c>
      <c r="B28" s="1804"/>
      <c r="C28" s="1805" t="e">
        <f aca="false">C22+C25</f>
        <v>#VALUE!</v>
      </c>
      <c r="D28" s="1821"/>
      <c r="E28" s="1806" t="e">
        <f aca="false">E22+E25</f>
        <v>#VALUE!</v>
      </c>
      <c r="F28" s="1806"/>
      <c r="G28" s="1806" t="e">
        <f aca="false">G22+G25</f>
        <v>#VALUE!</v>
      </c>
      <c r="H28" s="1806"/>
      <c r="I28" s="1806" t="e">
        <f aca="false">I22+I25</f>
        <v>#VALUE!</v>
      </c>
      <c r="J28" s="1806"/>
      <c r="K28" s="1805" t="e">
        <f aca="false">K22+K25</f>
        <v>#VALUE!</v>
      </c>
      <c r="L28" s="1816"/>
    </row>
    <row r="29" customFormat="false" ht="18" hidden="false" customHeight="false" outlineLevel="0" collapsed="false">
      <c r="A29" s="1818"/>
      <c r="B29" s="1808"/>
      <c r="C29" s="1819"/>
      <c r="D29" s="1808"/>
      <c r="E29" s="1820"/>
      <c r="F29" s="1808"/>
      <c r="G29" s="1820"/>
      <c r="H29" s="1808"/>
      <c r="I29" s="1820"/>
      <c r="J29" s="1808"/>
      <c r="K29" s="1819"/>
    </row>
    <row r="30" customFormat="false" ht="18" hidden="false" customHeight="false" outlineLevel="0" collapsed="false">
      <c r="A30" s="17"/>
      <c r="B30" s="18"/>
      <c r="C30" s="1814"/>
      <c r="D30" s="18"/>
      <c r="E30" s="1815"/>
      <c r="F30" s="18"/>
      <c r="G30" s="1815"/>
      <c r="H30" s="18"/>
      <c r="I30" s="1815"/>
      <c r="J30" s="18"/>
      <c r="K30" s="1814"/>
    </row>
    <row r="31" customFormat="false" ht="18" hidden="false" customHeight="false" outlineLevel="0" collapsed="false">
      <c r="A31" s="17" t="s">
        <v>1022</v>
      </c>
      <c r="B31" s="1842"/>
      <c r="C31" s="1843" t="n">
        <v>0</v>
      </c>
      <c r="D31" s="1844"/>
      <c r="E31" s="1845" t="n">
        <v>0</v>
      </c>
      <c r="F31" s="1844"/>
      <c r="G31" s="1845" t="n">
        <v>0</v>
      </c>
      <c r="H31" s="1844"/>
      <c r="I31" s="1845" t="n">
        <v>0</v>
      </c>
      <c r="J31" s="1844"/>
      <c r="K31" s="1843" t="n">
        <v>0</v>
      </c>
    </row>
    <row r="32" customFormat="false" ht="18" hidden="false" customHeight="false" outlineLevel="0" collapsed="false">
      <c r="A32" s="17" t="s">
        <v>1023</v>
      </c>
      <c r="B32" s="18"/>
      <c r="C32" s="1846" t="n">
        <v>0</v>
      </c>
      <c r="D32" s="18"/>
      <c r="E32" s="1847" t="n">
        <v>0</v>
      </c>
      <c r="F32" s="29"/>
      <c r="G32" s="1847" t="n">
        <v>0</v>
      </c>
      <c r="H32" s="18"/>
      <c r="I32" s="1847" t="n">
        <v>0</v>
      </c>
      <c r="J32" s="18"/>
      <c r="K32" s="1846" t="n">
        <v>0</v>
      </c>
    </row>
    <row r="33" customFormat="false" ht="18" hidden="false" customHeight="false" outlineLevel="0" collapsed="false">
      <c r="A33" s="17" t="s">
        <v>1024</v>
      </c>
      <c r="B33" s="18"/>
      <c r="C33" s="1846" t="n">
        <v>0</v>
      </c>
      <c r="D33" s="18"/>
      <c r="E33" s="1847" t="n">
        <v>0</v>
      </c>
      <c r="F33" s="29"/>
      <c r="G33" s="1847" t="n">
        <v>0</v>
      </c>
      <c r="H33" s="29"/>
      <c r="I33" s="1847" t="n">
        <v>0</v>
      </c>
      <c r="J33" s="29"/>
      <c r="K33" s="1846" t="n">
        <v>0</v>
      </c>
    </row>
    <row r="34" customFormat="false" ht="18" hidden="false" customHeight="false" outlineLevel="0" collapsed="false">
      <c r="A34" s="17"/>
      <c r="B34" s="18"/>
      <c r="C34" s="1814"/>
      <c r="D34" s="18"/>
      <c r="E34" s="1815"/>
      <c r="F34" s="18"/>
      <c r="G34" s="1815"/>
      <c r="H34" s="18"/>
      <c r="I34" s="1815"/>
      <c r="J34" s="18"/>
      <c r="K34" s="1848"/>
    </row>
    <row r="35" customFormat="false" ht="18" hidden="false" customHeight="false" outlineLevel="0" collapsed="false">
      <c r="A35" s="1799"/>
      <c r="B35" s="1800"/>
      <c r="C35" s="1801"/>
      <c r="D35" s="1800"/>
      <c r="E35" s="1802"/>
      <c r="F35" s="1800"/>
      <c r="G35" s="1802"/>
      <c r="H35" s="1800"/>
      <c r="I35" s="1802"/>
      <c r="J35" s="1800"/>
      <c r="K35" s="1801"/>
    </row>
    <row r="36" s="1817" customFormat="true" ht="19.5" hidden="false" customHeight="false" outlineLevel="0" collapsed="false">
      <c r="A36" s="1803" t="s">
        <v>1025</v>
      </c>
      <c r="B36" s="1804"/>
      <c r="C36" s="1805" t="e">
        <f aca="false">C28+C31-C32-C33</f>
        <v>#VALUE!</v>
      </c>
      <c r="D36" s="1804"/>
      <c r="E36" s="1806" t="e">
        <f aca="false">E28+E31-E32-E33</f>
        <v>#VALUE!</v>
      </c>
      <c r="F36" s="1804"/>
      <c r="G36" s="1806" t="e">
        <f aca="false">G28+G31-G32-G33</f>
        <v>#VALUE!</v>
      </c>
      <c r="H36" s="1804"/>
      <c r="I36" s="1806" t="e">
        <f aca="false">I28+I31-I32-I33</f>
        <v>#VALUE!</v>
      </c>
      <c r="J36" s="1804"/>
      <c r="K36" s="1805" t="e">
        <f aca="false">K28+K31-K32-K33</f>
        <v>#VALUE!</v>
      </c>
      <c r="L36" s="1816"/>
    </row>
    <row r="37" customFormat="false" ht="18" hidden="false" customHeight="false" outlineLevel="0" collapsed="false">
      <c r="A37" s="1818"/>
      <c r="B37" s="1808"/>
      <c r="C37" s="1819"/>
      <c r="D37" s="1808"/>
      <c r="E37" s="1820"/>
      <c r="F37" s="1808"/>
      <c r="G37" s="1820"/>
      <c r="H37" s="1808"/>
      <c r="I37" s="1820"/>
      <c r="J37" s="1808"/>
      <c r="K37" s="1819"/>
    </row>
    <row r="38" customFormat="false" ht="18" hidden="false" customHeight="false" outlineLevel="0" collapsed="false">
      <c r="A38" s="17"/>
      <c r="B38" s="18"/>
      <c r="C38" s="1814"/>
      <c r="D38" s="18"/>
      <c r="E38" s="1815"/>
      <c r="F38" s="18"/>
      <c r="G38" s="1815"/>
      <c r="H38" s="18"/>
      <c r="I38" s="1815"/>
      <c r="J38" s="18"/>
      <c r="K38" s="1814"/>
    </row>
    <row r="39" customFormat="false" ht="18" hidden="false" customHeight="false" outlineLevel="0" collapsed="false">
      <c r="A39" s="17" t="s">
        <v>1026</v>
      </c>
      <c r="B39" s="1849" t="n">
        <v>0.25</v>
      </c>
      <c r="C39" s="1812" t="e">
        <f aca="false">IF(C36&lt;=0,0,C36*$B$39)</f>
        <v>#VALUE!</v>
      </c>
      <c r="D39" s="1849" t="n">
        <f aca="false">B39</f>
        <v>0.25</v>
      </c>
      <c r="E39" s="1813" t="e">
        <f aca="false">IF(E36&lt;=0,0,E36*D39)</f>
        <v>#VALUE!</v>
      </c>
      <c r="F39" s="1849" t="n">
        <f aca="false">D39</f>
        <v>0.25</v>
      </c>
      <c r="G39" s="1813" t="e">
        <f aca="false">IF(G36&lt;=0,0,G36*F39)</f>
        <v>#VALUE!</v>
      </c>
      <c r="H39" s="1849" t="n">
        <f aca="false">F39</f>
        <v>0.25</v>
      </c>
      <c r="I39" s="1813" t="e">
        <f aca="false">IF(I36&lt;=0,0,I36*H39)</f>
        <v>#VALUE!</v>
      </c>
      <c r="J39" s="1849" t="n">
        <f aca="false">H39</f>
        <v>0.25</v>
      </c>
      <c r="K39" s="1812" t="e">
        <f aca="false">IF(K36&lt;=0,0,K36*J39)</f>
        <v>#VALUE!</v>
      </c>
    </row>
    <row r="40" customFormat="false" ht="18" hidden="false" customHeight="false" outlineLevel="0" collapsed="false">
      <c r="A40" s="17"/>
      <c r="B40" s="18"/>
      <c r="C40" s="1814"/>
      <c r="D40" s="18"/>
      <c r="E40" s="1815"/>
      <c r="F40" s="18"/>
      <c r="G40" s="1815"/>
      <c r="H40" s="18"/>
      <c r="I40" s="1815"/>
      <c r="J40" s="18"/>
      <c r="K40" s="1814"/>
    </row>
    <row r="41" customFormat="false" ht="18" hidden="false" customHeight="false" outlineLevel="0" collapsed="false">
      <c r="A41" s="1799"/>
      <c r="B41" s="1800"/>
      <c r="C41" s="1801"/>
      <c r="D41" s="1800"/>
      <c r="E41" s="1802"/>
      <c r="F41" s="1800"/>
      <c r="G41" s="1802"/>
      <c r="H41" s="1800"/>
      <c r="I41" s="1802"/>
      <c r="J41" s="1800"/>
      <c r="K41" s="1801"/>
    </row>
    <row r="42" s="1817" customFormat="true" ht="19.5" hidden="false" customHeight="false" outlineLevel="0" collapsed="false">
      <c r="A42" s="1803" t="s">
        <v>1027</v>
      </c>
      <c r="B42" s="1804"/>
      <c r="C42" s="1850" t="e">
        <f aca="false">C36-C39</f>
        <v>#VALUE!</v>
      </c>
      <c r="D42" s="1851"/>
      <c r="E42" s="1852" t="e">
        <f aca="false">E36-E39</f>
        <v>#VALUE!</v>
      </c>
      <c r="F42" s="1851"/>
      <c r="G42" s="1852" t="e">
        <f aca="false">G36-G39</f>
        <v>#VALUE!</v>
      </c>
      <c r="H42" s="1851"/>
      <c r="I42" s="1852" t="e">
        <f aca="false">I36-I39</f>
        <v>#VALUE!</v>
      </c>
      <c r="J42" s="1851"/>
      <c r="K42" s="1850" t="e">
        <f aca="false">K36-K39</f>
        <v>#VALUE!</v>
      </c>
      <c r="L42" s="1816"/>
    </row>
    <row r="43" customFormat="false" ht="18" hidden="false" customHeight="false" outlineLevel="0" collapsed="false">
      <c r="A43" s="1818"/>
      <c r="B43" s="1808"/>
      <c r="C43" s="1819"/>
      <c r="D43" s="1808"/>
      <c r="E43" s="1820"/>
      <c r="F43" s="1808"/>
      <c r="G43" s="1820"/>
      <c r="H43" s="1808"/>
      <c r="I43" s="1820"/>
      <c r="J43" s="1808"/>
      <c r="K43" s="1819"/>
    </row>
    <row r="44" customFormat="false" ht="18" hidden="false" customHeight="false" outlineLevel="0" collapsed="false">
      <c r="A44" s="1853"/>
      <c r="B44" s="1853"/>
      <c r="C44" s="1854"/>
      <c r="D44" s="1853"/>
      <c r="E44" s="1854"/>
      <c r="F44" s="1853"/>
      <c r="G44" s="1854"/>
      <c r="H44" s="1853"/>
      <c r="I44" s="1854"/>
      <c r="J44" s="1853"/>
      <c r="K44" s="1854"/>
    </row>
    <row r="45" customFormat="false" ht="18" hidden="false" customHeight="false" outlineLevel="0" collapsed="false">
      <c r="A45" s="1853"/>
      <c r="B45" s="1853"/>
      <c r="C45" s="1854"/>
      <c r="D45" s="1853"/>
      <c r="E45" s="1854"/>
      <c r="F45" s="1853"/>
      <c r="G45" s="1854"/>
      <c r="H45" s="1853"/>
      <c r="I45" s="1854"/>
      <c r="J45" s="1853"/>
      <c r="K45" s="1854"/>
      <c r="M45" s="181"/>
    </row>
    <row r="46" customFormat="false" ht="18" hidden="false" customHeight="false" outlineLevel="0" collapsed="false">
      <c r="A46" s="1855" t="s">
        <v>1028</v>
      </c>
      <c r="B46" s="1856"/>
      <c r="C46" s="1857"/>
      <c r="D46" s="1858"/>
      <c r="E46" s="1857"/>
      <c r="F46" s="1858"/>
      <c r="G46" s="1859"/>
      <c r="H46" s="1858"/>
      <c r="I46" s="1857"/>
      <c r="J46" s="1858"/>
      <c r="K46" s="1860"/>
      <c r="M46" s="181"/>
    </row>
    <row r="47" customFormat="false" ht="18" hidden="false" customHeight="false" outlineLevel="0" collapsed="false">
      <c r="A47" s="1861"/>
      <c r="B47" s="1822"/>
      <c r="C47" s="1862"/>
      <c r="D47" s="1822"/>
      <c r="E47" s="1863"/>
      <c r="F47" s="1822"/>
      <c r="G47" s="1863"/>
      <c r="H47" s="1822"/>
      <c r="I47" s="1863"/>
      <c r="J47" s="1822"/>
      <c r="K47" s="1862"/>
    </row>
    <row r="48" customFormat="false" ht="18" hidden="false" customHeight="false" outlineLevel="0" collapsed="false">
      <c r="A48" s="17" t="s">
        <v>1029</v>
      </c>
      <c r="B48" s="18"/>
      <c r="C48" s="1843" t="n">
        <v>0</v>
      </c>
      <c r="D48" s="1864"/>
      <c r="E48" s="1845" t="n">
        <v>0</v>
      </c>
      <c r="F48" s="1864"/>
      <c r="G48" s="1845" t="n">
        <v>0</v>
      </c>
      <c r="H48" s="1864"/>
      <c r="I48" s="1845" t="n">
        <v>0</v>
      </c>
      <c r="J48" s="1864"/>
      <c r="K48" s="1843" t="n">
        <v>0</v>
      </c>
    </row>
    <row r="49" customFormat="false" ht="18" hidden="false" customHeight="false" outlineLevel="0" collapsed="false">
      <c r="A49" s="43" t="s">
        <v>1030</v>
      </c>
      <c r="B49" s="18"/>
      <c r="C49" s="1865" t="n">
        <v>0</v>
      </c>
      <c r="D49" s="1864"/>
      <c r="E49" s="1866" t="n">
        <v>0</v>
      </c>
      <c r="F49" s="1864"/>
      <c r="G49" s="1866" t="n">
        <v>0</v>
      </c>
      <c r="H49" s="1864"/>
      <c r="I49" s="1866" t="n">
        <v>0</v>
      </c>
      <c r="J49" s="1864"/>
      <c r="K49" s="1865" t="n">
        <v>0</v>
      </c>
    </row>
    <row r="50" customFormat="false" ht="18" hidden="false" customHeight="false" outlineLevel="0" collapsed="false">
      <c r="A50" s="17" t="s">
        <v>1031</v>
      </c>
      <c r="B50" s="18"/>
      <c r="C50" s="1867" t="e">
        <f aca="false">C42-C48-C49</f>
        <v>#VALUE!</v>
      </c>
      <c r="D50" s="1864"/>
      <c r="E50" s="1868" t="e">
        <f aca="false">E42-E48-E49</f>
        <v>#VALUE!</v>
      </c>
      <c r="F50" s="1864"/>
      <c r="G50" s="1868" t="e">
        <f aca="false">G42-G48-G49</f>
        <v>#VALUE!</v>
      </c>
      <c r="H50" s="1864"/>
      <c r="I50" s="1868" t="e">
        <f aca="false">I42-I48-I49</f>
        <v>#VALUE!</v>
      </c>
      <c r="J50" s="1864"/>
      <c r="K50" s="1867" t="e">
        <f aca="false">K42-K48-K49</f>
        <v>#VALUE!</v>
      </c>
    </row>
    <row r="51" customFormat="false" ht="18" hidden="false" customHeight="false" outlineLevel="0" collapsed="false">
      <c r="A51" s="17"/>
      <c r="B51" s="18"/>
      <c r="C51" s="1867"/>
      <c r="D51" s="1864"/>
      <c r="E51" s="1868"/>
      <c r="F51" s="1864"/>
      <c r="G51" s="1868"/>
      <c r="H51" s="1864"/>
      <c r="I51" s="1868"/>
      <c r="J51" s="1864"/>
      <c r="K51" s="1867"/>
    </row>
    <row r="52" customFormat="false" ht="18" hidden="false" customHeight="false" outlineLevel="0" collapsed="false">
      <c r="A52" s="43" t="s">
        <v>1032</v>
      </c>
      <c r="B52" s="18"/>
      <c r="C52" s="1867"/>
      <c r="D52" s="1844"/>
      <c r="E52" s="1868"/>
      <c r="F52" s="1844"/>
      <c r="G52" s="1868"/>
      <c r="H52" s="1844"/>
      <c r="I52" s="1868"/>
      <c r="J52" s="1844"/>
      <c r="K52" s="1867"/>
    </row>
    <row r="53" customFormat="false" ht="18" hidden="false" customHeight="false" outlineLevel="0" collapsed="false">
      <c r="A53" s="1869"/>
      <c r="B53" s="1870"/>
      <c r="C53" s="1871"/>
      <c r="D53" s="1872"/>
      <c r="E53" s="1873"/>
      <c r="F53" s="1872"/>
      <c r="G53" s="1873"/>
      <c r="H53" s="1872"/>
      <c r="I53" s="1873"/>
      <c r="J53" s="1872"/>
      <c r="K53" s="1871"/>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7.xml><?xml version="1.0" encoding="utf-8"?>
<worksheet xmlns="http://schemas.openxmlformats.org/spreadsheetml/2006/main" xmlns:r="http://schemas.openxmlformats.org/officeDocument/2006/relationships">
  <sheetPr filterMode="false">
    <tabColor rgb="FFC0C0C0"/>
    <pageSetUpPr fitToPage="true"/>
  </sheetPr>
  <dimension ref="A1:M64"/>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6" topLeftCell="A11" activePane="bottomLeft" state="frozen"/>
      <selection pane="topLeft" activeCell="A1" activeCellId="0" sqref="A1"/>
      <selection pane="bottomLeft" activeCell="J28" activeCellId="0" sqref="J28"/>
    </sheetView>
  </sheetViews>
  <sheetFormatPr defaultRowHeight="15" zeroHeight="true" outlineLevelRow="0" outlineLevelCol="0"/>
  <cols>
    <col collapsed="false" customWidth="true" hidden="false" outlineLevel="0" max="1" min="1" style="4" width="42.57"/>
    <col collapsed="false" customWidth="true" hidden="false" outlineLevel="0" max="2" min="2" style="4" width="17.42"/>
    <col collapsed="false" customWidth="true" hidden="false" outlineLevel="0" max="3" min="3" style="4" width="16.86"/>
    <col collapsed="false" customWidth="true" hidden="false" outlineLevel="0" max="4" min="4" style="4" width="9.14"/>
    <col collapsed="false" customWidth="true" hidden="false" outlineLevel="0" max="5" min="5" style="4" width="16.86"/>
    <col collapsed="false" customWidth="true" hidden="false" outlineLevel="0" max="6" min="6" style="4" width="9.14"/>
    <col collapsed="false" customWidth="true" hidden="false" outlineLevel="0" max="7" min="7" style="4" width="17"/>
    <col collapsed="false" customWidth="true" hidden="false" outlineLevel="0" max="8" min="8" style="4" width="9.14"/>
    <col collapsed="false" customWidth="true" hidden="false" outlineLevel="0" max="9" min="9" style="4" width="17"/>
    <col collapsed="false" customWidth="true" hidden="false" outlineLevel="0" max="10" min="10" style="4" width="9.14"/>
    <col collapsed="false" customWidth="true" hidden="false" outlineLevel="0" max="11" min="11" style="4" width="17.42"/>
    <col collapsed="false" customWidth="true" hidden="false" outlineLevel="0" max="12" min="12" style="22" width="1.58"/>
    <col collapsed="false" customWidth="true" hidden="true" outlineLevel="0" max="1025" min="13" style="4" width="9.14"/>
  </cols>
  <sheetData>
    <row r="1" customFormat="false" ht="28.5" hidden="false" customHeight="false" outlineLevel="0" collapsed="false">
      <c r="A1" s="113" t="s">
        <v>525</v>
      </c>
      <c r="B1" s="114"/>
      <c r="C1" s="114"/>
      <c r="D1" s="114"/>
      <c r="E1" s="114"/>
      <c r="F1" s="114"/>
      <c r="G1" s="114"/>
      <c r="H1" s="114"/>
      <c r="I1" s="114"/>
      <c r="J1" s="114"/>
      <c r="K1" s="115" t="s">
        <v>1033</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363" t="str">
        <f aca="false">'Reference sheet'!C12</f>
        <v>TEST</v>
      </c>
      <c r="C3" s="364"/>
      <c r="E3" s="367" t="s">
        <v>46</v>
      </c>
      <c r="F3" s="852" t="n">
        <f aca="false">'Reference sheet'!C15</f>
        <v>1</v>
      </c>
      <c r="G3" s="853" t="s">
        <v>49</v>
      </c>
      <c r="H3" s="854" t="str">
        <f aca="false">'Reference sheet'!C17</f>
        <v>July</v>
      </c>
      <c r="I3" s="854" t="n">
        <f aca="false">'Reference sheet'!D17</f>
        <v>2018</v>
      </c>
      <c r="J3" s="365" t="s">
        <v>527</v>
      </c>
      <c r="K3" s="855" t="str">
        <f aca="false">'Reference sheet'!C21</f>
        <v>EUR</v>
      </c>
    </row>
    <row r="4" customFormat="false" ht="15" hidden="false" customHeight="false" outlineLevel="0" collapsed="false">
      <c r="A4" s="52"/>
      <c r="B4" s="1308" t="s">
        <v>901</v>
      </c>
      <c r="C4" s="117"/>
      <c r="D4" s="86"/>
      <c r="E4" s="118"/>
      <c r="F4" s="121"/>
      <c r="G4" s="1874"/>
      <c r="H4" s="119"/>
      <c r="I4" s="86"/>
      <c r="J4" s="86"/>
      <c r="K4" s="1174"/>
    </row>
    <row r="5" customFormat="false" ht="15" hidden="false" customHeight="false" outlineLevel="0" collapsed="false">
      <c r="A5" s="52"/>
      <c r="B5" s="1308" t="s">
        <v>825</v>
      </c>
      <c r="C5" s="1309"/>
      <c r="D5" s="48"/>
      <c r="E5" s="48"/>
      <c r="F5" s="48"/>
      <c r="G5" s="130"/>
      <c r="H5" s="48"/>
      <c r="I5" s="48"/>
      <c r="J5" s="48"/>
      <c r="K5" s="939"/>
    </row>
    <row r="6" customFormat="false" ht="15" hidden="false" customHeight="false" outlineLevel="0" collapsed="false">
      <c r="A6" s="82"/>
      <c r="B6" s="1557" t="s">
        <v>826</v>
      </c>
      <c r="C6" s="860" t="n">
        <f aca="false">+'7.1 Dealer area'!C5</f>
        <v>2019</v>
      </c>
      <c r="D6" s="941"/>
      <c r="E6" s="860" t="n">
        <f aca="false">+'7.1 Dealer area'!E5</f>
        <v>2020</v>
      </c>
      <c r="F6" s="942"/>
      <c r="G6" s="860" t="n">
        <f aca="false">+'7.1 Dealer area'!G5</f>
        <v>2021</v>
      </c>
      <c r="H6" s="943"/>
      <c r="I6" s="860" t="n">
        <f aca="false">+'7.1 Dealer area'!I5</f>
        <v>2022</v>
      </c>
      <c r="J6" s="943"/>
      <c r="K6" s="860" t="n">
        <f aca="false">+'7.1 Dealer area'!K5</f>
        <v>2023</v>
      </c>
    </row>
    <row r="7" customFormat="false" ht="18.75" hidden="false" customHeight="false" outlineLevel="0" collapsed="false">
      <c r="A7" s="839" t="s">
        <v>1034</v>
      </c>
      <c r="B7" s="1559"/>
      <c r="C7" s="132"/>
      <c r="D7" s="132"/>
      <c r="E7" s="132"/>
      <c r="F7" s="132"/>
      <c r="G7" s="1560"/>
      <c r="H7" s="132"/>
      <c r="I7" s="132"/>
      <c r="J7" s="132"/>
      <c r="K7" s="1561"/>
    </row>
    <row r="8" customFormat="false" ht="15" hidden="false" customHeight="false" outlineLevel="0" collapsed="false">
      <c r="A8" s="1875"/>
      <c r="B8" s="320"/>
      <c r="C8" s="321"/>
      <c r="D8" s="320"/>
      <c r="E8" s="320"/>
      <c r="F8" s="320"/>
      <c r="G8" s="320"/>
      <c r="H8" s="320"/>
      <c r="I8" s="320"/>
      <c r="J8" s="320"/>
      <c r="K8" s="321"/>
    </row>
    <row r="9" customFormat="false" ht="15" hidden="false" customHeight="false" outlineLevel="0" collapsed="false">
      <c r="A9" s="1876" t="s">
        <v>1035</v>
      </c>
      <c r="B9" s="1877" t="n">
        <f aca="false">'7.5.2 Fin. Income &amp; Expenses '!D18</f>
        <v>0</v>
      </c>
      <c r="C9" s="1618" t="n">
        <f aca="false">'7.5.2 Fin. Income &amp; Expenses '!E18+'7.5.2 Fin. Income &amp; Expenses '!E19</f>
        <v>1000000</v>
      </c>
      <c r="D9" s="71"/>
      <c r="E9" s="1619" t="n">
        <f aca="false">'7.5.2 Fin. Income &amp; Expenses '!G18+'7.5.2 Fin. Income &amp; Expenses '!G19</f>
        <v>1000000</v>
      </c>
      <c r="F9" s="71"/>
      <c r="G9" s="1619" t="n">
        <f aca="false">'7.5.2 Fin. Income &amp; Expenses '!I18+'7.5.2 Fin. Income &amp; Expenses '!I19</f>
        <v>1000000</v>
      </c>
      <c r="H9" s="71"/>
      <c r="I9" s="1619" t="n">
        <f aca="false">'7.5.2 Fin. Income &amp; Expenses '!K18+'7.5.2 Fin. Income &amp; Expenses '!K19</f>
        <v>1000000</v>
      </c>
      <c r="J9" s="71"/>
      <c r="K9" s="1618" t="n">
        <f aca="false">'7.5.2 Fin. Income &amp; Expenses '!M18+'7.5.2 Fin. Income &amp; Expenses '!M19</f>
        <v>1000000</v>
      </c>
    </row>
    <row r="10" customFormat="false" ht="15" hidden="false" customHeight="false" outlineLevel="0" collapsed="false">
      <c r="A10" s="1876"/>
      <c r="B10" s="1878"/>
      <c r="C10" s="323"/>
      <c r="D10" s="71"/>
      <c r="E10" s="71"/>
      <c r="F10" s="71"/>
      <c r="G10" s="71"/>
      <c r="H10" s="71"/>
      <c r="I10" s="71"/>
      <c r="J10" s="71"/>
      <c r="K10" s="323"/>
    </row>
    <row r="11" customFormat="false" ht="15" hidden="false" customHeight="false" outlineLevel="0" collapsed="false">
      <c r="A11" s="1876" t="s">
        <v>1029</v>
      </c>
      <c r="B11" s="1878" t="n">
        <v>0</v>
      </c>
      <c r="C11" s="1618" t="n">
        <f aca="false">'7.5.2 Fin. Income &amp; Expenses '!E20</f>
        <v>0</v>
      </c>
      <c r="D11" s="71"/>
      <c r="E11" s="1619" t="n">
        <f aca="false">'7.5.2 Fin. Income &amp; Expenses '!G20</f>
        <v>0</v>
      </c>
      <c r="F11" s="71"/>
      <c r="G11" s="1619" t="n">
        <f aca="false">'7.5.2 Fin. Income &amp; Expenses '!I20</f>
        <v>0</v>
      </c>
      <c r="H11" s="71"/>
      <c r="I11" s="1619" t="n">
        <f aca="false">'7.5.2 Fin. Income &amp; Expenses '!K20</f>
        <v>0</v>
      </c>
      <c r="J11" s="71"/>
      <c r="K11" s="1618" t="n">
        <f aca="false">'7.5.2 Fin. Income &amp; Expenses '!M20</f>
        <v>0</v>
      </c>
    </row>
    <row r="12" customFormat="false" ht="15" hidden="false" customHeight="false" outlineLevel="0" collapsed="false">
      <c r="A12" s="1876"/>
      <c r="B12" s="1878"/>
      <c r="C12" s="1618"/>
      <c r="D12" s="71"/>
      <c r="E12" s="1619"/>
      <c r="F12" s="71"/>
      <c r="G12" s="1619"/>
      <c r="H12" s="71"/>
      <c r="I12" s="1619"/>
      <c r="J12" s="71"/>
      <c r="K12" s="1618"/>
    </row>
    <row r="13" customFormat="false" ht="15" hidden="false" customHeight="false" outlineLevel="0" collapsed="false">
      <c r="A13" s="1876" t="s">
        <v>1036</v>
      </c>
      <c r="B13" s="1878" t="n">
        <v>0</v>
      </c>
      <c r="C13" s="1618" t="n">
        <f aca="false">'7.5.2 Fin. Income &amp; Expenses '!E21</f>
        <v>0</v>
      </c>
      <c r="D13" s="71"/>
      <c r="E13" s="1619" t="n">
        <f aca="false">'7.5.2 Fin. Income &amp; Expenses '!G21</f>
        <v>0</v>
      </c>
      <c r="F13" s="71"/>
      <c r="G13" s="1619" t="n">
        <f aca="false">'7.5.2 Fin. Income &amp; Expenses '!I21</f>
        <v>0</v>
      </c>
      <c r="H13" s="71"/>
      <c r="I13" s="1619" t="n">
        <f aca="false">'7.5.2 Fin. Income &amp; Expenses '!K21</f>
        <v>0</v>
      </c>
      <c r="J13" s="71"/>
      <c r="K13" s="1618" t="n">
        <f aca="false">'7.5.2 Fin. Income &amp; Expenses '!M21</f>
        <v>0</v>
      </c>
    </row>
    <row r="14" customFormat="false" ht="15" hidden="false" customHeight="false" outlineLevel="0" collapsed="false">
      <c r="A14" s="1876"/>
      <c r="B14" s="1878"/>
      <c r="C14" s="323"/>
      <c r="D14" s="71"/>
      <c r="E14" s="71"/>
      <c r="F14" s="71"/>
      <c r="G14" s="71"/>
      <c r="H14" s="71"/>
      <c r="I14" s="71"/>
      <c r="J14" s="71"/>
      <c r="K14" s="323"/>
    </row>
    <row r="15" customFormat="false" ht="15" hidden="false" customHeight="false" outlineLevel="0" collapsed="false">
      <c r="A15" s="1879" t="s">
        <v>1037</v>
      </c>
      <c r="B15" s="1877" t="n">
        <f aca="false">'7.5.2 Fin. Income &amp; Expenses '!D24</f>
        <v>0</v>
      </c>
      <c r="C15" s="1618" t="n">
        <f aca="false">'7.5.2 Fin. Income &amp; Expenses '!E24</f>
        <v>0</v>
      </c>
      <c r="D15" s="71"/>
      <c r="E15" s="1619" t="n">
        <f aca="false">'7.5.2 Fin. Income &amp; Expenses '!G24</f>
        <v>0</v>
      </c>
      <c r="F15" s="71"/>
      <c r="G15" s="1619" t="n">
        <f aca="false">'7.5.2 Fin. Income &amp; Expenses '!I24</f>
        <v>0</v>
      </c>
      <c r="H15" s="71"/>
      <c r="I15" s="1619" t="n">
        <f aca="false">'7.5.2 Fin. Income &amp; Expenses '!K24</f>
        <v>0</v>
      </c>
      <c r="J15" s="71"/>
      <c r="K15" s="1618" t="n">
        <f aca="false">'7.5.2 Fin. Income &amp; Expenses '!M24</f>
        <v>0</v>
      </c>
    </row>
    <row r="16" customFormat="false" ht="15" hidden="false" customHeight="false" outlineLevel="0" collapsed="false">
      <c r="A16" s="1876"/>
      <c r="B16" s="1878"/>
      <c r="C16" s="323"/>
      <c r="D16" s="71"/>
      <c r="E16" s="71"/>
      <c r="F16" s="71"/>
      <c r="G16" s="71"/>
      <c r="H16" s="71"/>
      <c r="I16" s="71"/>
      <c r="J16" s="71"/>
      <c r="K16" s="323"/>
    </row>
    <row r="17" customFormat="false" ht="15" hidden="false" customHeight="false" outlineLevel="0" collapsed="false">
      <c r="A17" s="1880" t="s">
        <v>1038</v>
      </c>
      <c r="B17" s="1878" t="n">
        <v>0</v>
      </c>
      <c r="C17" s="1717" t="n">
        <f aca="false">'7.5.2 Fin. Income &amp; Expenses '!E22</f>
        <v>0</v>
      </c>
      <c r="D17" s="1772"/>
      <c r="E17" s="1881" t="e">
        <f aca="false">'7.5.2 Fin. Income &amp; Expenses '!G22</f>
        <v>#VALUE!</v>
      </c>
      <c r="F17" s="1772"/>
      <c r="G17" s="1881" t="e">
        <f aca="false">'7.5.2 Fin. Income &amp; Expenses '!I22</f>
        <v>#VALUE!</v>
      </c>
      <c r="H17" s="1772"/>
      <c r="I17" s="1881" t="e">
        <f aca="false">'7.5.2 Fin. Income &amp; Expenses '!K22</f>
        <v>#VALUE!</v>
      </c>
      <c r="J17" s="1772"/>
      <c r="K17" s="1717" t="e">
        <f aca="false">'7.5.2 Fin. Income &amp; Expenses '!M22</f>
        <v>#VALUE!</v>
      </c>
    </row>
    <row r="18" customFormat="false" ht="15" hidden="false" customHeight="false" outlineLevel="0" collapsed="false">
      <c r="A18" s="1876"/>
      <c r="B18" s="1878"/>
      <c r="C18" s="1882"/>
      <c r="D18" s="1772"/>
      <c r="E18" s="1772"/>
      <c r="F18" s="1772"/>
      <c r="G18" s="1772"/>
      <c r="H18" s="1772"/>
      <c r="I18" s="1772"/>
      <c r="J18" s="1772"/>
      <c r="K18" s="1882"/>
    </row>
    <row r="19" customFormat="false" ht="15" hidden="false" customHeight="false" outlineLevel="0" collapsed="false">
      <c r="A19" s="1876" t="s">
        <v>1039</v>
      </c>
      <c r="B19" s="1878" t="n">
        <v>0</v>
      </c>
      <c r="C19" s="1717" t="e">
        <f aca="false">'7.5.2 Fin. Income &amp; Expenses '!E23</f>
        <v>#VALUE!</v>
      </c>
      <c r="D19" s="1772"/>
      <c r="E19" s="1881" t="e">
        <f aca="false">'7.5.2 Fin. Income &amp; Expenses '!G23</f>
        <v>#VALUE!</v>
      </c>
      <c r="F19" s="1772"/>
      <c r="G19" s="1881" t="e">
        <f aca="false">'7.5.2 Fin. Income &amp; Expenses '!I23</f>
        <v>#VALUE!</v>
      </c>
      <c r="H19" s="1772"/>
      <c r="I19" s="1881" t="e">
        <f aca="false">'7.5.2 Fin. Income &amp; Expenses '!K23</f>
        <v>#VALUE!</v>
      </c>
      <c r="J19" s="1772"/>
      <c r="K19" s="1717" t="e">
        <f aca="false">'7.5.2 Fin. Income &amp; Expenses '!M23</f>
        <v>#VALUE!</v>
      </c>
    </row>
    <row r="20" customFormat="false" ht="15" hidden="false" customHeight="false" outlineLevel="0" collapsed="false">
      <c r="A20" s="1876"/>
      <c r="B20" s="1878"/>
      <c r="C20" s="1882"/>
      <c r="D20" s="1772"/>
      <c r="E20" s="1772"/>
      <c r="F20" s="1772"/>
      <c r="G20" s="1772"/>
      <c r="H20" s="1772"/>
      <c r="I20" s="1772"/>
      <c r="J20" s="1772"/>
      <c r="K20" s="1882"/>
    </row>
    <row r="21" customFormat="false" ht="15" hidden="false" customHeight="false" outlineLevel="0" collapsed="false">
      <c r="A21" s="1875"/>
      <c r="B21" s="1883"/>
      <c r="C21" s="1884"/>
      <c r="D21" s="1628"/>
      <c r="E21" s="1885"/>
      <c r="F21" s="1885"/>
      <c r="G21" s="1885"/>
      <c r="H21" s="1885"/>
      <c r="I21" s="1885"/>
      <c r="J21" s="1885"/>
      <c r="K21" s="1884"/>
    </row>
    <row r="22" customFormat="false" ht="15" hidden="false" customHeight="false" outlineLevel="0" collapsed="false">
      <c r="A22" s="1886" t="s">
        <v>1040</v>
      </c>
      <c r="B22" s="1887" t="n">
        <f aca="false">B9+B11+B13+B19+B15</f>
        <v>0</v>
      </c>
      <c r="C22" s="1689" t="e">
        <f aca="false">C9+C11+C13+C17+C19+C15</f>
        <v>#VALUE!</v>
      </c>
      <c r="D22" s="1888"/>
      <c r="E22" s="1690" t="e">
        <f aca="false">E9+E11+E13+E17+E19+E15</f>
        <v>#VALUE!</v>
      </c>
      <c r="F22" s="1889"/>
      <c r="G22" s="1690" t="e">
        <f aca="false">G9+G11+G13+G17+G19+G15</f>
        <v>#VALUE!</v>
      </c>
      <c r="H22" s="1889"/>
      <c r="I22" s="1690" t="e">
        <f aca="false">I9+I11+I13+I17+I19+I15</f>
        <v>#VALUE!</v>
      </c>
      <c r="J22" s="1889"/>
      <c r="K22" s="1689" t="e">
        <f aca="false">K9+K11+K13+K17+K19+K15</f>
        <v>#VALUE!</v>
      </c>
    </row>
    <row r="23" customFormat="false" ht="15" hidden="false" customHeight="false" outlineLevel="0" collapsed="false">
      <c r="A23" s="1876"/>
      <c r="B23" s="1878"/>
      <c r="C23" s="1882"/>
      <c r="D23" s="1617"/>
      <c r="E23" s="1772"/>
      <c r="F23" s="1772"/>
      <c r="G23" s="1772"/>
      <c r="H23" s="1772"/>
      <c r="I23" s="1772"/>
      <c r="J23" s="1772"/>
      <c r="K23" s="1882"/>
    </row>
    <row r="24" customFormat="false" ht="15" hidden="false" customHeight="false" outlineLevel="0" collapsed="false">
      <c r="A24" s="257"/>
      <c r="B24" s="1890"/>
      <c r="C24" s="257"/>
      <c r="D24" s="257"/>
      <c r="E24" s="257"/>
      <c r="F24" s="257"/>
      <c r="G24" s="257"/>
      <c r="H24" s="257"/>
      <c r="I24" s="257"/>
      <c r="J24" s="257"/>
      <c r="K24" s="257"/>
      <c r="L24" s="16"/>
      <c r="M24" s="48"/>
    </row>
    <row r="25" customFormat="false" ht="15" hidden="false" customHeight="false" outlineLevel="0" collapsed="false">
      <c r="A25" s="107"/>
      <c r="B25" s="1891"/>
      <c r="C25" s="107"/>
      <c r="D25" s="107"/>
      <c r="E25" s="107"/>
      <c r="F25" s="107"/>
      <c r="G25" s="107"/>
      <c r="H25" s="107"/>
      <c r="I25" s="107"/>
      <c r="J25" s="107"/>
      <c r="K25" s="107"/>
      <c r="L25" s="16"/>
      <c r="M25" s="48"/>
    </row>
    <row r="26" s="281" customFormat="true" ht="18.75" hidden="false" customHeight="false" outlineLevel="0" collapsed="false">
      <c r="A26" s="1160" t="s">
        <v>1041</v>
      </c>
      <c r="B26" s="1892"/>
      <c r="C26" s="500"/>
      <c r="D26" s="500"/>
      <c r="E26" s="500"/>
      <c r="F26" s="500"/>
      <c r="G26" s="1893"/>
      <c r="H26" s="500"/>
      <c r="I26" s="500"/>
      <c r="J26" s="500"/>
      <c r="K26" s="1894"/>
      <c r="L26" s="22"/>
    </row>
    <row r="27" customFormat="false" ht="15" hidden="false" customHeight="false" outlineLevel="0" collapsed="false">
      <c r="A27" s="1875"/>
      <c r="B27" s="1883"/>
      <c r="C27" s="321"/>
      <c r="D27" s="320"/>
      <c r="E27" s="320"/>
      <c r="F27" s="320"/>
      <c r="G27" s="320"/>
      <c r="H27" s="320"/>
      <c r="I27" s="320"/>
      <c r="J27" s="320"/>
      <c r="K27" s="321"/>
    </row>
    <row r="28" customFormat="false" ht="15" hidden="false" customHeight="false" outlineLevel="0" collapsed="false">
      <c r="A28" s="1876" t="s">
        <v>853</v>
      </c>
      <c r="B28" s="1878" t="n">
        <v>0</v>
      </c>
      <c r="C28" s="1618" t="n">
        <f aca="false">'7.4.3 Inv. &amp; Depr.'!D132</f>
        <v>0</v>
      </c>
      <c r="D28" s="71"/>
      <c r="E28" s="1619" t="n">
        <f aca="false">'7.4.3 Inv. &amp; Depr.'!F132</f>
        <v>0</v>
      </c>
      <c r="F28" s="71"/>
      <c r="G28" s="1619" t="n">
        <f aca="false">'7.4.3 Inv. &amp; Depr.'!H132</f>
        <v>0</v>
      </c>
      <c r="H28" s="71"/>
      <c r="I28" s="1619" t="n">
        <f aca="false">'7.4.3 Inv. &amp; Depr.'!J132</f>
        <v>0</v>
      </c>
      <c r="J28" s="71"/>
      <c r="K28" s="1618" t="n">
        <f aca="false">'7.4.3 Inv. &amp; Depr.'!L132</f>
        <v>0</v>
      </c>
    </row>
    <row r="29" customFormat="false" ht="15" hidden="false" customHeight="false" outlineLevel="0" collapsed="false">
      <c r="A29" s="1876"/>
      <c r="B29" s="1878"/>
      <c r="C29" s="323"/>
      <c r="D29" s="71"/>
      <c r="E29" s="71"/>
      <c r="F29" s="71"/>
      <c r="G29" s="71"/>
      <c r="H29" s="71"/>
      <c r="I29" s="71"/>
      <c r="J29" s="71"/>
      <c r="K29" s="323"/>
    </row>
    <row r="30" customFormat="false" ht="15" hidden="false" customHeight="false" outlineLevel="0" collapsed="false">
      <c r="A30" s="1876" t="s">
        <v>1042</v>
      </c>
      <c r="B30" s="1877" t="n">
        <f aca="false">'7.5.2 Fin. Income &amp; Expenses '!D41</f>
        <v>0</v>
      </c>
      <c r="C30" s="1618" t="n">
        <f aca="false">'7.5.2 Fin. Income &amp; Expenses '!E41</f>
        <v>0</v>
      </c>
      <c r="D30" s="71"/>
      <c r="E30" s="1619" t="n">
        <f aca="false">'7.5.2 Fin. Income &amp; Expenses '!G41</f>
        <v>0</v>
      </c>
      <c r="F30" s="71"/>
      <c r="G30" s="1619" t="n">
        <f aca="false">'7.5.2 Fin. Income &amp; Expenses '!I41</f>
        <v>0</v>
      </c>
      <c r="H30" s="71"/>
      <c r="I30" s="1619" t="n">
        <f aca="false">'7.5.2 Fin. Income &amp; Expenses '!K41</f>
        <v>0</v>
      </c>
      <c r="J30" s="71"/>
      <c r="K30" s="1618" t="n">
        <f aca="false">'7.5.2 Fin. Income &amp; Expenses '!M41</f>
        <v>0</v>
      </c>
    </row>
    <row r="31" customFormat="false" ht="15" hidden="false" customHeight="false" outlineLevel="0" collapsed="false">
      <c r="A31" s="1876"/>
      <c r="B31" s="1878"/>
      <c r="C31" s="323"/>
      <c r="D31" s="71"/>
      <c r="E31" s="71"/>
      <c r="F31" s="71"/>
      <c r="G31" s="71"/>
      <c r="H31" s="71"/>
      <c r="I31" s="71"/>
      <c r="J31" s="71"/>
      <c r="K31" s="323"/>
    </row>
    <row r="32" customFormat="false" ht="15" hidden="false" customHeight="false" outlineLevel="0" collapsed="false">
      <c r="A32" s="1876" t="s">
        <v>1043</v>
      </c>
      <c r="B32" s="1878" t="n">
        <v>0</v>
      </c>
      <c r="C32" s="1618" t="n">
        <f aca="false">'7.5.2 Fin. Income &amp; Expenses '!E37</f>
        <v>342857.142857143</v>
      </c>
      <c r="D32" s="71"/>
      <c r="E32" s="1619" t="n">
        <f aca="false">'7.5.2 Fin. Income &amp; Expenses '!G37</f>
        <v>285714.285714286</v>
      </c>
      <c r="F32" s="71"/>
      <c r="G32" s="1619" t="n">
        <f aca="false">'7.5.2 Fin. Income &amp; Expenses '!I37</f>
        <v>228571.428571429</v>
      </c>
      <c r="H32" s="71"/>
      <c r="I32" s="1619" t="n">
        <f aca="false">'7.5.2 Fin. Income &amp; Expenses '!K37</f>
        <v>171428.571428571</v>
      </c>
      <c r="J32" s="71"/>
      <c r="K32" s="1618" t="n">
        <f aca="false">'7.5.2 Fin. Income &amp; Expenses '!M37</f>
        <v>114285.714285714</v>
      </c>
    </row>
    <row r="33" customFormat="false" ht="15.75" hidden="false" customHeight="false" outlineLevel="0" collapsed="false">
      <c r="A33" s="1876"/>
      <c r="B33" s="1878"/>
      <c r="C33" s="323"/>
      <c r="D33" s="71"/>
      <c r="E33" s="71"/>
      <c r="F33" s="71"/>
      <c r="G33" s="71"/>
      <c r="H33" s="71"/>
      <c r="I33" s="71"/>
      <c r="J33" s="71"/>
      <c r="K33" s="323"/>
    </row>
    <row r="34" customFormat="false" ht="15" hidden="false" customHeight="false" outlineLevel="0" collapsed="false">
      <c r="A34" s="1895"/>
      <c r="B34" s="1896"/>
      <c r="C34" s="1897"/>
      <c r="D34" s="1024"/>
      <c r="E34" s="1024"/>
      <c r="F34" s="1024"/>
      <c r="G34" s="1024"/>
      <c r="H34" s="1024"/>
      <c r="I34" s="1024"/>
      <c r="J34" s="1024"/>
      <c r="K34" s="1898"/>
    </row>
    <row r="35" customFormat="false" ht="15" hidden="false" customHeight="false" outlineLevel="0" collapsed="false">
      <c r="A35" s="1899" t="s">
        <v>1044</v>
      </c>
      <c r="B35" s="1877" t="n">
        <f aca="false">B28+B30+B32</f>
        <v>0</v>
      </c>
      <c r="C35" s="1618" t="n">
        <f aca="false">C28+C30+C32</f>
        <v>342857.142857143</v>
      </c>
      <c r="D35" s="71"/>
      <c r="E35" s="1619" t="n">
        <f aca="false">E28+E30+E32</f>
        <v>285714.285714286</v>
      </c>
      <c r="F35" s="71"/>
      <c r="G35" s="1619" t="n">
        <f aca="false">G28+G30+G32</f>
        <v>228571.428571429</v>
      </c>
      <c r="H35" s="71"/>
      <c r="I35" s="1619" t="n">
        <f aca="false">I28+I30+I32</f>
        <v>171428.571428571</v>
      </c>
      <c r="J35" s="71"/>
      <c r="K35" s="1635" t="n">
        <f aca="false">K28+K30+K32</f>
        <v>114285.714285714</v>
      </c>
    </row>
    <row r="36" customFormat="false" ht="15.75" hidden="false" customHeight="false" outlineLevel="0" collapsed="false">
      <c r="A36" s="1900"/>
      <c r="B36" s="1901"/>
      <c r="C36" s="1603"/>
      <c r="D36" s="1034"/>
      <c r="E36" s="1034"/>
      <c r="F36" s="1034"/>
      <c r="G36" s="1034"/>
      <c r="H36" s="1034"/>
      <c r="I36" s="1034"/>
      <c r="J36" s="1034"/>
      <c r="K36" s="1604"/>
    </row>
    <row r="37" customFormat="false" ht="15" hidden="false" customHeight="false" outlineLevel="0" collapsed="false">
      <c r="A37" s="1895"/>
      <c r="B37" s="1896"/>
      <c r="C37" s="1897"/>
      <c r="D37" s="1024"/>
      <c r="E37" s="1024"/>
      <c r="F37" s="1024"/>
      <c r="G37" s="1024"/>
      <c r="H37" s="1024"/>
      <c r="I37" s="1024"/>
      <c r="J37" s="1024"/>
      <c r="K37" s="1898"/>
    </row>
    <row r="38" customFormat="false" ht="15" hidden="false" customHeight="false" outlineLevel="0" collapsed="false">
      <c r="A38" s="1899" t="s">
        <v>1045</v>
      </c>
      <c r="B38" s="1887" t="n">
        <f aca="false">B22+B35</f>
        <v>0</v>
      </c>
      <c r="C38" s="1689" t="e">
        <f aca="false">C22+C35</f>
        <v>#VALUE!</v>
      </c>
      <c r="D38" s="1889"/>
      <c r="E38" s="1690" t="e">
        <f aca="false">E22+E35</f>
        <v>#VALUE!</v>
      </c>
      <c r="F38" s="1889"/>
      <c r="G38" s="1690" t="e">
        <f aca="false">G22+G35</f>
        <v>#VALUE!</v>
      </c>
      <c r="H38" s="1889"/>
      <c r="I38" s="1690" t="e">
        <f aca="false">I22+I35</f>
        <v>#VALUE!</v>
      </c>
      <c r="J38" s="1889"/>
      <c r="K38" s="1671" t="e">
        <f aca="false">K22+K35</f>
        <v>#VALUE!</v>
      </c>
    </row>
    <row r="39" customFormat="false" ht="15.75" hidden="false" customHeight="false" outlineLevel="0" collapsed="false">
      <c r="A39" s="1900"/>
      <c r="B39" s="1901"/>
      <c r="C39" s="1902"/>
      <c r="D39" s="1903"/>
      <c r="E39" s="1903"/>
      <c r="F39" s="1903"/>
      <c r="G39" s="1903"/>
      <c r="H39" s="1903"/>
      <c r="I39" s="1903"/>
      <c r="J39" s="1903"/>
      <c r="K39" s="1904"/>
    </row>
    <row r="40" customFormat="false" ht="15" hidden="false" customHeight="false" outlineLevel="0" collapsed="false">
      <c r="B40" s="1905"/>
      <c r="C40" s="669"/>
      <c r="D40" s="669"/>
      <c r="E40" s="669"/>
      <c r="F40" s="669"/>
      <c r="G40" s="669"/>
      <c r="H40" s="669"/>
      <c r="I40" s="669"/>
      <c r="J40" s="669"/>
      <c r="K40" s="669"/>
    </row>
    <row r="41" customFormat="false" ht="15" hidden="false" customHeight="false" outlineLevel="0" collapsed="false">
      <c r="B41" s="1905"/>
      <c r="C41" s="669"/>
      <c r="D41" s="669"/>
      <c r="E41" s="669"/>
      <c r="F41" s="669"/>
      <c r="G41" s="669"/>
      <c r="H41" s="669"/>
      <c r="I41" s="669"/>
      <c r="J41" s="669"/>
      <c r="K41" s="669"/>
    </row>
    <row r="42" s="281" customFormat="true" ht="18.75" hidden="false" customHeight="false" outlineLevel="0" collapsed="false">
      <c r="A42" s="839" t="s">
        <v>1046</v>
      </c>
      <c r="B42" s="1559"/>
      <c r="C42" s="1571"/>
      <c r="D42" s="1571"/>
      <c r="E42" s="1571"/>
      <c r="F42" s="1571"/>
      <c r="G42" s="1906"/>
      <c r="H42" s="1571"/>
      <c r="I42" s="1571"/>
      <c r="J42" s="1571"/>
      <c r="K42" s="1907"/>
      <c r="L42" s="22"/>
    </row>
    <row r="43" customFormat="false" ht="15" hidden="false" customHeight="false" outlineLevel="0" collapsed="false">
      <c r="A43" s="1875"/>
      <c r="B43" s="1883"/>
      <c r="C43" s="1884"/>
      <c r="D43" s="1885"/>
      <c r="E43" s="1885"/>
      <c r="F43" s="1885"/>
      <c r="G43" s="1885"/>
      <c r="H43" s="1885"/>
      <c r="I43" s="1885"/>
      <c r="J43" s="1885"/>
      <c r="K43" s="1884"/>
    </row>
    <row r="44" customFormat="false" ht="15" hidden="false" customHeight="false" outlineLevel="0" collapsed="false">
      <c r="A44" s="1876" t="s">
        <v>1047</v>
      </c>
      <c r="B44" s="1878" t="n">
        <v>0</v>
      </c>
      <c r="C44" s="1717" t="e">
        <f aca="false">'7.5.1 Financial Requirements'!D58+'7.5.1 Financial Requirements'!D63</f>
        <v>#VALUE!</v>
      </c>
      <c r="D44" s="1772"/>
      <c r="E44" s="1881" t="e">
        <f aca="false">'7.5.1 Financial Requirements'!F58+'7.5.1 Financial Requirements'!F63</f>
        <v>#VALUE!</v>
      </c>
      <c r="F44" s="1772"/>
      <c r="G44" s="1881" t="e">
        <f aca="false">'7.5.1 Financial Requirements'!H58+'7.5.1 Financial Requirements'!H63</f>
        <v>#VALUE!</v>
      </c>
      <c r="H44" s="1772"/>
      <c r="I44" s="1881" t="e">
        <f aca="false">'7.5.1 Financial Requirements'!J58+'7.5.1 Financial Requirements'!J63</f>
        <v>#VALUE!</v>
      </c>
      <c r="J44" s="1772"/>
      <c r="K44" s="1717" t="e">
        <f aca="false">'7.5.1 Financial Requirements'!L58+'7.5.1 Financial Requirements'!L63</f>
        <v>#VALUE!</v>
      </c>
    </row>
    <row r="45" customFormat="false" ht="15" hidden="false" customHeight="false" outlineLevel="0" collapsed="false">
      <c r="A45" s="1876"/>
      <c r="B45" s="1878"/>
      <c r="C45" s="1717"/>
      <c r="D45" s="1772"/>
      <c r="E45" s="1881"/>
      <c r="F45" s="1772"/>
      <c r="G45" s="1881"/>
      <c r="H45" s="1772"/>
      <c r="I45" s="1881"/>
      <c r="J45" s="1772"/>
      <c r="K45" s="1717"/>
    </row>
    <row r="46" customFormat="false" ht="15" hidden="false" customHeight="false" outlineLevel="0" collapsed="false">
      <c r="A46" s="1876" t="s">
        <v>1048</v>
      </c>
      <c r="B46" s="1878" t="n">
        <v>0</v>
      </c>
      <c r="C46" s="1717" t="e">
        <f aca="false">IF('7.5.3 VAT'!C62&lt;0,('7.5.3 VAT'!C62)*-1,0)</f>
        <v>#VALUE!</v>
      </c>
      <c r="D46" s="1881"/>
      <c r="E46" s="1881" t="e">
        <f aca="false">IF('7.5.3 VAT'!E62&lt;0,('7.5.3 VAT'!E62)*-1,0)</f>
        <v>#VALUE!</v>
      </c>
      <c r="F46" s="1881"/>
      <c r="G46" s="1881" t="e">
        <f aca="false">IF('7.5.3 VAT'!G62&lt;0,('7.5.3 VAT'!G62)*-1,0)</f>
        <v>#VALUE!</v>
      </c>
      <c r="H46" s="1881"/>
      <c r="I46" s="1881" t="e">
        <f aca="false">IF('7.5.3 VAT'!I62&lt;0,('7.5.3 VAT'!I62)*-1,0)</f>
        <v>#VALUE!</v>
      </c>
      <c r="J46" s="1881"/>
      <c r="K46" s="1717" t="e">
        <f aca="false">IF('7.5.3 VAT'!K62&lt;0,('7.5.3 VAT'!K62)*-1,0)</f>
        <v>#VALUE!</v>
      </c>
    </row>
    <row r="47" customFormat="false" ht="15" hidden="false" customHeight="false" outlineLevel="0" collapsed="false">
      <c r="A47" s="1876"/>
      <c r="B47" s="1878"/>
      <c r="C47" s="1717"/>
      <c r="D47" s="1772"/>
      <c r="E47" s="1881"/>
      <c r="F47" s="1772"/>
      <c r="G47" s="1881"/>
      <c r="H47" s="1772"/>
      <c r="I47" s="1881"/>
      <c r="J47" s="1772"/>
      <c r="K47" s="1717"/>
    </row>
    <row r="48" customFormat="false" ht="15" hidden="false" customHeight="false" outlineLevel="0" collapsed="false">
      <c r="A48" s="1876" t="s">
        <v>930</v>
      </c>
      <c r="B48" s="1878" t="n">
        <v>0</v>
      </c>
      <c r="C48" s="1717" t="n">
        <f aca="false">'7.5.2 Fin. Income &amp; Expenses '!E60</f>
        <v>-1.33333333333333</v>
      </c>
      <c r="D48" s="1772"/>
      <c r="E48" s="1881" t="n">
        <f aca="false">'7.5.2 Fin. Income &amp; Expenses '!G60</f>
        <v>0</v>
      </c>
      <c r="F48" s="1772"/>
      <c r="G48" s="1881" t="n">
        <f aca="false">'7.5.2 Fin. Income &amp; Expenses '!I60</f>
        <v>0</v>
      </c>
      <c r="H48" s="1772"/>
      <c r="I48" s="1881" t="n">
        <f aca="false">'7.5.2 Fin. Income &amp; Expenses '!K60</f>
        <v>0</v>
      </c>
      <c r="J48" s="1772"/>
      <c r="K48" s="1717" t="n">
        <f aca="false">'7.5.2 Fin. Income &amp; Expenses '!M60</f>
        <v>0</v>
      </c>
    </row>
    <row r="49" customFormat="false" ht="15" hidden="false" customHeight="false" outlineLevel="0" collapsed="false">
      <c r="A49" s="1876"/>
      <c r="B49" s="1878"/>
      <c r="C49" s="1717"/>
      <c r="D49" s="1772"/>
      <c r="E49" s="1881"/>
      <c r="F49" s="1772"/>
      <c r="G49" s="1881"/>
      <c r="H49" s="1772"/>
      <c r="I49" s="1881"/>
      <c r="J49" s="1772"/>
      <c r="K49" s="1717"/>
    </row>
    <row r="50" customFormat="false" ht="15" hidden="false" customHeight="false" outlineLevel="0" collapsed="false">
      <c r="A50" s="1876" t="s">
        <v>1049</v>
      </c>
      <c r="B50" s="1877" t="n">
        <f aca="false">'7.5.2 Fin. Income &amp; Expenses '!D61</f>
        <v>0</v>
      </c>
      <c r="C50" s="1717" t="e">
        <f aca="false">'7.5.2 Fin. Income &amp; Expenses '!E61</f>
        <v>#VALUE!</v>
      </c>
      <c r="D50" s="1772"/>
      <c r="E50" s="1881" t="e">
        <f aca="false">'7.5.2 Fin. Income &amp; Expenses '!G61</f>
        <v>#VALUE!</v>
      </c>
      <c r="F50" s="1772"/>
      <c r="G50" s="1881" t="e">
        <f aca="false">'7.5.2 Fin. Income &amp; Expenses '!I61</f>
        <v>#VALUE!</v>
      </c>
      <c r="H50" s="1772"/>
      <c r="I50" s="1881" t="e">
        <f aca="false">'7.5.2 Fin. Income &amp; Expenses '!K61</f>
        <v>#VALUE!</v>
      </c>
      <c r="J50" s="1772"/>
      <c r="K50" s="1717" t="e">
        <f aca="false">'7.5.2 Fin. Income &amp; Expenses '!M61</f>
        <v>#VALUE!</v>
      </c>
    </row>
    <row r="51" customFormat="false" ht="15.75" hidden="false" customHeight="false" outlineLevel="0" collapsed="false">
      <c r="A51" s="1876"/>
      <c r="B51" s="1878"/>
      <c r="C51" s="1882"/>
      <c r="D51" s="1772"/>
      <c r="E51" s="1772"/>
      <c r="F51" s="1772"/>
      <c r="G51" s="1772"/>
      <c r="H51" s="1772"/>
      <c r="I51" s="1772"/>
      <c r="J51" s="1772"/>
      <c r="K51" s="1882"/>
    </row>
    <row r="52" customFormat="false" ht="15" hidden="false" customHeight="false" outlineLevel="0" collapsed="false">
      <c r="A52" s="1895"/>
      <c r="B52" s="1896"/>
      <c r="C52" s="1908"/>
      <c r="D52" s="1909"/>
      <c r="E52" s="1909"/>
      <c r="F52" s="1909"/>
      <c r="G52" s="1909"/>
      <c r="H52" s="1909"/>
      <c r="I52" s="1909"/>
      <c r="J52" s="1909"/>
      <c r="K52" s="1910"/>
    </row>
    <row r="53" customFormat="false" ht="15" hidden="false" customHeight="false" outlineLevel="0" collapsed="false">
      <c r="A53" s="1899" t="s">
        <v>1050</v>
      </c>
      <c r="B53" s="1877" t="n">
        <f aca="false">SUM(B44:B50)</f>
        <v>0</v>
      </c>
      <c r="C53" s="1717" t="e">
        <f aca="false">SUM(C44:C50)</f>
        <v>#VALUE!</v>
      </c>
      <c r="D53" s="1772"/>
      <c r="E53" s="1881" t="e">
        <f aca="false">SUM(E44:E50)</f>
        <v>#VALUE!</v>
      </c>
      <c r="F53" s="1772"/>
      <c r="G53" s="1881" t="e">
        <f aca="false">SUM(G44:G50)</f>
        <v>#VALUE!</v>
      </c>
      <c r="H53" s="1772"/>
      <c r="I53" s="1881" t="e">
        <f aca="false">SUM(I44:I50)</f>
        <v>#VALUE!</v>
      </c>
      <c r="J53" s="1772"/>
      <c r="K53" s="1662" t="e">
        <f aca="false">SUM(K44:K50)</f>
        <v>#VALUE!</v>
      </c>
    </row>
    <row r="54" customFormat="false" ht="15.75" hidden="false" customHeight="false" outlineLevel="0" collapsed="false">
      <c r="A54" s="1900"/>
      <c r="B54" s="1901"/>
      <c r="C54" s="1902"/>
      <c r="D54" s="1903"/>
      <c r="E54" s="1903"/>
      <c r="F54" s="1903"/>
      <c r="G54" s="1903"/>
      <c r="H54" s="1903"/>
      <c r="I54" s="1903"/>
      <c r="J54" s="1903"/>
      <c r="K54" s="1904"/>
    </row>
    <row r="55" customFormat="false" ht="15" hidden="false" customHeight="false" outlineLevel="0" collapsed="false">
      <c r="A55" s="1895"/>
      <c r="B55" s="1896"/>
      <c r="C55" s="1908"/>
      <c r="D55" s="1909"/>
      <c r="E55" s="1909"/>
      <c r="F55" s="1909"/>
      <c r="G55" s="1909"/>
      <c r="H55" s="1909"/>
      <c r="I55" s="1909"/>
      <c r="J55" s="1909"/>
      <c r="K55" s="1910"/>
    </row>
    <row r="56" customFormat="false" ht="15" hidden="false" customHeight="false" outlineLevel="0" collapsed="false">
      <c r="A56" s="1899" t="s">
        <v>1051</v>
      </c>
      <c r="B56" s="1877" t="n">
        <f aca="false">B35+B53</f>
        <v>0</v>
      </c>
      <c r="C56" s="1717" t="e">
        <f aca="false">C35+C53</f>
        <v>#VALUE!</v>
      </c>
      <c r="D56" s="1772"/>
      <c r="E56" s="1881" t="e">
        <f aca="false">E35+E53</f>
        <v>#VALUE!</v>
      </c>
      <c r="F56" s="1772"/>
      <c r="G56" s="1881" t="e">
        <f aca="false">G35+G53</f>
        <v>#VALUE!</v>
      </c>
      <c r="H56" s="1772"/>
      <c r="I56" s="1881" t="e">
        <f aca="false">I35+I53</f>
        <v>#VALUE!</v>
      </c>
      <c r="J56" s="1772"/>
      <c r="K56" s="1662" t="e">
        <f aca="false">K35+K53</f>
        <v>#VALUE!</v>
      </c>
    </row>
    <row r="57" customFormat="false" ht="15.75" hidden="false" customHeight="false" outlineLevel="0" collapsed="false">
      <c r="A57" s="1900"/>
      <c r="B57" s="1901"/>
      <c r="C57" s="1902"/>
      <c r="D57" s="1903"/>
      <c r="E57" s="1903"/>
      <c r="F57" s="1903"/>
      <c r="G57" s="1903"/>
      <c r="H57" s="1903"/>
      <c r="I57" s="1903"/>
      <c r="J57" s="1903"/>
      <c r="K57" s="1904"/>
    </row>
    <row r="58" customFormat="false" ht="15" hidden="false" customHeight="false" outlineLevel="0" collapsed="false">
      <c r="A58" s="1911"/>
      <c r="B58" s="1912"/>
      <c r="C58" s="118"/>
      <c r="D58" s="1913"/>
      <c r="E58" s="118"/>
      <c r="F58" s="118"/>
      <c r="G58" s="118"/>
      <c r="H58" s="118"/>
      <c r="I58" s="118"/>
      <c r="J58" s="118"/>
      <c r="K58" s="118"/>
    </row>
    <row r="59" customFormat="false" ht="15.75" hidden="false" customHeight="false" outlineLevel="0" collapsed="false">
      <c r="A59" s="1914"/>
      <c r="B59" s="1915"/>
      <c r="C59" s="1916"/>
      <c r="D59" s="1916"/>
      <c r="E59" s="118"/>
      <c r="F59" s="118"/>
      <c r="G59" s="118"/>
      <c r="H59" s="118"/>
      <c r="I59" s="118"/>
      <c r="J59" s="1916"/>
      <c r="K59" s="1916"/>
    </row>
    <row r="60" customFormat="false" ht="15" hidden="false" customHeight="false" outlineLevel="0" collapsed="false">
      <c r="A60" s="1895"/>
      <c r="B60" s="1896"/>
      <c r="C60" s="1908"/>
      <c r="D60" s="1909"/>
      <c r="E60" s="1909"/>
      <c r="F60" s="1909"/>
      <c r="G60" s="1909"/>
      <c r="H60" s="1909"/>
      <c r="I60" s="1909"/>
      <c r="J60" s="1909"/>
      <c r="K60" s="1910"/>
    </row>
    <row r="61" customFormat="false" ht="18.75" hidden="false" customHeight="false" outlineLevel="0" collapsed="false">
      <c r="A61" s="1917" t="s">
        <v>1052</v>
      </c>
      <c r="B61" s="1918" t="n">
        <f aca="false">B38+B53</f>
        <v>0</v>
      </c>
      <c r="C61" s="1919" t="e">
        <f aca="false">C38+C53</f>
        <v>#VALUE!</v>
      </c>
      <c r="D61" s="1773"/>
      <c r="E61" s="1920" t="e">
        <f aca="false">E38+E53</f>
        <v>#VALUE!</v>
      </c>
      <c r="F61" s="1773"/>
      <c r="G61" s="1920" t="e">
        <f aca="false">G38+G53</f>
        <v>#VALUE!</v>
      </c>
      <c r="H61" s="1773"/>
      <c r="I61" s="1920" t="e">
        <f aca="false">I38+I53</f>
        <v>#VALUE!</v>
      </c>
      <c r="J61" s="1773"/>
      <c r="K61" s="1921" t="e">
        <f aca="false">K38+K53</f>
        <v>#VALUE!</v>
      </c>
    </row>
    <row r="62" customFormat="false" ht="15.75" hidden="false" customHeight="false" outlineLevel="0" collapsed="false">
      <c r="A62" s="1900"/>
      <c r="B62" s="1901"/>
      <c r="C62" s="1902"/>
      <c r="D62" s="1903"/>
      <c r="E62" s="1903"/>
      <c r="F62" s="1903"/>
      <c r="G62" s="1903"/>
      <c r="H62" s="1903"/>
      <c r="I62" s="1903"/>
      <c r="J62" s="1903"/>
      <c r="K62" s="1904"/>
    </row>
    <row r="63" customFormat="false" ht="15" hidden="false" customHeight="false" outlineLevel="0" collapsed="false">
      <c r="C63" s="669"/>
      <c r="D63" s="669"/>
      <c r="E63" s="669"/>
      <c r="F63" s="669"/>
      <c r="G63" s="669"/>
      <c r="H63" s="669"/>
      <c r="I63" s="669"/>
      <c r="J63" s="669"/>
      <c r="K63" s="669"/>
    </row>
    <row r="64" customFormat="false" ht="15" hidden="false" customHeight="false" outlineLevel="0" collapsed="false">
      <c r="A64" s="547" t="s">
        <v>1053</v>
      </c>
      <c r="B64" s="1922" t="e">
        <f aca="false">B61-#REF!</f>
        <v>#REF!</v>
      </c>
      <c r="C64" s="1923" t="e">
        <f aca="false">C61-#REF!</f>
        <v>#VALUE!</v>
      </c>
      <c r="D64" s="1923"/>
      <c r="E64" s="1923" t="e">
        <f aca="false">E61-#REF!</f>
        <v>#VALUE!</v>
      </c>
      <c r="F64" s="1923"/>
      <c r="G64" s="1923" t="e">
        <f aca="false">G61-#REF!</f>
        <v>#VALUE!</v>
      </c>
      <c r="H64" s="1923"/>
      <c r="I64" s="1923" t="e">
        <f aca="false">I61-#REF!</f>
        <v>#VALUE!</v>
      </c>
      <c r="J64" s="1923"/>
      <c r="K64" s="1924" t="e">
        <f aca="false">K61-#REF!</f>
        <v>#VALUE!</v>
      </c>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8.xml><?xml version="1.0" encoding="utf-8"?>
<worksheet xmlns="http://schemas.openxmlformats.org/spreadsheetml/2006/main" xmlns:r="http://schemas.openxmlformats.org/officeDocument/2006/relationships">
  <sheetPr filterMode="false">
    <tabColor rgb="FFC0C0C0"/>
    <pageSetUpPr fitToPage="true"/>
  </sheetPr>
  <dimension ref="A1:L75"/>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6" topLeftCell="A45" activePane="bottomLeft" state="frozen"/>
      <selection pane="topLeft" activeCell="A1" activeCellId="0" sqref="A1"/>
      <selection pane="bottomLeft" activeCell="C21" activeCellId="0" sqref="C21"/>
    </sheetView>
  </sheetViews>
  <sheetFormatPr defaultRowHeight="15" zeroHeight="true" outlineLevelRow="0" outlineLevelCol="0"/>
  <cols>
    <col collapsed="false" customWidth="true" hidden="false" outlineLevel="0" max="1" min="1" style="52" width="43.85"/>
    <col collapsed="false" customWidth="true" hidden="false" outlineLevel="0" max="2" min="2" style="48" width="13.14"/>
    <col collapsed="false" customWidth="true" hidden="false" outlineLevel="0" max="3" min="3" style="48" width="16"/>
    <col collapsed="false" customWidth="true" hidden="false" outlineLevel="0" max="4" min="4" style="48" width="9.14"/>
    <col collapsed="false" customWidth="true" hidden="false" outlineLevel="0" max="5" min="5" style="48" width="16"/>
    <col collapsed="false" customWidth="true" hidden="false" outlineLevel="0" max="6" min="6" style="48" width="9.14"/>
    <col collapsed="false" customWidth="true" hidden="false" outlineLevel="0" max="7" min="7" style="48" width="16"/>
    <col collapsed="false" customWidth="true" hidden="false" outlineLevel="0" max="8" min="8" style="48" width="9.14"/>
    <col collapsed="false" customWidth="true" hidden="false" outlineLevel="0" max="9" min="9" style="48" width="16"/>
    <col collapsed="false" customWidth="true" hidden="false" outlineLevel="0" max="10" min="10" style="48" width="11.86"/>
    <col collapsed="false" customWidth="true" hidden="false" outlineLevel="0" max="11" min="11" style="54" width="16"/>
    <col collapsed="false" customWidth="true" hidden="false" outlineLevel="0" max="12" min="12" style="22" width="1.58"/>
    <col collapsed="false" customWidth="true" hidden="true" outlineLevel="0" max="1025" min="13" style="4" width="9.14"/>
  </cols>
  <sheetData>
    <row r="1" customFormat="false" ht="28.5" hidden="false" customHeight="false" outlineLevel="0" collapsed="false">
      <c r="A1" s="113" t="s">
        <v>525</v>
      </c>
      <c r="B1" s="114"/>
      <c r="C1" s="114"/>
      <c r="D1" s="114"/>
      <c r="E1" s="114"/>
      <c r="F1" s="114"/>
      <c r="G1" s="114"/>
      <c r="H1" s="114"/>
      <c r="I1" s="114"/>
      <c r="J1" s="114"/>
      <c r="K1" s="115" t="s">
        <v>1054</v>
      </c>
    </row>
    <row r="2" customFormat="false" ht="15" hidden="false" customHeight="false" outlineLevel="0" collapsed="false">
      <c r="E2" s="848"/>
      <c r="K2" s="849"/>
    </row>
    <row r="3" customFormat="false" ht="18" hidden="false" customHeight="false" outlineLevel="0" collapsed="false">
      <c r="A3" s="850" t="s">
        <v>34</v>
      </c>
      <c r="B3" s="363" t="str">
        <f aca="false">'Reference sheet'!C12</f>
        <v>TEST</v>
      </c>
      <c r="C3" s="364"/>
      <c r="E3" s="367" t="s">
        <v>46</v>
      </c>
      <c r="F3" s="852" t="n">
        <f aca="false">'Reference sheet'!C15</f>
        <v>1</v>
      </c>
      <c r="G3" s="853" t="s">
        <v>49</v>
      </c>
      <c r="H3" s="368" t="str">
        <f aca="false">'Reference sheet'!C17</f>
        <v>July</v>
      </c>
      <c r="I3" s="854" t="n">
        <f aca="false">'Reference sheet'!D17</f>
        <v>2018</v>
      </c>
      <c r="J3" s="365" t="s">
        <v>527</v>
      </c>
      <c r="K3" s="855" t="str">
        <f aca="false">'Reference sheet'!C21</f>
        <v>EUR</v>
      </c>
    </row>
    <row r="4" customFormat="false" ht="15" hidden="false" customHeight="false" outlineLevel="0" collapsed="false">
      <c r="B4" s="129"/>
      <c r="G4" s="130"/>
      <c r="K4" s="939"/>
    </row>
    <row r="5" customFormat="false" ht="15" hidden="false" customHeight="false" outlineLevel="0" collapsed="false">
      <c r="B5" s="129"/>
      <c r="C5" s="1309"/>
      <c r="G5" s="130"/>
      <c r="K5" s="939"/>
    </row>
    <row r="6" customFormat="false" ht="15" hidden="false" customHeight="false" outlineLevel="0" collapsed="false">
      <c r="A6" s="82"/>
      <c r="B6" s="126"/>
      <c r="C6" s="940" t="n">
        <f aca="false">'7.9.2 Balance Liabilities'!C6</f>
        <v>2019</v>
      </c>
      <c r="D6" s="941"/>
      <c r="E6" s="860" t="n">
        <f aca="false">+'7.1 Dealer area'!E5</f>
        <v>2020</v>
      </c>
      <c r="F6" s="942"/>
      <c r="G6" s="860" t="n">
        <f aca="false">+'7.1 Dealer area'!G5</f>
        <v>2021</v>
      </c>
      <c r="H6" s="943"/>
      <c r="I6" s="860" t="n">
        <f aca="false">+'7.1 Dealer area'!I5</f>
        <v>2022</v>
      </c>
      <c r="J6" s="943"/>
      <c r="K6" s="860" t="n">
        <f aca="false">+'7.1 Dealer area'!K5</f>
        <v>2023</v>
      </c>
      <c r="L6" s="330"/>
    </row>
    <row r="7" customFormat="false" ht="21" hidden="false" customHeight="false" outlineLevel="0" collapsed="false">
      <c r="A7" s="1925" t="s">
        <v>1055</v>
      </c>
      <c r="B7" s="1559"/>
      <c r="C7" s="500"/>
      <c r="D7" s="132"/>
      <c r="E7" s="132"/>
      <c r="F7" s="132"/>
      <c r="G7" s="1560"/>
      <c r="H7" s="132"/>
      <c r="I7" s="132"/>
      <c r="J7" s="132"/>
      <c r="K7" s="1561"/>
    </row>
    <row r="8" customFormat="false" ht="15" hidden="false" customHeight="false" outlineLevel="0" collapsed="false">
      <c r="B8" s="1562"/>
      <c r="C8" s="1758"/>
      <c r="D8" s="320"/>
      <c r="E8" s="320"/>
      <c r="F8" s="320"/>
      <c r="G8" s="1615"/>
      <c r="H8" s="320"/>
      <c r="I8" s="320"/>
      <c r="J8" s="320"/>
      <c r="K8" s="1616"/>
    </row>
    <row r="9" customFormat="false" ht="15" hidden="false" customHeight="false" outlineLevel="0" collapsed="false">
      <c r="A9" s="52" t="s">
        <v>1056</v>
      </c>
      <c r="C9" s="1926"/>
      <c r="D9" s="1927"/>
      <c r="E9" s="1928" t="e">
        <f aca="false">IF('7.7 P&amp;L'!C7=0,0,('7.7 P&amp;L'!E7-'7.7 P&amp;L'!C7)/'7.7 P&amp;L'!C7)</f>
        <v>#VALUE!</v>
      </c>
      <c r="F9" s="1929"/>
      <c r="G9" s="1928" t="e">
        <f aca="false">IF('7.7 P&amp;L'!E7=0,0,('7.7 P&amp;L'!G7-'7.7 P&amp;L'!E7)/'7.7 P&amp;L'!E7)</f>
        <v>#VALUE!</v>
      </c>
      <c r="H9" s="1929"/>
      <c r="I9" s="1928" t="e">
        <f aca="false">IF('7.7 P&amp;L'!G7=0,0,('7.7 P&amp;L'!I7-'7.7 P&amp;L'!G7)/'7.7 P&amp;L'!G7)</f>
        <v>#VALUE!</v>
      </c>
      <c r="J9" s="1929"/>
      <c r="K9" s="1930" t="e">
        <f aca="false">IF('7.7 P&amp;L'!I7=0,0,('7.7 P&amp;L'!K7-'7.7 P&amp;L'!I7)/'7.7 P&amp;L'!I7)</f>
        <v>#VALUE!</v>
      </c>
    </row>
    <row r="10" customFormat="false" ht="15" hidden="false" customHeight="false" outlineLevel="0" collapsed="false">
      <c r="C10" s="1931"/>
      <c r="D10" s="1929"/>
      <c r="E10" s="1932"/>
      <c r="F10" s="1932"/>
      <c r="G10" s="1932"/>
      <c r="H10" s="1932"/>
      <c r="I10" s="1932"/>
      <c r="J10" s="1932"/>
      <c r="K10" s="1933"/>
    </row>
    <row r="11" customFormat="false" ht="15" hidden="false" customHeight="false" outlineLevel="0" collapsed="false">
      <c r="A11" s="52" t="s">
        <v>1057</v>
      </c>
      <c r="C11" s="1931"/>
      <c r="D11" s="1929"/>
      <c r="E11" s="1929"/>
      <c r="F11" s="1929"/>
      <c r="G11" s="1929"/>
      <c r="H11" s="1929"/>
      <c r="I11" s="1929"/>
      <c r="J11" s="1929"/>
      <c r="K11" s="1930"/>
    </row>
    <row r="12" customFormat="false" ht="15" hidden="false" customHeight="false" outlineLevel="0" collapsed="false">
      <c r="A12" s="52" t="s">
        <v>1058</v>
      </c>
      <c r="C12" s="1931" t="e">
        <f aca="false">IF('7.7 P&amp;L'!C7=0,0,'7.7 P&amp;L'!C13/'7.7 P&amp;L'!C7)</f>
        <v>#VALUE!</v>
      </c>
      <c r="D12" s="1929"/>
      <c r="E12" s="1929" t="e">
        <f aca="false">IF('7.7 P&amp;L'!E7=0,0,'7.7 P&amp;L'!E13/'7.7 P&amp;L'!E7)</f>
        <v>#VALUE!</v>
      </c>
      <c r="F12" s="1929"/>
      <c r="G12" s="1929" t="e">
        <f aca="false">IF('7.7 P&amp;L'!G7=0,0,'7.7 P&amp;L'!G13/'7.7 P&amp;L'!G7)</f>
        <v>#VALUE!</v>
      </c>
      <c r="H12" s="1929"/>
      <c r="I12" s="1929" t="e">
        <f aca="false">IF('7.7 P&amp;L'!I7=0,0,'7.7 P&amp;L'!I13/'7.7 P&amp;L'!I7)</f>
        <v>#VALUE!</v>
      </c>
      <c r="J12" s="1929"/>
      <c r="K12" s="1930" t="e">
        <f aca="false">IF('7.7 P&amp;L'!K7=0,0,'7.7 P&amp;L'!K13/'7.7 P&amp;L'!K7)</f>
        <v>#VALUE!</v>
      </c>
    </row>
    <row r="13" customFormat="false" ht="15" hidden="false" customHeight="false" outlineLevel="0" collapsed="false">
      <c r="A13" s="52" t="s">
        <v>1059</v>
      </c>
      <c r="C13" s="1931" t="e">
        <f aca="false">IF('7.7 P&amp;L'!C7=0,0,'7.7 P&amp;L'!C22/'7.7 P&amp;L'!C7)</f>
        <v>#VALUE!</v>
      </c>
      <c r="D13" s="1929"/>
      <c r="E13" s="1929" t="e">
        <f aca="false">IF('7.7 P&amp;L'!E7=0,0,'7.7 P&amp;L'!E22/'7.7 P&amp;L'!E7)</f>
        <v>#VALUE!</v>
      </c>
      <c r="F13" s="1929"/>
      <c r="G13" s="1929" t="e">
        <f aca="false">IF('7.7 P&amp;L'!G7=0,0,'7.7 P&amp;L'!G22/'7.7 P&amp;L'!G7)</f>
        <v>#VALUE!</v>
      </c>
      <c r="H13" s="1929"/>
      <c r="I13" s="1929" t="e">
        <f aca="false">IF('7.7 P&amp;L'!I7=0,0,'7.7 P&amp;L'!I22/'7.7 P&amp;L'!I7)</f>
        <v>#VALUE!</v>
      </c>
      <c r="J13" s="1929"/>
      <c r="K13" s="1930" t="e">
        <f aca="false">IF('7.7 P&amp;L'!K7=0,0,'7.7 P&amp;L'!K22/'7.7 P&amp;L'!K7)</f>
        <v>#VALUE!</v>
      </c>
    </row>
    <row r="14" customFormat="false" ht="15" hidden="false" customHeight="false" outlineLevel="0" collapsed="false">
      <c r="A14" s="52" t="s">
        <v>1060</v>
      </c>
      <c r="C14" s="1931" t="e">
        <f aca="false">IF('7.7 P&amp;L'!C7=0,0,'7.7 P&amp;L'!C28/'7.7 P&amp;L'!C7)</f>
        <v>#VALUE!</v>
      </c>
      <c r="D14" s="1929"/>
      <c r="E14" s="1929" t="e">
        <f aca="false">IF('7.7 P&amp;L'!E7=0,0,'7.7 P&amp;L'!E28/'7.7 P&amp;L'!E7)</f>
        <v>#VALUE!</v>
      </c>
      <c r="F14" s="1929"/>
      <c r="G14" s="1929" t="e">
        <f aca="false">IF('7.7 P&amp;L'!G7=0,0,'7.7 P&amp;L'!G28/'7.7 P&amp;L'!G7)</f>
        <v>#VALUE!</v>
      </c>
      <c r="H14" s="1929"/>
      <c r="I14" s="1929" t="e">
        <f aca="false">IF('7.7 P&amp;L'!I7=0,0,'7.7 P&amp;L'!I28/'7.7 P&amp;L'!I7)</f>
        <v>#VALUE!</v>
      </c>
      <c r="J14" s="1929"/>
      <c r="K14" s="1930" t="e">
        <f aca="false">IF('7.7 P&amp;L'!K7=0,0,'7.7 P&amp;L'!K28/'7.7 P&amp;L'!K7)</f>
        <v>#VALUE!</v>
      </c>
    </row>
    <row r="15" customFormat="false" ht="15" hidden="false" customHeight="false" outlineLevel="0" collapsed="false">
      <c r="A15" s="52" t="s">
        <v>1061</v>
      </c>
      <c r="C15" s="1931" t="e">
        <f aca="false">IF('7.7 P&amp;L'!C7=0,0,'7.7 P&amp;L'!C36/'7.7 P&amp;L'!C7)</f>
        <v>#VALUE!</v>
      </c>
      <c r="D15" s="1929"/>
      <c r="E15" s="1929" t="e">
        <f aca="false">IF('7.7 P&amp;L'!E7=0,0,'7.7 P&amp;L'!E36/'7.7 P&amp;L'!E7)</f>
        <v>#VALUE!</v>
      </c>
      <c r="F15" s="1929"/>
      <c r="G15" s="1929" t="e">
        <f aca="false">IF('7.7 P&amp;L'!G7=0,0,'7.7 P&amp;L'!G36/'7.7 P&amp;L'!G7)</f>
        <v>#VALUE!</v>
      </c>
      <c r="H15" s="1929"/>
      <c r="I15" s="1929" t="e">
        <f aca="false">IF('7.7 P&amp;L'!I7=0,0,'7.7 P&amp;L'!I36/'7.7 P&amp;L'!I7)</f>
        <v>#VALUE!</v>
      </c>
      <c r="J15" s="1929"/>
      <c r="K15" s="1930" t="e">
        <f aca="false">IF('7.7 P&amp;L'!K7=0,0,'7.7 P&amp;L'!K36/'7.7 P&amp;L'!K7)</f>
        <v>#VALUE!</v>
      </c>
    </row>
    <row r="16" customFormat="false" ht="15" hidden="false" customHeight="false" outlineLevel="0" collapsed="false">
      <c r="A16" s="52" t="s">
        <v>1062</v>
      </c>
      <c r="C16" s="1931" t="e">
        <f aca="false">IF('7.7 P&amp;L'!C7=0,0,'7.7 P&amp;L'!C42/'7.7 P&amp;L'!C7)</f>
        <v>#VALUE!</v>
      </c>
      <c r="D16" s="1929"/>
      <c r="E16" s="1929" t="e">
        <f aca="false">IF('7.7 P&amp;L'!E7=0,0,'7.7 P&amp;L'!E42/'7.7 P&amp;L'!E7)</f>
        <v>#VALUE!</v>
      </c>
      <c r="F16" s="1929"/>
      <c r="G16" s="1929" t="e">
        <f aca="false">IF('7.7 P&amp;L'!G7=0,0,'7.7 P&amp;L'!G42/'7.7 P&amp;L'!G7)</f>
        <v>#VALUE!</v>
      </c>
      <c r="H16" s="1929"/>
      <c r="I16" s="1929" t="e">
        <f aca="false">IF('7.7 P&amp;L'!I7=0,0,'7.7 P&amp;L'!I42/'7.7 P&amp;L'!I7)</f>
        <v>#VALUE!</v>
      </c>
      <c r="J16" s="1929"/>
      <c r="K16" s="1930" t="e">
        <f aca="false">IF('7.7 P&amp;L'!K7=0,0,'7.7 P&amp;L'!K42/'7.7 P&amp;L'!K7)</f>
        <v>#VALUE!</v>
      </c>
    </row>
    <row r="17" customFormat="false" ht="15" hidden="false" customHeight="false" outlineLevel="0" collapsed="false">
      <c r="C17" s="1931"/>
      <c r="D17" s="1929"/>
      <c r="E17" s="1929"/>
      <c r="F17" s="1929"/>
      <c r="G17" s="1929"/>
      <c r="H17" s="1929"/>
      <c r="I17" s="1929"/>
      <c r="J17" s="1929"/>
      <c r="K17" s="1930"/>
    </row>
    <row r="18" customFormat="false" ht="15" hidden="false" customHeight="false" outlineLevel="0" collapsed="false">
      <c r="A18" s="52" t="s">
        <v>1063</v>
      </c>
      <c r="C18" s="1931"/>
      <c r="D18" s="1929"/>
      <c r="E18" s="1929"/>
      <c r="F18" s="1929"/>
      <c r="G18" s="1929"/>
      <c r="H18" s="1929"/>
      <c r="I18" s="1929"/>
      <c r="J18" s="1929"/>
      <c r="K18" s="1930"/>
    </row>
    <row r="19" customFormat="false" ht="15" hidden="false" customHeight="false" outlineLevel="0" collapsed="false">
      <c r="A19" s="52" t="s">
        <v>1064</v>
      </c>
      <c r="C19" s="1931" t="e">
        <f aca="false">IF('7.9.2 Balance Liabilities'!C22=0,0,'7.7 P&amp;L'!C36/'7.9.2 Balance Liabilities'!C22)</f>
        <v>#VALUE!</v>
      </c>
      <c r="D19" s="1929"/>
      <c r="E19" s="1929" t="e">
        <f aca="false">IF('7.9.2 Balance Liabilities'!E22=0,0,'7.7 P&amp;L'!E36/'7.9.2 Balance Liabilities'!E22)</f>
        <v>#VALUE!</v>
      </c>
      <c r="F19" s="1929"/>
      <c r="G19" s="1929" t="e">
        <f aca="false">IF('7.9.2 Balance Liabilities'!G22=0,0,'7.7 P&amp;L'!G36/'7.9.2 Balance Liabilities'!G22)</f>
        <v>#VALUE!</v>
      </c>
      <c r="H19" s="1929"/>
      <c r="I19" s="1929" t="e">
        <f aca="false">IF('7.9.2 Balance Liabilities'!I22=0,0,'7.7 P&amp;L'!I36/'7.9.2 Balance Liabilities'!I22)</f>
        <v>#VALUE!</v>
      </c>
      <c r="J19" s="1929"/>
      <c r="K19" s="1930" t="e">
        <f aca="false">IF('7.9.2 Balance Liabilities'!K22=0,0,'7.7 P&amp;L'!K36/'7.9.2 Balance Liabilities'!K22)</f>
        <v>#VALUE!</v>
      </c>
    </row>
    <row r="20" customFormat="false" ht="15" hidden="false" customHeight="false" outlineLevel="0" collapsed="false">
      <c r="A20" s="52" t="s">
        <v>1065</v>
      </c>
      <c r="C20" s="1931" t="e">
        <f aca="false">IF('7.9.2 Balance Liabilities'!C22=0,0,'7.7 P&amp;L'!C42/'7.9.2 Balance Liabilities'!C22)</f>
        <v>#VALUE!</v>
      </c>
      <c r="D20" s="1929"/>
      <c r="E20" s="1929" t="e">
        <f aca="false">IF('7.9.2 Balance Liabilities'!E22=0,0,'7.7 P&amp;L'!E42/'7.9.2 Balance Liabilities'!E22)</f>
        <v>#VALUE!</v>
      </c>
      <c r="F20" s="1929"/>
      <c r="G20" s="1929" t="e">
        <f aca="false">IF('7.9.2 Balance Liabilities'!G22=0,0,'7.7 P&amp;L'!G42/'7.9.2 Balance Liabilities'!G22)</f>
        <v>#VALUE!</v>
      </c>
      <c r="H20" s="1929"/>
      <c r="I20" s="1929" t="e">
        <f aca="false">IF('7.9.2 Balance Liabilities'!I22=0,0,'7.7 P&amp;L'!I42/'7.9.2 Balance Liabilities'!I22)</f>
        <v>#VALUE!</v>
      </c>
      <c r="J20" s="1929"/>
      <c r="K20" s="1930" t="e">
        <f aca="false">IF('7.9.2 Balance Liabilities'!K22=0,0,'7.7 P&amp;L'!K42/'7.9.2 Balance Liabilities'!K22)</f>
        <v>#VALUE!</v>
      </c>
    </row>
    <row r="21" customFormat="false" ht="15" hidden="false" customHeight="false" outlineLevel="0" collapsed="false">
      <c r="A21" s="52" t="s">
        <v>1066</v>
      </c>
      <c r="C21" s="1931" t="e">
        <f aca="false">IF('7.9.2 Balance Liabilities'!C38=0,0,('7.7 P&amp;L'!C36-'7.5.2 Fin. Income &amp; Expenses '!E76)/'7.9.2 Balance Liabilities'!C38)</f>
        <v>#VALUE!</v>
      </c>
      <c r="D21" s="1929"/>
      <c r="E21" s="1929" t="e">
        <f aca="false">IF('7.9.2 Balance Liabilities'!E38=0,0,('7.7 P&amp;L'!E36-'7.5.2 Fin. Income &amp; Expenses '!G76)/'7.9.2 Balance Liabilities'!E38)</f>
        <v>#VALUE!</v>
      </c>
      <c r="F21" s="1929"/>
      <c r="G21" s="1929" t="e">
        <f aca="false">IF('7.9.2 Balance Liabilities'!G38=0,0,('7.7 P&amp;L'!G36-'7.5.2 Fin. Income &amp; Expenses '!I76)/'7.9.2 Balance Liabilities'!G38)</f>
        <v>#VALUE!</v>
      </c>
      <c r="H21" s="1929"/>
      <c r="I21" s="1929" t="e">
        <f aca="false">IF('7.9.2 Balance Liabilities'!I38=0,0,('7.7 P&amp;L'!I36-'7.5.2 Fin. Income &amp; Expenses '!K76)/'7.9.2 Balance Liabilities'!I38)</f>
        <v>#VALUE!</v>
      </c>
      <c r="J21" s="1929"/>
      <c r="K21" s="1930" t="e">
        <f aca="false">IF('7.9.2 Balance Liabilities'!K38=0,0,('7.7 P&amp;L'!K36-'7.5.2 Fin. Income &amp; Expenses '!M76)/'7.9.2 Balance Liabilities'!K38)</f>
        <v>#VALUE!</v>
      </c>
    </row>
    <row r="22" customFormat="false" ht="15" hidden="false" customHeight="false" outlineLevel="0" collapsed="false">
      <c r="A22" s="52" t="s">
        <v>1067</v>
      </c>
      <c r="C22" s="1931"/>
      <c r="D22" s="1929"/>
      <c r="E22" s="1929"/>
      <c r="F22" s="1929"/>
      <c r="G22" s="1929"/>
      <c r="H22" s="1929"/>
      <c r="I22" s="1929"/>
      <c r="J22" s="1929"/>
      <c r="K22" s="1930"/>
    </row>
    <row r="23" customFormat="false" ht="15" hidden="false" customHeight="false" outlineLevel="0" collapsed="false">
      <c r="C23" s="1657"/>
      <c r="D23" s="1772"/>
      <c r="E23" s="1772"/>
      <c r="F23" s="1772"/>
      <c r="G23" s="1772"/>
      <c r="H23" s="1772"/>
      <c r="I23" s="1772"/>
      <c r="J23" s="1772"/>
      <c r="K23" s="1882"/>
    </row>
    <row r="24" customFormat="false" ht="15" hidden="false" customHeight="false" outlineLevel="0" collapsed="false">
      <c r="A24" s="52" t="s">
        <v>1068</v>
      </c>
      <c r="C24" s="1657"/>
      <c r="D24" s="1772"/>
      <c r="E24" s="1772"/>
      <c r="F24" s="1772"/>
      <c r="G24" s="1772"/>
      <c r="H24" s="1772"/>
      <c r="I24" s="1772"/>
      <c r="J24" s="1772"/>
      <c r="K24" s="1882"/>
    </row>
    <row r="25" customFormat="false" ht="15" hidden="false" customHeight="false" outlineLevel="0" collapsed="false">
      <c r="A25" s="52" t="s">
        <v>1069</v>
      </c>
      <c r="C25" s="1934" t="e">
        <f aca="false">IF('7.9.2 Balance Liabilities'!C53=0,0,#REF!/'7.9.2 Balance Liabilities'!C53)</f>
        <v>#VALUE!</v>
      </c>
      <c r="D25" s="1935"/>
      <c r="E25" s="1936" t="e">
        <f aca="false">IF('7.9.2 Balance Liabilities'!E53=0,0,#REF!/'7.9.2 Balance Liabilities'!E53)</f>
        <v>#VALUE!</v>
      </c>
      <c r="F25" s="1935"/>
      <c r="G25" s="1936" t="e">
        <f aca="false">IF('7.9.2 Balance Liabilities'!G53=0,0,#REF!/'7.9.2 Balance Liabilities'!G53)</f>
        <v>#VALUE!</v>
      </c>
      <c r="H25" s="1935"/>
      <c r="I25" s="1936" t="e">
        <f aca="false">IF('7.9.2 Balance Liabilities'!I53=0,0,#REF!/'7.9.2 Balance Liabilities'!I53)</f>
        <v>#VALUE!</v>
      </c>
      <c r="J25" s="1935"/>
      <c r="K25" s="1937" t="e">
        <f aca="false">IF('7.9.2 Balance Liabilities'!K53=0,0,#REF!/'7.9.2 Balance Liabilities'!K53)</f>
        <v>#VALUE!</v>
      </c>
    </row>
    <row r="26" customFormat="false" ht="15" hidden="false" customHeight="false" outlineLevel="0" collapsed="false">
      <c r="A26" s="52" t="s">
        <v>1070</v>
      </c>
      <c r="C26" s="1938" t="e">
        <f aca="false">IF('7.9.2 Balance Liabilities'!C53=0,0,(#REF!-#REF!)/'7.9.2 Balance Liabilities'!C53)</f>
        <v>#VALUE!</v>
      </c>
      <c r="D26" s="1935"/>
      <c r="E26" s="1935" t="e">
        <f aca="false">IF('7.9.2 Balance Liabilities'!E53=0,0,(#REF!-#REF!)/'7.9.2 Balance Liabilities'!E53)</f>
        <v>#VALUE!</v>
      </c>
      <c r="F26" s="1935"/>
      <c r="G26" s="1935" t="e">
        <f aca="false">IF('7.9.2 Balance Liabilities'!G53=0,0,(#REF!-#REF!)/'7.9.2 Balance Liabilities'!G53)</f>
        <v>#VALUE!</v>
      </c>
      <c r="H26" s="1935"/>
      <c r="I26" s="1935" t="e">
        <f aca="false">IF('7.9.2 Balance Liabilities'!I53=0,0,(#REF!-#REF!)/'7.9.2 Balance Liabilities'!I53)</f>
        <v>#VALUE!</v>
      </c>
      <c r="J26" s="1935"/>
      <c r="K26" s="1939" t="e">
        <f aca="false">IF('7.9.2 Balance Liabilities'!K53=0,0,(#REF!-#REF!)/'7.9.2 Balance Liabilities'!K53)</f>
        <v>#VALUE!</v>
      </c>
    </row>
    <row r="27" customFormat="false" ht="15" hidden="false" customHeight="false" outlineLevel="0" collapsed="false">
      <c r="A27" s="52" t="s">
        <v>1071</v>
      </c>
      <c r="C27" s="1661" t="e">
        <f aca="false">#REF!-'7.9.2 Balance Liabilities'!C53</f>
        <v>#REF!</v>
      </c>
      <c r="D27" s="1772"/>
      <c r="E27" s="1881" t="e">
        <f aca="false">#REF!-'7.9.2 Balance Liabilities'!E53</f>
        <v>#REF!</v>
      </c>
      <c r="F27" s="1772"/>
      <c r="G27" s="1881" t="e">
        <f aca="false">#REF!-'7.9.2 Balance Liabilities'!G53</f>
        <v>#REF!</v>
      </c>
      <c r="H27" s="1772"/>
      <c r="I27" s="1881" t="e">
        <f aca="false">#REF!-'7.9.2 Balance Liabilities'!I53</f>
        <v>#REF!</v>
      </c>
      <c r="J27" s="1772"/>
      <c r="K27" s="1717" t="e">
        <f aca="false">#REF!-'7.9.2 Balance Liabilities'!K53</f>
        <v>#REF!</v>
      </c>
    </row>
    <row r="28" customFormat="false" ht="15" hidden="false" customHeight="false" outlineLevel="0" collapsed="false">
      <c r="C28" s="1657"/>
      <c r="D28" s="1772"/>
      <c r="E28" s="1772"/>
      <c r="F28" s="1772"/>
      <c r="G28" s="1772"/>
      <c r="H28" s="1772"/>
      <c r="I28" s="1772"/>
      <c r="J28" s="1772"/>
      <c r="K28" s="1882"/>
    </row>
    <row r="29" customFormat="false" ht="15" hidden="false" customHeight="false" outlineLevel="0" collapsed="false">
      <c r="A29" s="52" t="s">
        <v>1072</v>
      </c>
      <c r="C29" s="1657"/>
      <c r="D29" s="1772"/>
      <c r="E29" s="1772"/>
      <c r="F29" s="1772"/>
      <c r="G29" s="1772"/>
      <c r="H29" s="1772"/>
      <c r="I29" s="1772"/>
      <c r="J29" s="1772"/>
      <c r="K29" s="1882"/>
    </row>
    <row r="30" customFormat="false" ht="15" hidden="false" customHeight="false" outlineLevel="0" collapsed="false">
      <c r="A30" s="52" t="s">
        <v>1073</v>
      </c>
      <c r="C30" s="1657"/>
      <c r="D30" s="1772"/>
      <c r="E30" s="1772"/>
      <c r="F30" s="1772"/>
      <c r="G30" s="1772"/>
      <c r="H30" s="1772"/>
      <c r="I30" s="1772"/>
      <c r="J30" s="1772"/>
      <c r="K30" s="1882"/>
    </row>
    <row r="31" customFormat="false" ht="15" hidden="false" customHeight="false" outlineLevel="0" collapsed="false">
      <c r="A31" s="52" t="s">
        <v>1074</v>
      </c>
      <c r="C31" s="1657" t="n">
        <f aca="false">'7.5.1 Financial Requirements'!$B$38</f>
        <v>120</v>
      </c>
      <c r="D31" s="1772"/>
      <c r="E31" s="1881" t="n">
        <f aca="false">'7.5.1 Financial Requirements'!E38</f>
        <v>120</v>
      </c>
      <c r="F31" s="1772"/>
      <c r="G31" s="1881" t="n">
        <f aca="false">'7.5.1 Financial Requirements'!G38</f>
        <v>120</v>
      </c>
      <c r="H31" s="1772"/>
      <c r="I31" s="1881" t="n">
        <f aca="false">'7.5.1 Financial Requirements'!I38</f>
        <v>120</v>
      </c>
      <c r="J31" s="1772"/>
      <c r="K31" s="1717" t="n">
        <f aca="false">'7.5.1 Financial Requirements'!K38</f>
        <v>120</v>
      </c>
    </row>
    <row r="32" customFormat="false" ht="15" hidden="false" customHeight="false" outlineLevel="0" collapsed="false">
      <c r="A32" s="52" t="s">
        <v>1075</v>
      </c>
      <c r="C32" s="1657" t="n">
        <f aca="false">'7.5.1 Financial Requirements'!B39</f>
        <v>0</v>
      </c>
      <c r="D32" s="1772"/>
      <c r="E32" s="1881" t="n">
        <f aca="false">'7.5.1 Financial Requirements'!E39</f>
        <v>0</v>
      </c>
      <c r="F32" s="1772"/>
      <c r="G32" s="1881" t="n">
        <f aca="false">'7.5.1 Financial Requirements'!G39</f>
        <v>0</v>
      </c>
      <c r="H32" s="1772"/>
      <c r="I32" s="1881" t="n">
        <f aca="false">'7.5.1 Financial Requirements'!I39</f>
        <v>0</v>
      </c>
      <c r="J32" s="1772"/>
      <c r="K32" s="1717" t="n">
        <f aca="false">'7.5.1 Financial Requirements'!K39</f>
        <v>0</v>
      </c>
    </row>
    <row r="33" customFormat="false" ht="15" hidden="false" customHeight="false" outlineLevel="0" collapsed="false">
      <c r="A33" s="52" t="s">
        <v>1076</v>
      </c>
      <c r="C33" s="1940" t="e">
        <f aca="false">IF('7.3 Cost of sales'!C108=0,0,#REF!/'7.3 Cost of sales'!C108*365)</f>
        <v>#VALUE!</v>
      </c>
      <c r="D33" s="1941"/>
      <c r="E33" s="1941" t="e">
        <f aca="false">IF('7.3 Cost of sales'!E108=0,0,#REF!/'7.3 Cost of sales'!E108*365)</f>
        <v>#VALUE!</v>
      </c>
      <c r="F33" s="1941"/>
      <c r="G33" s="1941" t="e">
        <f aca="false">IF('7.3 Cost of sales'!G108=0,0,#REF!/'7.3 Cost of sales'!G108*365)</f>
        <v>#VALUE!</v>
      </c>
      <c r="H33" s="1941"/>
      <c r="I33" s="1941" t="e">
        <f aca="false">IF('7.3 Cost of sales'!I108=0,0,#REF!/'7.3 Cost of sales'!I108*365)</f>
        <v>#VALUE!</v>
      </c>
      <c r="J33" s="1941"/>
      <c r="K33" s="1942" t="e">
        <f aca="false">IF('7.3 Cost of sales'!K108=0,0,#REF!/'7.3 Cost of sales'!K108*365)</f>
        <v>#VALUE!</v>
      </c>
    </row>
    <row r="34" customFormat="false" ht="15" hidden="false" customHeight="false" outlineLevel="0" collapsed="false">
      <c r="A34" s="52" t="s">
        <v>1077</v>
      </c>
      <c r="C34" s="1940" t="e">
        <f aca="false">IF('7.7 P&amp;L'!C7=0,0,#REF!/'7.7 P&amp;L'!C7*365)</f>
        <v>#VALUE!</v>
      </c>
      <c r="D34" s="1941"/>
      <c r="E34" s="1941" t="e">
        <f aca="false">IF('7.7 P&amp;L'!E7=0,0,#REF!/'7.7 P&amp;L'!E7*365)</f>
        <v>#VALUE!</v>
      </c>
      <c r="F34" s="1941"/>
      <c r="G34" s="1941" t="e">
        <f aca="false">IF('7.7 P&amp;L'!G7=0,0,#REF!/'7.7 P&amp;L'!G7*365)</f>
        <v>#VALUE!</v>
      </c>
      <c r="H34" s="1941"/>
      <c r="I34" s="1941" t="e">
        <f aca="false">IF('7.7 P&amp;L'!I7=0,0,#REF!/'7.7 P&amp;L'!I7*365)</f>
        <v>#VALUE!</v>
      </c>
      <c r="J34" s="1941"/>
      <c r="K34" s="1942" t="e">
        <f aca="false">IF('7.7 P&amp;L'!K7=0,0,#REF!/'7.7 P&amp;L'!K7*365)</f>
        <v>#VALUE!</v>
      </c>
    </row>
    <row r="35" customFormat="false" ht="15" hidden="false" customHeight="false" outlineLevel="0" collapsed="false">
      <c r="A35" s="52" t="s">
        <v>1078</v>
      </c>
      <c r="C35" s="1940" t="e">
        <f aca="false">IF('7.5.1 Financial Requirements'!D58=0,0,('7.5.1 Financial Requirements'!$B$48*'7.5.1 Financial Requirements'!D48+'7.5.1 Financial Requirements'!$B$49*'7.5.1 Financial Requirements'!D49+'7.5.1 Financial Requirements'!$B$50*'7.5.1 Financial Requirements'!D50+'7.5.1 Financial Requirements'!$B$51*'7.5.1 Financial Requirements'!D51+'7.5.1 Financial Requirements'!$B$52*'7.5.1 Financial Requirements'!D52+'7.5.1 Financial Requirements'!$B$53*'7.5.1 Financial Requirements'!D53+'7.5.1 Financial Requirements'!$B$56*'7.5.1 Financial Requirements'!D56)/'7.5.1 Financial Requirements'!D58)</f>
        <v>#VALUE!</v>
      </c>
      <c r="D35" s="1772"/>
      <c r="E35" s="1941" t="e">
        <f aca="false">IF('7.5.1 Financial Requirements'!F58=0,0,('7.5.1 Financial Requirements'!E48*'7.5.1 Financial Requirements'!F48+'7.5.1 Financial Requirements'!E49*'7.5.1 Financial Requirements'!F49+'7.5.1 Financial Requirements'!E50*'7.5.1 Financial Requirements'!F50+'7.5.1 Financial Requirements'!E51*'7.5.1 Financial Requirements'!F51+'7.5.1 Financial Requirements'!E52*'7.5.1 Financial Requirements'!F52+'7.5.1 Financial Requirements'!E53*'7.5.1 Financial Requirements'!F53+'7.5.1 Financial Requirements'!E56*'7.5.1 Financial Requirements'!F56)/'7.5.1 Financial Requirements'!F58)</f>
        <v>#VALUE!</v>
      </c>
      <c r="F35" s="1941"/>
      <c r="G35" s="1941" t="e">
        <f aca="false">IF('7.5.1 Financial Requirements'!H58=0,0,('7.5.1 Financial Requirements'!G48*'7.5.1 Financial Requirements'!H48+'7.5.1 Financial Requirements'!G49*'7.5.1 Financial Requirements'!H49+'7.5.1 Financial Requirements'!G50*'7.5.1 Financial Requirements'!H50+'7.5.1 Financial Requirements'!G51*'7.5.1 Financial Requirements'!H51+'7.5.1 Financial Requirements'!G52*'7.5.1 Financial Requirements'!H52+'7.5.1 Financial Requirements'!G53*'7.5.1 Financial Requirements'!H53+'7.5.1 Financial Requirements'!G56*'7.5.1 Financial Requirements'!H56)/'7.5.1 Financial Requirements'!H58)</f>
        <v>#VALUE!</v>
      </c>
      <c r="H35" s="1941"/>
      <c r="I35" s="1941" t="e">
        <f aca="false">IF('7.5.1 Financial Requirements'!J58=0,0,('7.5.1 Financial Requirements'!I48*'7.5.1 Financial Requirements'!J48+'7.5.1 Financial Requirements'!I49*'7.5.1 Financial Requirements'!J49+'7.5.1 Financial Requirements'!I50*'7.5.1 Financial Requirements'!J50+'7.5.1 Financial Requirements'!I51*'7.5.1 Financial Requirements'!J51+'7.5.1 Financial Requirements'!I52*'7.5.1 Financial Requirements'!J52+'7.5.1 Financial Requirements'!I53*'7.5.1 Financial Requirements'!J53+'7.5.1 Financial Requirements'!I56*'7.5.1 Financial Requirements'!J56)/'7.5.1 Financial Requirements'!J58)</f>
        <v>#VALUE!</v>
      </c>
      <c r="J35" s="1772"/>
      <c r="K35" s="1942" t="e">
        <f aca="false">IF('7.5.1 Financial Requirements'!L58=0,0,('7.5.1 Financial Requirements'!K48*'7.5.1 Financial Requirements'!L48+'7.5.1 Financial Requirements'!K49*'7.5.1 Financial Requirements'!L49+'7.5.1 Financial Requirements'!K50*'7.5.1 Financial Requirements'!L50+'7.5.1 Financial Requirements'!K51*'7.5.1 Financial Requirements'!L51+'7.5.1 Financial Requirements'!K52*'7.5.1 Financial Requirements'!L52+'7.5.1 Financial Requirements'!K53*'7.5.1 Financial Requirements'!L53+'7.5.1 Financial Requirements'!K56*'7.5.1 Financial Requirements'!L56)/'7.5.1 Financial Requirements'!L58)</f>
        <v>#VALUE!</v>
      </c>
    </row>
    <row r="36" customFormat="false" ht="15" hidden="false" customHeight="false" outlineLevel="0" collapsed="false">
      <c r="C36" s="1657"/>
      <c r="D36" s="1772"/>
      <c r="E36" s="1772"/>
      <c r="F36" s="1772"/>
      <c r="G36" s="1772"/>
      <c r="H36" s="1772"/>
      <c r="I36" s="1772"/>
      <c r="J36" s="1772"/>
      <c r="K36" s="1882"/>
    </row>
    <row r="37" customFormat="false" ht="15" hidden="false" customHeight="false" outlineLevel="0" collapsed="false">
      <c r="A37" s="52" t="s">
        <v>1079</v>
      </c>
      <c r="C37" s="1931" t="e">
        <f aca="false">IF('7.9.2 Balance Liabilities'!C61=0,0,'7.9.2 Balance Liabilities'!C22/'7.9.2 Balance Liabilities'!C61)</f>
        <v>#VALUE!</v>
      </c>
      <c r="D37" s="1929"/>
      <c r="E37" s="1929" t="e">
        <f aca="false">IF('7.9.2 Balance Liabilities'!E61=0,0,'7.9.2 Balance Liabilities'!E22/'7.9.2 Balance Liabilities'!E61)</f>
        <v>#VALUE!</v>
      </c>
      <c r="F37" s="1929"/>
      <c r="G37" s="1929" t="e">
        <f aca="false">IF('7.9.2 Balance Liabilities'!G61=0,0,'7.9.2 Balance Liabilities'!G22/'7.9.2 Balance Liabilities'!G61)</f>
        <v>#VALUE!</v>
      </c>
      <c r="H37" s="1929"/>
      <c r="I37" s="1929" t="e">
        <f aca="false">IF('7.9.2 Balance Liabilities'!I61=0,0,'7.9.2 Balance Liabilities'!I22/'7.9.2 Balance Liabilities'!I61)</f>
        <v>#VALUE!</v>
      </c>
      <c r="J37" s="1929"/>
      <c r="K37" s="1930" t="e">
        <f aca="false">IF('7.9.2 Balance Liabilities'!K61=0,0,'7.9.2 Balance Liabilities'!K22/'7.9.2 Balance Liabilities'!K61)</f>
        <v>#VALUE!</v>
      </c>
    </row>
    <row r="38" customFormat="false" ht="15" hidden="false" customHeight="false" outlineLevel="0" collapsed="false">
      <c r="C38" s="1657"/>
      <c r="D38" s="1772"/>
      <c r="E38" s="1772"/>
      <c r="F38" s="1772"/>
      <c r="G38" s="1772"/>
      <c r="H38" s="1772"/>
      <c r="I38" s="1772"/>
      <c r="J38" s="1772"/>
      <c r="K38" s="1882"/>
    </row>
    <row r="39" customFormat="false" ht="15" hidden="false" customHeight="false" outlineLevel="0" collapsed="false">
      <c r="A39" s="52" t="s">
        <v>1080</v>
      </c>
      <c r="C39" s="1943" t="e">
        <f aca="false">IF('7.5.2 Fin. Income &amp; Expenses '!E76=0,0,(('7.7 P&amp;L'!C36+'7.5.2 Fin. Income &amp; Expenses '!E76)/'7.5.2 Fin. Income &amp; Expenses '!E76))</f>
        <v>#VALUE!</v>
      </c>
      <c r="D39" s="1944"/>
      <c r="E39" s="1944" t="e">
        <f aca="false">IF('7.5.2 Fin. Income &amp; Expenses '!G76=0,0,(('7.7 P&amp;L'!E36+'7.5.2 Fin. Income &amp; Expenses '!G76)/'7.5.2 Fin. Income &amp; Expenses '!G76))</f>
        <v>#VALUE!</v>
      </c>
      <c r="F39" s="1944"/>
      <c r="G39" s="1944" t="e">
        <f aca="false">IF('7.5.2 Fin. Income &amp; Expenses '!I76=0,0,(('7.7 P&amp;L'!G36+'7.5.2 Fin. Income &amp; Expenses '!I76)/'7.5.2 Fin. Income &amp; Expenses '!I76))</f>
        <v>#VALUE!</v>
      </c>
      <c r="H39" s="1944"/>
      <c r="I39" s="1944" t="e">
        <f aca="false">IF('7.5.2 Fin. Income &amp; Expenses '!K76=0,0,(('7.7 P&amp;L'!I36+'7.5.2 Fin. Income &amp; Expenses '!K76)/'7.5.2 Fin. Income &amp; Expenses '!K76))</f>
        <v>#VALUE!</v>
      </c>
      <c r="J39" s="1944"/>
      <c r="K39" s="1945" t="e">
        <f aca="false">IF('7.5.2 Fin. Income &amp; Expenses '!M76=0,0,(('7.7 P&amp;L'!K36+'7.5.2 Fin. Income &amp; Expenses '!M76)/'7.5.2 Fin. Income &amp; Expenses '!M76))</f>
        <v>#VALUE!</v>
      </c>
    </row>
    <row r="40" customFormat="false" ht="15" hidden="false" customHeight="false" outlineLevel="0" collapsed="false">
      <c r="C40" s="1657"/>
      <c r="D40" s="1772"/>
      <c r="E40" s="1772"/>
      <c r="F40" s="1772"/>
      <c r="G40" s="1772"/>
      <c r="H40" s="1772"/>
      <c r="I40" s="1772"/>
      <c r="J40" s="1772"/>
      <c r="K40" s="1882"/>
    </row>
    <row r="41" customFormat="false" ht="15" hidden="false" customHeight="false" outlineLevel="0" collapsed="false">
      <c r="A41" s="52" t="s">
        <v>1081</v>
      </c>
      <c r="C41" s="1931" t="e">
        <f aca="false">IF(('7.7 P&amp;L'!C13+'7.6.1 Activity contribution'!I25)=0,0,'7.4.1 Salaries &amp; Wages'!C172/('7.7 P&amp;L'!C13+'7.6.1 Activity contribution'!I25))</f>
        <v>#VALUE!</v>
      </c>
      <c r="D41" s="1929"/>
      <c r="E41" s="1929" t="e">
        <f aca="false">IF(('7.7 P&amp;L'!E13+'7.6.1 Activity contribution'!I102)=0,0,'7.4.1 Salaries &amp; Wages'!E172/('7.7 P&amp;L'!E13+'7.6.1 Activity contribution'!I102))</f>
        <v>#VALUE!</v>
      </c>
      <c r="F41" s="1929"/>
      <c r="G41" s="1929" t="e">
        <f aca="false">IF(('7.7 P&amp;L'!G13+'7.6.1 Activity contribution'!I179)=0,0,'7.4.1 Salaries &amp; Wages'!G172/('7.7 P&amp;L'!G13+'7.6.1 Activity contribution'!I179))</f>
        <v>#VALUE!</v>
      </c>
      <c r="H41" s="1929"/>
      <c r="I41" s="1929" t="e">
        <f aca="false">IF(('7.7 P&amp;L'!I13+'7.6.1 Activity contribution'!I256)=0,0,'7.4.1 Salaries &amp; Wages'!I172/('7.7 P&amp;L'!I13+'7.6.1 Activity contribution'!I256))</f>
        <v>#VALUE!</v>
      </c>
      <c r="J41" s="1929"/>
      <c r="K41" s="1930" t="e">
        <f aca="false">IF(('7.7 P&amp;L'!K13+'7.6.1 Activity contribution'!I333)=0,0,'7.4.1 Salaries &amp; Wages'!K172/('7.7 P&amp;L'!K13+'7.6.1 Activity contribution'!I333))</f>
        <v>#VALUE!</v>
      </c>
    </row>
    <row r="42" customFormat="false" ht="15" hidden="false" customHeight="false" outlineLevel="0" collapsed="false">
      <c r="C42" s="1664"/>
      <c r="D42" s="1946"/>
      <c r="E42" s="1946"/>
      <c r="F42" s="1946"/>
      <c r="G42" s="1946"/>
      <c r="H42" s="1946"/>
      <c r="I42" s="1946"/>
      <c r="J42" s="1946"/>
      <c r="K42" s="1947"/>
    </row>
    <row r="43" customFormat="false" ht="15" hidden="false" customHeight="false" outlineLevel="0" collapsed="false">
      <c r="A43" s="257"/>
      <c r="B43" s="257"/>
      <c r="C43" s="663"/>
      <c r="D43" s="663"/>
      <c r="E43" s="663"/>
      <c r="F43" s="663"/>
      <c r="G43" s="663"/>
      <c r="H43" s="663"/>
      <c r="I43" s="663"/>
      <c r="J43" s="663"/>
      <c r="K43" s="663"/>
      <c r="L43" s="16"/>
    </row>
    <row r="44" customFormat="false" ht="15" hidden="false" customHeight="false" outlineLevel="0" collapsed="false">
      <c r="A44" s="107"/>
      <c r="B44" s="107"/>
      <c r="C44" s="1569"/>
      <c r="D44" s="1569"/>
      <c r="E44" s="1569"/>
      <c r="F44" s="1569"/>
      <c r="G44" s="1569"/>
      <c r="H44" s="1569"/>
      <c r="I44" s="1569"/>
      <c r="J44" s="1569"/>
      <c r="K44" s="1569"/>
    </row>
    <row r="45" customFormat="false" ht="21" hidden="false" customHeight="false" outlineLevel="0" collapsed="false">
      <c r="A45" s="1948" t="s">
        <v>1082</v>
      </c>
      <c r="B45" s="1892"/>
      <c r="C45" s="1579"/>
      <c r="D45" s="1579"/>
      <c r="E45" s="1579"/>
      <c r="F45" s="1579"/>
      <c r="G45" s="1949"/>
      <c r="H45" s="1579"/>
      <c r="I45" s="1579"/>
      <c r="J45" s="1579"/>
      <c r="K45" s="1950"/>
    </row>
    <row r="46" customFormat="false" ht="15" hidden="false" customHeight="false" outlineLevel="0" collapsed="false">
      <c r="C46" s="1653"/>
      <c r="D46" s="1885"/>
      <c r="E46" s="1885"/>
      <c r="F46" s="1885"/>
      <c r="G46" s="1885"/>
      <c r="H46" s="1885"/>
      <c r="I46" s="1885"/>
      <c r="J46" s="1885"/>
      <c r="K46" s="1884"/>
    </row>
    <row r="47" customFormat="false" ht="15" hidden="false" customHeight="false" outlineLevel="0" collapsed="false">
      <c r="A47" s="52" t="s">
        <v>1083</v>
      </c>
      <c r="C47" s="1931" t="n">
        <f aca="false">IF('7.2.3 Turnover Service &amp; Body'!C15=0,0,'7.2.3 Turnover Service &amp; Body'!C15)</f>
        <v>0.00450008783175006</v>
      </c>
      <c r="D47" s="1929"/>
      <c r="E47" s="1929" t="n">
        <f aca="false">'7.2.3 Turnover Service &amp; Body'!E15</f>
        <v>0</v>
      </c>
      <c r="F47" s="1929"/>
      <c r="G47" s="1929" t="n">
        <f aca="false">'7.2.3 Turnover Service &amp; Body'!G15</f>
        <v>0</v>
      </c>
      <c r="H47" s="1929"/>
      <c r="I47" s="1929" t="n">
        <f aca="false">'7.2.3 Turnover Service &amp; Body'!I15</f>
        <v>0</v>
      </c>
      <c r="J47" s="1929"/>
      <c r="K47" s="1930" t="n">
        <f aca="false">'7.2.3 Turnover Service &amp; Body'!K15</f>
        <v>0</v>
      </c>
    </row>
    <row r="48" customFormat="false" ht="15" hidden="false" customHeight="false" outlineLevel="0" collapsed="false">
      <c r="C48" s="1931"/>
      <c r="D48" s="1929"/>
      <c r="E48" s="1929"/>
      <c r="F48" s="1929"/>
      <c r="G48" s="1929"/>
      <c r="H48" s="1929"/>
      <c r="I48" s="1929"/>
      <c r="J48" s="1929"/>
      <c r="K48" s="1930"/>
    </row>
    <row r="49" customFormat="false" ht="15" hidden="false" customHeight="false" outlineLevel="0" collapsed="false">
      <c r="A49" s="52" t="s">
        <v>1084</v>
      </c>
      <c r="C49" s="1931" t="e">
        <f aca="false">'7.2.2 Turnover Parts'!C15</f>
        <v>#VALUE!</v>
      </c>
      <c r="D49" s="1929"/>
      <c r="E49" s="1929" t="n">
        <f aca="false">'7.2.2 Turnover Parts'!E15</f>
        <v>0</v>
      </c>
      <c r="F49" s="1929"/>
      <c r="G49" s="1929" t="n">
        <f aca="false">'7.2.2 Turnover Parts'!G15</f>
        <v>0</v>
      </c>
      <c r="H49" s="1929"/>
      <c r="I49" s="1929" t="n">
        <f aca="false">'7.2.2 Turnover Parts'!I15</f>
        <v>0</v>
      </c>
      <c r="J49" s="1929"/>
      <c r="K49" s="1930" t="n">
        <f aca="false">'7.2.2 Turnover Parts'!K15</f>
        <v>0</v>
      </c>
    </row>
    <row r="50" customFormat="false" ht="15" hidden="false" customHeight="false" outlineLevel="0" collapsed="false">
      <c r="C50" s="1931"/>
      <c r="D50" s="1929"/>
      <c r="E50" s="1929"/>
      <c r="F50" s="1929"/>
      <c r="G50" s="1929"/>
      <c r="H50" s="1929"/>
      <c r="I50" s="1929"/>
      <c r="J50" s="1929"/>
      <c r="K50" s="1930"/>
    </row>
    <row r="51" customFormat="false" ht="15" hidden="false" customHeight="false" outlineLevel="0" collapsed="false">
      <c r="A51" s="52" t="s">
        <v>1085</v>
      </c>
      <c r="C51" s="1931" t="n">
        <f aca="false">'7.2.3 Turnover Service &amp; Body'!C60</f>
        <v>0</v>
      </c>
      <c r="D51" s="1929"/>
      <c r="E51" s="1929" t="n">
        <f aca="false">'7.2.3 Turnover Service &amp; Body'!E60</f>
        <v>0</v>
      </c>
      <c r="F51" s="1929"/>
      <c r="G51" s="1929" t="n">
        <f aca="false">'7.2.3 Turnover Service &amp; Body'!G60</f>
        <v>0</v>
      </c>
      <c r="H51" s="1929"/>
      <c r="I51" s="1929" t="n">
        <f aca="false">'7.2.3 Turnover Service &amp; Body'!I60</f>
        <v>0</v>
      </c>
      <c r="J51" s="1929"/>
      <c r="K51" s="1930" t="n">
        <f aca="false">'7.2.3 Turnover Service &amp; Body'!K60</f>
        <v>0</v>
      </c>
    </row>
    <row r="52" customFormat="false" ht="15" hidden="false" customHeight="false" outlineLevel="0" collapsed="false">
      <c r="C52" s="1664"/>
      <c r="D52" s="1946"/>
      <c r="E52" s="1946"/>
      <c r="F52" s="1946"/>
      <c r="G52" s="1946"/>
      <c r="H52" s="1946"/>
      <c r="I52" s="1946"/>
      <c r="J52" s="1946"/>
      <c r="K52" s="1947"/>
    </row>
    <row r="53" customFormat="false" ht="15" hidden="false" customHeight="false" outlineLevel="0" collapsed="false">
      <c r="A53" s="257"/>
      <c r="B53" s="257"/>
      <c r="C53" s="663"/>
      <c r="D53" s="663"/>
      <c r="E53" s="663"/>
      <c r="F53" s="663"/>
      <c r="G53" s="663"/>
      <c r="H53" s="663"/>
      <c r="I53" s="663"/>
      <c r="J53" s="663"/>
      <c r="K53" s="663"/>
    </row>
    <row r="54" customFormat="false" ht="15" hidden="false" customHeight="false" outlineLevel="0" collapsed="false">
      <c r="A54" s="107"/>
      <c r="B54" s="107"/>
      <c r="C54" s="1569"/>
      <c r="D54" s="1569"/>
      <c r="E54" s="1569"/>
      <c r="F54" s="1569"/>
      <c r="G54" s="1569"/>
      <c r="H54" s="1569"/>
      <c r="I54" s="1569"/>
      <c r="J54" s="1569"/>
      <c r="K54" s="1569"/>
    </row>
    <row r="55" customFormat="false" ht="21" hidden="false" customHeight="false" outlineLevel="0" collapsed="false">
      <c r="A55" s="1948" t="s">
        <v>1086</v>
      </c>
      <c r="B55" s="1892"/>
      <c r="C55" s="1579"/>
      <c r="D55" s="1579"/>
      <c r="E55" s="1579"/>
      <c r="F55" s="1579"/>
      <c r="G55" s="1949"/>
      <c r="H55" s="1579"/>
      <c r="I55" s="1579"/>
      <c r="J55" s="1579"/>
      <c r="K55" s="1950"/>
    </row>
    <row r="56" customFormat="false" ht="15" hidden="false" customHeight="false" outlineLevel="0" collapsed="false">
      <c r="A56" s="506"/>
      <c r="B56" s="257"/>
      <c r="C56" s="1653"/>
      <c r="D56" s="1885"/>
      <c r="E56" s="1885"/>
      <c r="F56" s="1885"/>
      <c r="G56" s="1885"/>
      <c r="H56" s="1885"/>
      <c r="I56" s="1885"/>
      <c r="J56" s="1885"/>
      <c r="K56" s="1884"/>
    </row>
    <row r="57" customFormat="false" ht="15" hidden="false" customHeight="false" outlineLevel="0" collapsed="false">
      <c r="A57" s="562" t="s">
        <v>1087</v>
      </c>
      <c r="B57" s="67"/>
      <c r="C57" s="1669" t="e">
        <f aca="false">'7.6.1 Activity contribution'!I32</f>
        <v>#VALUE!</v>
      </c>
      <c r="D57" s="1889"/>
      <c r="E57" s="1690" t="e">
        <f aca="false">'7.6.1 Activity contribution'!I109</f>
        <v>#VALUE!</v>
      </c>
      <c r="F57" s="1889"/>
      <c r="G57" s="1690" t="e">
        <f aca="false">'7.6.1 Activity contribution'!I186</f>
        <v>#VALUE!</v>
      </c>
      <c r="H57" s="1889"/>
      <c r="I57" s="1690" t="e">
        <f aca="false">'7.6.1 Activity contribution'!I263</f>
        <v>#VALUE!</v>
      </c>
      <c r="J57" s="1889"/>
      <c r="K57" s="1689" t="e">
        <f aca="false">'7.6.1 Activity contribution'!I340</f>
        <v>#VALUE!</v>
      </c>
    </row>
    <row r="58" customFormat="false" ht="15" hidden="false" customHeight="false" outlineLevel="0" collapsed="false">
      <c r="A58" s="52" t="s">
        <v>1088</v>
      </c>
      <c r="C58" s="1661" t="n">
        <f aca="false">'7.6.1 Activity contribution'!B32+'7.6.1 Activity contribution'!C32+'7.6.1 Activity contribution'!D32</f>
        <v>0</v>
      </c>
      <c r="D58" s="1772"/>
      <c r="E58" s="1881" t="n">
        <f aca="false">'7.6.1 Activity contribution'!B109+'7.6.1 Activity contribution'!C109+'7.6.1 Activity contribution'!D109</f>
        <v>0</v>
      </c>
      <c r="F58" s="1772"/>
      <c r="G58" s="1881" t="n">
        <f aca="false">'7.6.1 Activity contribution'!B186+'7.6.1 Activity contribution'!C186+'7.6.1 Activity contribution'!D186</f>
        <v>0</v>
      </c>
      <c r="H58" s="1772"/>
      <c r="I58" s="1881" t="n">
        <f aca="false">'7.6.1 Activity contribution'!B263+'7.6.1 Activity contribution'!C263+'7.6.1 Activity contribution'!D263</f>
        <v>0</v>
      </c>
      <c r="J58" s="1772"/>
      <c r="K58" s="1717" t="n">
        <f aca="false">'7.6.1 Activity contribution'!B340+'7.6.1 Activity contribution'!C340+'7.6.1 Activity contribution'!D340</f>
        <v>0</v>
      </c>
    </row>
    <row r="59" customFormat="false" ht="15" hidden="false" customHeight="false" outlineLevel="0" collapsed="false">
      <c r="A59" s="52" t="s">
        <v>1089</v>
      </c>
      <c r="C59" s="1661" t="n">
        <f aca="false">IF('7.2.3 Turnover Service &amp; Body'!C61=0,0,('7.2.2 Turnover Parts'!C28+'7.2.3 Turnover Service &amp; Body'!C39+'7.2.3 Turnover Service &amp; Body'!C40)-('7.3 Cost of sales'!C78+'7.3 Cost of sales'!C79)-(('7.4.1 Salaries &amp; Wages'!C78/'7.2.3 Turnover Service &amp; Body'!C61)*'7.2.3 Turnover Service &amp; Body'!C26))</f>
        <v>0</v>
      </c>
      <c r="D59" s="1772"/>
      <c r="E59" s="1881" t="n">
        <f aca="false">IF('7.2.3 Turnover Service &amp; Body'!E61=0,0,('7.2.2 Turnover Parts'!E28+'7.2.3 Turnover Service &amp; Body'!E39+'7.2.3 Turnover Service &amp; Body'!E40)-('7.3 Cost of sales'!E78+'7.3 Cost of sales'!E79)-(('7.4.1 Salaries &amp; Wages'!E78/'7.2.3 Turnover Service &amp; Body'!E61)*'7.2.3 Turnover Service &amp; Body'!E26))</f>
        <v>0</v>
      </c>
      <c r="F59" s="1772"/>
      <c r="G59" s="1881" t="n">
        <f aca="false">IF('7.2.3 Turnover Service &amp; Body'!G61=0,0,('7.2.2 Turnover Parts'!G28+'7.2.3 Turnover Service &amp; Body'!G39+'7.2.3 Turnover Service &amp; Body'!G40)-('7.3 Cost of sales'!G78+'7.3 Cost of sales'!G79)-(('7.4.1 Salaries &amp; Wages'!G78/'7.2.3 Turnover Service &amp; Body'!G61)*'7.2.3 Turnover Service &amp; Body'!G26))</f>
        <v>0</v>
      </c>
      <c r="H59" s="1772"/>
      <c r="I59" s="1881" t="n">
        <f aca="false">IF('7.2.3 Turnover Service &amp; Body'!I61=0,0,('7.2.2 Turnover Parts'!I28+'7.2.3 Turnover Service &amp; Body'!I39+'7.2.3 Turnover Service &amp; Body'!I40)-('7.3 Cost of sales'!I78+'7.3 Cost of sales'!I79)-(('7.4.1 Salaries &amp; Wages'!I78/'7.2.3 Turnover Service &amp; Body'!I61)*'7.2.3 Turnover Service &amp; Body'!I26))</f>
        <v>0</v>
      </c>
      <c r="J59" s="1772"/>
      <c r="K59" s="1951" t="n">
        <f aca="false">IF('7.2.3 Turnover Service &amp; Body'!K61=0,0,('7.2.2 Turnover Parts'!K28+'7.2.3 Turnover Service &amp; Body'!K39+'7.2.3 Turnover Service &amp; Body'!K40)-('7.3 Cost of sales'!K78+'7.3 Cost of sales'!K79)-(('7.4.1 Salaries &amp; Wages'!K78/'7.2.3 Turnover Service &amp; Body'!K61)*'7.2.3 Turnover Service &amp; Body'!K26))</f>
        <v>0</v>
      </c>
    </row>
    <row r="60" customFormat="false" ht="15" hidden="false" customHeight="false" outlineLevel="0" collapsed="false">
      <c r="A60" s="562" t="s">
        <v>1090</v>
      </c>
      <c r="B60" s="67"/>
      <c r="C60" s="1952" t="e">
        <f aca="false">C57-C58-C59</f>
        <v>#VALUE!</v>
      </c>
      <c r="D60" s="1889"/>
      <c r="E60" s="1952" t="e">
        <f aca="false">E57-E58-E59</f>
        <v>#VALUE!</v>
      </c>
      <c r="F60" s="1889"/>
      <c r="G60" s="1952" t="e">
        <f aca="false">G57-G58-G59</f>
        <v>#VALUE!</v>
      </c>
      <c r="H60" s="1889"/>
      <c r="I60" s="1952" t="e">
        <f aca="false">I57-I58-I59</f>
        <v>#VALUE!</v>
      </c>
      <c r="J60" s="1889"/>
      <c r="K60" s="1952" t="e">
        <f aca="false">K57-K58-K59</f>
        <v>#VALUE!</v>
      </c>
    </row>
    <row r="61" customFormat="false" ht="15" hidden="false" customHeight="false" outlineLevel="0" collapsed="false">
      <c r="C61" s="1661"/>
      <c r="D61" s="1772"/>
      <c r="E61" s="1881"/>
      <c r="F61" s="1772"/>
      <c r="G61" s="1881"/>
      <c r="H61" s="1772"/>
      <c r="I61" s="1881"/>
      <c r="J61" s="1772"/>
      <c r="K61" s="1717"/>
    </row>
    <row r="62" customFormat="false" ht="15" hidden="false" customHeight="false" outlineLevel="0" collapsed="false">
      <c r="A62" s="562" t="s">
        <v>1010</v>
      </c>
      <c r="C62" s="1661" t="n">
        <f aca="false">'7.6.1 Activity contribution'!I35</f>
        <v>650</v>
      </c>
      <c r="D62" s="1772"/>
      <c r="E62" s="1881" t="n">
        <f aca="false">'7.6.1 Activity contribution'!I112</f>
        <v>0</v>
      </c>
      <c r="F62" s="1772"/>
      <c r="G62" s="1881" t="n">
        <f aca="false">'7.6.1 Activity contribution'!I189</f>
        <v>0</v>
      </c>
      <c r="H62" s="1772"/>
      <c r="I62" s="1881" t="n">
        <f aca="false">'7.6.1 Activity contribution'!I266</f>
        <v>0</v>
      </c>
      <c r="J62" s="1772"/>
      <c r="K62" s="1717" t="n">
        <f aca="false">'7.6.1 Activity contribution'!I343</f>
        <v>0</v>
      </c>
    </row>
    <row r="63" customFormat="false" ht="15" hidden="false" customHeight="false" outlineLevel="0" collapsed="false">
      <c r="C63" s="1661"/>
      <c r="D63" s="1772"/>
      <c r="E63" s="1881"/>
      <c r="F63" s="1772"/>
      <c r="G63" s="1881"/>
      <c r="H63" s="1772"/>
      <c r="I63" s="1881"/>
      <c r="J63" s="1772"/>
      <c r="K63" s="1717"/>
    </row>
    <row r="64" customFormat="false" ht="15" hidden="false" customHeight="false" outlineLevel="0" collapsed="false">
      <c r="A64" s="52" t="s">
        <v>986</v>
      </c>
      <c r="C64" s="1661" t="n">
        <f aca="false">'7.6.1 Activity contribution'!H37</f>
        <v>30192</v>
      </c>
      <c r="D64" s="1772"/>
      <c r="E64" s="1881" t="n">
        <f aca="false">'7.6.1 Activity contribution'!H114</f>
        <v>32003.52</v>
      </c>
      <c r="F64" s="1772"/>
      <c r="G64" s="1881" t="n">
        <f aca="false">'7.6.1 Activity contribution'!H191</f>
        <v>42404.664</v>
      </c>
      <c r="H64" s="1772"/>
      <c r="I64" s="1881" t="n">
        <f aca="false">'7.6.1 Activity contribution'!H268</f>
        <v>53938.732608</v>
      </c>
      <c r="J64" s="1772"/>
      <c r="K64" s="1717" t="n">
        <f aca="false">'7.6.1 Activity contribution'!H345</f>
        <v>57175.05656448</v>
      </c>
    </row>
    <row r="65" customFormat="false" ht="15" hidden="false" customHeight="false" outlineLevel="0" collapsed="false">
      <c r="A65" s="52" t="s">
        <v>1017</v>
      </c>
      <c r="C65" s="1661" t="n">
        <f aca="false">'7.6.1 Activity contribution'!H58</f>
        <v>385532</v>
      </c>
      <c r="D65" s="1772"/>
      <c r="E65" s="1881" t="n">
        <f aca="false">'7.6.1 Activity contribution'!H135</f>
        <v>363742</v>
      </c>
      <c r="F65" s="1772"/>
      <c r="G65" s="1881" t="n">
        <f aca="false">'7.6.1 Activity contribution'!H212</f>
        <v>341160</v>
      </c>
      <c r="H65" s="1772"/>
      <c r="I65" s="1881" t="n">
        <f aca="false">'7.6.1 Activity contribution'!H289</f>
        <v>346968</v>
      </c>
      <c r="J65" s="1772"/>
      <c r="K65" s="1717" t="n">
        <f aca="false">'7.6.1 Activity contribution'!H366</f>
        <v>353418</v>
      </c>
    </row>
    <row r="66" customFormat="false" ht="15" hidden="false" customHeight="false" outlineLevel="0" collapsed="false">
      <c r="A66" s="52" t="s">
        <v>1091</v>
      </c>
      <c r="C66" s="1661" t="n">
        <f aca="false">'7.6.1 Activity contribution'!H60</f>
        <v>128048.333333333</v>
      </c>
      <c r="D66" s="1772"/>
      <c r="E66" s="1881" t="n">
        <f aca="false">'7.6.1 Activity contribution'!H137</f>
        <v>119808.6</v>
      </c>
      <c r="F66" s="1772"/>
      <c r="G66" s="1881" t="n">
        <f aca="false">'7.6.1 Activity contribution'!H214</f>
        <v>117009.6</v>
      </c>
      <c r="H66" s="1772"/>
      <c r="I66" s="1881" t="n">
        <f aca="false">'7.6.1 Activity contribution'!H291</f>
        <v>58425.8</v>
      </c>
      <c r="J66" s="1772"/>
      <c r="K66" s="1717" t="n">
        <f aca="false">'7.6.1 Activity contribution'!H368</f>
        <v>59971</v>
      </c>
    </row>
    <row r="67" customFormat="false" ht="15" hidden="false" customHeight="false" outlineLevel="0" collapsed="false">
      <c r="A67" s="562" t="s">
        <v>1092</v>
      </c>
      <c r="B67" s="67"/>
      <c r="C67" s="1669" t="n">
        <f aca="false">SUM(C62:C66)</f>
        <v>544422.333333333</v>
      </c>
      <c r="D67" s="1889"/>
      <c r="E67" s="1690" t="n">
        <f aca="false">SUM(E62:E66)</f>
        <v>515554.12</v>
      </c>
      <c r="F67" s="1889"/>
      <c r="G67" s="1690" t="n">
        <f aca="false">SUM(G62:G66)</f>
        <v>500574.264</v>
      </c>
      <c r="H67" s="1889"/>
      <c r="I67" s="1690" t="n">
        <f aca="false">SUM(I62:I66)</f>
        <v>459332.532608</v>
      </c>
      <c r="J67" s="1889"/>
      <c r="K67" s="1689" t="n">
        <f aca="false">SUM(K62:K66)</f>
        <v>470564.05656448</v>
      </c>
    </row>
    <row r="68" customFormat="false" ht="15" hidden="false" customHeight="false" outlineLevel="0" collapsed="false">
      <c r="C68" s="1657"/>
      <c r="D68" s="1772"/>
      <c r="E68" s="1772"/>
      <c r="F68" s="1772"/>
      <c r="G68" s="1772"/>
      <c r="H68" s="1772"/>
      <c r="I68" s="1772"/>
      <c r="J68" s="1772"/>
      <c r="K68" s="1882"/>
    </row>
    <row r="69" customFormat="false" ht="15" hidden="false" customHeight="false" outlineLevel="0" collapsed="false">
      <c r="A69" s="562" t="s">
        <v>1093</v>
      </c>
      <c r="B69" s="67"/>
      <c r="C69" s="1952" t="n">
        <f aca="false">C67-C62</f>
        <v>543772.333333333</v>
      </c>
      <c r="D69" s="1889"/>
      <c r="E69" s="1952" t="n">
        <f aca="false">E67-E62</f>
        <v>515554.12</v>
      </c>
      <c r="F69" s="1889"/>
      <c r="G69" s="1952" t="n">
        <f aca="false">G67-G62</f>
        <v>500574.264</v>
      </c>
      <c r="H69" s="1889"/>
      <c r="I69" s="1952" t="n">
        <f aca="false">I67-I62</f>
        <v>459332.532608</v>
      </c>
      <c r="J69" s="1889"/>
      <c r="K69" s="1952" t="n">
        <f aca="false">K67-K62</f>
        <v>470564.05656448</v>
      </c>
    </row>
    <row r="70" customFormat="false" ht="15" hidden="false" customHeight="false" outlineLevel="0" collapsed="false">
      <c r="A70" s="562"/>
      <c r="B70" s="67"/>
      <c r="C70" s="1669"/>
      <c r="D70" s="1889"/>
      <c r="E70" s="1690"/>
      <c r="F70" s="1889"/>
      <c r="G70" s="1690"/>
      <c r="H70" s="1889"/>
      <c r="I70" s="1690"/>
      <c r="J70" s="1889"/>
      <c r="K70" s="1689"/>
    </row>
    <row r="71" customFormat="false" ht="15" hidden="false" customHeight="false" outlineLevel="0" collapsed="false">
      <c r="A71" s="562" t="s">
        <v>1094</v>
      </c>
      <c r="B71" s="67"/>
      <c r="C71" s="1669" t="n">
        <f aca="false">'7.6.1 Activity contribution'!B69+'7.6.1 Activity contribution'!C69+'7.6.1 Activity contribution'!D69</f>
        <v>0</v>
      </c>
      <c r="D71" s="1889"/>
      <c r="E71" s="1690" t="n">
        <f aca="false">'7.6.1 Activity contribution'!B146+'7.6.1 Activity contribution'!C146+'7.6.1 Activity contribution'!D146</f>
        <v>0</v>
      </c>
      <c r="F71" s="1889"/>
      <c r="G71" s="1690" t="n">
        <f aca="false">'7.6.1 Activity contribution'!B223+'7.6.1 Activity contribution'!C223+'7.6.1 Activity contribution'!D223</f>
        <v>0</v>
      </c>
      <c r="H71" s="1889"/>
      <c r="I71" s="1690" t="e">
        <f aca="false">'7.6.1 Activity contribution'!B300+'7.6.1 Activity contribution'!C300+'7.6.1 Activity contribution'!D300</f>
        <v>#VALUE!</v>
      </c>
      <c r="J71" s="1889"/>
      <c r="K71" s="1689" t="n">
        <f aca="false">'7.6.1 Activity contribution'!B377+'7.6.1 Activity contribution'!C377+'7.6.1 Activity contribution'!D377</f>
        <v>0</v>
      </c>
    </row>
    <row r="72" customFormat="false" ht="15" hidden="false" customHeight="false" outlineLevel="0" collapsed="false">
      <c r="A72" s="562"/>
      <c r="B72" s="67"/>
      <c r="C72" s="1669"/>
      <c r="D72" s="1889"/>
      <c r="E72" s="1690"/>
      <c r="F72" s="1889"/>
      <c r="G72" s="1690"/>
      <c r="H72" s="1889"/>
      <c r="I72" s="1690"/>
      <c r="J72" s="1889"/>
      <c r="K72" s="1689"/>
    </row>
    <row r="73" customFormat="false" ht="18" hidden="false" customHeight="false" outlineLevel="0" collapsed="false">
      <c r="A73" s="562" t="s">
        <v>1095</v>
      </c>
      <c r="B73" s="65"/>
      <c r="C73" s="1953" t="e">
        <f aca="false">IF(C69=0,0,C60/C69)</f>
        <v>#VALUE!</v>
      </c>
      <c r="D73" s="1954"/>
      <c r="E73" s="1954" t="e">
        <f aca="false">IF(E69=0,0,E60/E69)</f>
        <v>#VALUE!</v>
      </c>
      <c r="F73" s="1954"/>
      <c r="G73" s="1954" t="e">
        <f aca="false">IF(G69=0,0,G60/G69)</f>
        <v>#VALUE!</v>
      </c>
      <c r="H73" s="1954"/>
      <c r="I73" s="1954" t="e">
        <f aca="false">IF(I69=0,0,I60/I69)</f>
        <v>#VALUE!</v>
      </c>
      <c r="J73" s="1954"/>
      <c r="K73" s="1955" t="e">
        <f aca="false">IF(K69=0,0,K60/K69)</f>
        <v>#VALUE!</v>
      </c>
    </row>
    <row r="74" customFormat="false" ht="18" hidden="false" customHeight="false" outlineLevel="0" collapsed="false">
      <c r="A74" s="562" t="s">
        <v>1096</v>
      </c>
      <c r="B74" s="65"/>
      <c r="C74" s="1953" t="e">
        <f aca="false">IF((C69+C71)=0,0,C60/(C69+C71))</f>
        <v>#VALUE!</v>
      </c>
      <c r="D74" s="1954"/>
      <c r="E74" s="1954" t="e">
        <f aca="false">IF((E69+E71)=0,0,E60/(E69+E71))</f>
        <v>#VALUE!</v>
      </c>
      <c r="F74" s="1954"/>
      <c r="G74" s="1954" t="e">
        <f aca="false">IF((G69+G71)=0,0,G60/(G69+G71))</f>
        <v>#VALUE!</v>
      </c>
      <c r="H74" s="1954"/>
      <c r="I74" s="1954" t="e">
        <f aca="false">IF((I69+I71)=0,0,I60/(I69+I71))</f>
        <v>#VALUE!</v>
      </c>
      <c r="J74" s="1954"/>
      <c r="K74" s="1955" t="e">
        <f aca="false">IF((K69+K71)=0,0,K60/(K69+K71))</f>
        <v>#VALUE!</v>
      </c>
    </row>
    <row r="75" customFormat="false" ht="15" hidden="false" customHeight="false" outlineLevel="0" collapsed="false">
      <c r="A75" s="82"/>
      <c r="B75" s="107"/>
      <c r="C75" s="1665"/>
      <c r="D75" s="1946"/>
      <c r="E75" s="1946"/>
      <c r="F75" s="1946"/>
      <c r="G75" s="1946"/>
      <c r="H75" s="1946"/>
      <c r="I75" s="1946"/>
      <c r="J75" s="1946"/>
      <c r="K75" s="1947"/>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59.xml><?xml version="1.0" encoding="utf-8"?>
<worksheet xmlns="http://schemas.openxmlformats.org/spreadsheetml/2006/main" xmlns:r="http://schemas.openxmlformats.org/officeDocument/2006/relationships">
  <sheetPr filterMode="false">
    <tabColor rgb="FFC0C0C0"/>
    <pageSetUpPr fitToPage="true"/>
  </sheetPr>
  <dimension ref="A1:K59"/>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pane xSplit="0" ySplit="5" topLeftCell="A6" activePane="bottomLeft" state="frozen"/>
      <selection pane="topLeft" activeCell="A1" activeCellId="0" sqref="A1"/>
      <selection pane="bottomLeft" activeCell="K37" activeCellId="0" sqref="K37"/>
    </sheetView>
  </sheetViews>
  <sheetFormatPr defaultRowHeight="15" zeroHeight="true" outlineLevelRow="0" outlineLevelCol="0"/>
  <cols>
    <col collapsed="false" customWidth="true" hidden="false" outlineLevel="0" max="1" min="1" style="172" width="21.43"/>
    <col collapsed="false" customWidth="true" hidden="false" outlineLevel="0" max="2" min="2" style="172" width="44.42"/>
    <col collapsed="false" customWidth="true" hidden="false" outlineLevel="0" max="3" min="3" style="172" width="17.71"/>
    <col collapsed="false" customWidth="true" hidden="false" outlineLevel="0" max="4" min="4" style="172" width="8.42"/>
    <col collapsed="false" customWidth="true" hidden="false" outlineLevel="0" max="5" min="5" style="172" width="17.71"/>
    <col collapsed="false" customWidth="true" hidden="false" outlineLevel="0" max="6" min="6" style="172" width="7.57"/>
    <col collapsed="false" customWidth="true" hidden="false" outlineLevel="0" max="7" min="7" style="172" width="17.71"/>
    <col collapsed="false" customWidth="true" hidden="false" outlineLevel="0" max="8" min="8" style="172" width="8.57"/>
    <col collapsed="false" customWidth="true" hidden="false" outlineLevel="0" max="9" min="9" style="172" width="17.71"/>
    <col collapsed="false" customWidth="true" hidden="false" outlineLevel="0" max="10" min="10" style="172" width="10.58"/>
    <col collapsed="false" customWidth="true" hidden="false" outlineLevel="0" max="11" min="11" style="172" width="17.71"/>
    <col collapsed="false" customWidth="true" hidden="false" outlineLevel="0" max="12" min="12" style="172" width="2.14"/>
    <col collapsed="false" customWidth="true" hidden="true" outlineLevel="0" max="1025" min="13" style="172" width="9.14"/>
  </cols>
  <sheetData>
    <row r="1" customFormat="false" ht="28.5" hidden="false" customHeight="false" outlineLevel="0" collapsed="false">
      <c r="A1" s="5" t="s">
        <v>525</v>
      </c>
      <c r="B1" s="6"/>
      <c r="C1" s="6"/>
      <c r="D1" s="6"/>
      <c r="E1" s="6"/>
      <c r="F1" s="6"/>
      <c r="G1" s="6"/>
      <c r="H1" s="6"/>
      <c r="I1" s="6"/>
      <c r="J1" s="6"/>
      <c r="K1" s="8" t="s">
        <v>1097</v>
      </c>
    </row>
    <row r="2" customFormat="false" ht="15" hidden="false" customHeight="false" outlineLevel="0" collapsed="false">
      <c r="A2" s="1"/>
      <c r="B2" s="2"/>
      <c r="C2" s="2"/>
      <c r="D2" s="2"/>
      <c r="E2" s="1070"/>
      <c r="F2" s="2"/>
      <c r="G2" s="2"/>
      <c r="H2" s="2"/>
      <c r="I2" s="2"/>
      <c r="J2" s="2"/>
      <c r="K2" s="1071"/>
    </row>
    <row r="3" customFormat="false" ht="18" hidden="false" customHeight="false" outlineLevel="0" collapsed="false">
      <c r="A3" s="17" t="s">
        <v>34</v>
      </c>
      <c r="B3" s="1788" t="str">
        <f aca="false">'Reference sheet'!C12</f>
        <v>TEST</v>
      </c>
      <c r="C3" s="1073"/>
      <c r="D3" s="2"/>
      <c r="E3" s="1074" t="s">
        <v>46</v>
      </c>
      <c r="F3" s="25" t="n">
        <f aca="false">'Reference sheet'!C15</f>
        <v>1</v>
      </c>
      <c r="G3" s="1075" t="s">
        <v>49</v>
      </c>
      <c r="H3" s="1076" t="str">
        <f aca="false">'Reference sheet'!C17</f>
        <v>July</v>
      </c>
      <c r="I3" s="29"/>
      <c r="J3" s="29" t="s">
        <v>527</v>
      </c>
      <c r="K3" s="1078" t="str">
        <f aca="false">'Reference sheet'!C21</f>
        <v>EUR</v>
      </c>
    </row>
    <row r="4" customFormat="false" ht="15" hidden="false" customHeight="false" outlineLevel="0" collapsed="false">
      <c r="A4" s="1"/>
      <c r="B4" s="225"/>
      <c r="C4" s="1956" t="s">
        <v>901</v>
      </c>
      <c r="D4" s="1956"/>
      <c r="E4" s="2"/>
      <c r="F4" s="2"/>
      <c r="G4" s="226"/>
      <c r="H4" s="2"/>
      <c r="I4" s="2"/>
      <c r="J4" s="2"/>
      <c r="K4" s="1079"/>
    </row>
    <row r="5" customFormat="false" ht="15" hidden="false" customHeight="false" outlineLevel="0" collapsed="false">
      <c r="A5" s="1"/>
      <c r="B5" s="225"/>
      <c r="C5" s="1957" t="n">
        <f aca="false">+'7.1 Dealer area'!C5</f>
        <v>2019</v>
      </c>
      <c r="D5" s="1083"/>
      <c r="E5" s="1271" t="n">
        <f aca="false">+'7.1 Dealer area'!E5</f>
        <v>2020</v>
      </c>
      <c r="F5" s="1082"/>
      <c r="G5" s="1271" t="n">
        <f aca="false">+'7.1 Dealer area'!G5</f>
        <v>2021</v>
      </c>
      <c r="H5" s="1083"/>
      <c r="I5" s="1271" t="n">
        <f aca="false">+'7.1 Dealer area'!I5</f>
        <v>2022</v>
      </c>
      <c r="J5" s="1083"/>
      <c r="K5" s="1271" t="n">
        <f aca="false">+'7.1 Dealer area'!K5</f>
        <v>2023</v>
      </c>
    </row>
    <row r="6" s="1961" customFormat="true" ht="18.75" hidden="false" customHeight="false" outlineLevel="0" collapsed="false">
      <c r="A6" s="1084" t="s">
        <v>1098</v>
      </c>
      <c r="B6" s="212"/>
      <c r="C6" s="1958"/>
      <c r="D6" s="1099"/>
      <c r="E6" s="1959"/>
      <c r="F6" s="1959"/>
      <c r="G6" s="1959"/>
      <c r="H6" s="1959"/>
      <c r="I6" s="1959"/>
      <c r="J6" s="1959"/>
      <c r="K6" s="1960"/>
    </row>
    <row r="7" customFormat="false" ht="15" hidden="false" customHeight="false" outlineLevel="0" collapsed="false">
      <c r="A7" s="1"/>
      <c r="B7" s="3"/>
      <c r="C7" s="1962"/>
      <c r="D7" s="217"/>
      <c r="E7" s="1963"/>
      <c r="F7" s="1963"/>
      <c r="G7" s="1963"/>
      <c r="H7" s="1963"/>
      <c r="I7" s="1963"/>
      <c r="J7" s="1963"/>
      <c r="K7" s="1964"/>
    </row>
    <row r="8" customFormat="false" ht="15" hidden="false" customHeight="false" outlineLevel="0" collapsed="false">
      <c r="A8" s="1112" t="s">
        <v>1099</v>
      </c>
      <c r="B8" s="3"/>
      <c r="C8" s="1962"/>
      <c r="D8" s="217"/>
      <c r="E8" s="217"/>
      <c r="F8" s="217"/>
      <c r="G8" s="217"/>
      <c r="H8" s="217"/>
      <c r="I8" s="217"/>
      <c r="J8" s="217"/>
      <c r="K8" s="218"/>
    </row>
    <row r="9" customFormat="false" ht="15" hidden="false" customHeight="false" outlineLevel="0" collapsed="false">
      <c r="A9" s="1" t="s">
        <v>1100</v>
      </c>
      <c r="B9" s="3"/>
      <c r="C9" s="1965" t="e">
        <f aca="false">'7.7 P&amp;L'!C42</f>
        <v>#VALUE!</v>
      </c>
      <c r="D9" s="217"/>
      <c r="E9" s="1966" t="e">
        <f aca="false">'7.7 P&amp;L'!E42</f>
        <v>#VALUE!</v>
      </c>
      <c r="F9" s="217"/>
      <c r="G9" s="1966" t="e">
        <f aca="false">'7.7 P&amp;L'!G42</f>
        <v>#VALUE!</v>
      </c>
      <c r="H9" s="217"/>
      <c r="I9" s="1966" t="e">
        <f aca="false">'7.7 P&amp;L'!I42</f>
        <v>#VALUE!</v>
      </c>
      <c r="J9" s="217"/>
      <c r="K9" s="1967" t="e">
        <f aca="false">'7.7 P&amp;L'!K42</f>
        <v>#VALUE!</v>
      </c>
    </row>
    <row r="10" customFormat="false" ht="15" hidden="false" customHeight="false" outlineLevel="0" collapsed="false">
      <c r="A10" s="1" t="s">
        <v>1101</v>
      </c>
      <c r="B10" s="3"/>
      <c r="C10" s="1965" t="n">
        <f aca="false">'7.4.3 Inv. &amp; Depr.'!D121+'7.4.3 Inv. &amp; Depr.'!D131</f>
        <v>128048.333333333</v>
      </c>
      <c r="D10" s="217"/>
      <c r="E10" s="1966" t="n">
        <f aca="false">'7.4.3 Inv. &amp; Depr.'!F121+'7.4.3 Inv. &amp; Depr.'!F131</f>
        <v>119808.6</v>
      </c>
      <c r="F10" s="1966"/>
      <c r="G10" s="1966" t="n">
        <f aca="false">'7.4.3 Inv. &amp; Depr.'!H121+'7.4.3 Inv. &amp; Depr.'!H131</f>
        <v>117009.6</v>
      </c>
      <c r="H10" s="1966"/>
      <c r="I10" s="1966" t="n">
        <f aca="false">'7.4.3 Inv. &amp; Depr.'!J121+'7.4.3 Inv. &amp; Depr.'!J131</f>
        <v>58425.8</v>
      </c>
      <c r="J10" s="1966"/>
      <c r="K10" s="1967" t="n">
        <f aca="false">'7.4.3 Inv. &amp; Depr.'!L121+'7.4.3 Inv. &amp; Depr.'!L131</f>
        <v>59971</v>
      </c>
    </row>
    <row r="11" s="1961" customFormat="true" ht="15" hidden="false" customHeight="false" outlineLevel="0" collapsed="false">
      <c r="A11" s="1112" t="s">
        <v>1102</v>
      </c>
      <c r="B11" s="1968"/>
      <c r="C11" s="1969" t="e">
        <f aca="false">SUM(C9:C10)</f>
        <v>#VALUE!</v>
      </c>
      <c r="D11" s="1283"/>
      <c r="E11" s="1286" t="e">
        <f aca="false">SUM(E9:E10)</f>
        <v>#VALUE!</v>
      </c>
      <c r="F11" s="1283"/>
      <c r="G11" s="1286" t="e">
        <f aca="false">SUM(G9:G10)</f>
        <v>#VALUE!</v>
      </c>
      <c r="H11" s="1283"/>
      <c r="I11" s="1286" t="e">
        <f aca="false">SUM(I9:I10)</f>
        <v>#VALUE!</v>
      </c>
      <c r="J11" s="1283"/>
      <c r="K11" s="1284" t="e">
        <f aca="false">SUM(K9:K10)</f>
        <v>#VALUE!</v>
      </c>
    </row>
    <row r="12" customFormat="false" ht="15" hidden="false" customHeight="false" outlineLevel="0" collapsed="false">
      <c r="A12" s="1112"/>
      <c r="B12" s="3"/>
      <c r="C12" s="1962"/>
      <c r="D12" s="217"/>
      <c r="E12" s="217"/>
      <c r="F12" s="217"/>
      <c r="G12" s="217"/>
      <c r="H12" s="217"/>
      <c r="I12" s="217"/>
      <c r="J12" s="217"/>
      <c r="K12" s="218"/>
    </row>
    <row r="13" customFormat="false" ht="15" hidden="false" customHeight="false" outlineLevel="0" collapsed="false">
      <c r="A13" s="1112" t="s">
        <v>1103</v>
      </c>
      <c r="B13" s="3"/>
      <c r="C13" s="1965" t="n">
        <f aca="false">'7.4.3 Inv. &amp; Depr.'!D132-'7.4.3 Inv. &amp; Depr.'!B132</f>
        <v>0</v>
      </c>
      <c r="D13" s="1965"/>
      <c r="E13" s="1966" t="n">
        <f aca="false">'7.4.3 Inv. &amp; Depr.'!F132-'7.4.3 Inv. &amp; Depr.'!D132</f>
        <v>0</v>
      </c>
      <c r="F13" s="1966"/>
      <c r="G13" s="1966" t="n">
        <f aca="false">'7.4.3 Inv. &amp; Depr.'!H132-'7.4.3 Inv. &amp; Depr.'!F132</f>
        <v>0</v>
      </c>
      <c r="H13" s="1966"/>
      <c r="I13" s="1966" t="n">
        <f aca="false">'7.4.3 Inv. &amp; Depr.'!J132-'7.4.3 Inv. &amp; Depr.'!H132</f>
        <v>0</v>
      </c>
      <c r="J13" s="1966"/>
      <c r="K13" s="1967" t="n">
        <f aca="false">'7.4.3 Inv. &amp; Depr.'!L132-'7.4.3 Inv. &amp; Depr.'!J132</f>
        <v>0</v>
      </c>
    </row>
    <row r="14" customFormat="false" ht="15" hidden="false" customHeight="false" outlineLevel="0" collapsed="false">
      <c r="A14" s="1112"/>
      <c r="B14" s="3"/>
      <c r="C14" s="1962"/>
      <c r="D14" s="217"/>
      <c r="E14" s="217"/>
      <c r="F14" s="217"/>
      <c r="G14" s="217"/>
      <c r="H14" s="217"/>
      <c r="I14" s="217"/>
      <c r="J14" s="217"/>
      <c r="K14" s="218"/>
    </row>
    <row r="15" customFormat="false" ht="15" hidden="false" customHeight="false" outlineLevel="0" collapsed="false">
      <c r="A15" s="1114" t="s">
        <v>1104</v>
      </c>
      <c r="B15" s="1970"/>
      <c r="C15" s="1962"/>
      <c r="D15" s="217"/>
      <c r="E15" s="217"/>
      <c r="F15" s="217"/>
      <c r="G15" s="217"/>
      <c r="H15" s="217"/>
      <c r="I15" s="217"/>
      <c r="J15" s="217"/>
      <c r="K15" s="218"/>
    </row>
    <row r="16" customFormat="false" ht="15" hidden="false" customHeight="false" outlineLevel="0" collapsed="false">
      <c r="A16" s="304" t="s">
        <v>1105</v>
      </c>
      <c r="B16" s="1970"/>
      <c r="C16" s="1962"/>
      <c r="D16" s="217"/>
      <c r="E16" s="217"/>
      <c r="F16" s="217"/>
      <c r="G16" s="217"/>
      <c r="H16" s="217"/>
      <c r="I16" s="217"/>
      <c r="J16" s="217"/>
      <c r="K16" s="218"/>
    </row>
    <row r="17" customFormat="false" ht="15" hidden="false" customHeight="false" outlineLevel="0" collapsed="false">
      <c r="A17" s="304" t="s">
        <v>1106</v>
      </c>
      <c r="B17" s="1970"/>
      <c r="C17" s="1965" t="e">
        <f aca="false">(#REF!-#REF!)*-1</f>
        <v>#REF!</v>
      </c>
      <c r="D17" s="1966"/>
      <c r="E17" s="1966" t="e">
        <f aca="false">(#REF!-#REF!)*-1</f>
        <v>#REF!</v>
      </c>
      <c r="F17" s="1966"/>
      <c r="G17" s="1966" t="e">
        <f aca="false">(#REF!-#REF!)*-1</f>
        <v>#REF!</v>
      </c>
      <c r="H17" s="1966"/>
      <c r="I17" s="1966" t="e">
        <f aca="false">(#REF!-#REF!)*-1</f>
        <v>#REF!</v>
      </c>
      <c r="J17" s="1966"/>
      <c r="K17" s="1967" t="e">
        <f aca="false">(#REF!-#REF!)*-1</f>
        <v>#REF!</v>
      </c>
    </row>
    <row r="18" customFormat="false" ht="15" hidden="false" customHeight="false" outlineLevel="0" collapsed="false">
      <c r="A18" s="304" t="s">
        <v>1107</v>
      </c>
      <c r="B18" s="1970"/>
      <c r="C18" s="1965" t="e">
        <f aca="false">(#REF!-#REF!)*-1</f>
        <v>#REF!</v>
      </c>
      <c r="D18" s="1966"/>
      <c r="E18" s="1966" t="e">
        <f aca="false">(#REF!-#REF!)*-1</f>
        <v>#REF!</v>
      </c>
      <c r="F18" s="1966"/>
      <c r="G18" s="1966" t="e">
        <f aca="false">(#REF!-#REF!)*-1</f>
        <v>#REF!</v>
      </c>
      <c r="H18" s="1966"/>
      <c r="I18" s="1966" t="e">
        <f aca="false">(#REF!-#REF!)*-1</f>
        <v>#REF!</v>
      </c>
      <c r="J18" s="1966"/>
      <c r="K18" s="1967" t="e">
        <f aca="false">(#REF!-#REF!)*-1</f>
        <v>#REF!</v>
      </c>
    </row>
    <row r="19" customFormat="false" ht="15" hidden="false" customHeight="false" outlineLevel="0" collapsed="false">
      <c r="A19" s="304" t="s">
        <v>1108</v>
      </c>
      <c r="B19" s="1970"/>
      <c r="C19" s="1971" t="e">
        <f aca="false">(#REF!-#REF!)*-1</f>
        <v>#REF!</v>
      </c>
      <c r="D19" s="1966"/>
      <c r="E19" s="1288" t="e">
        <f aca="false">(#REF!-#REF!)*-1</f>
        <v>#REF!</v>
      </c>
      <c r="F19" s="217"/>
      <c r="G19" s="1288" t="e">
        <f aca="false">(#REF!-#REF!)*-1</f>
        <v>#REF!</v>
      </c>
      <c r="H19" s="217"/>
      <c r="I19" s="1288" t="e">
        <f aca="false">(#REF!-#REF!)*-1</f>
        <v>#REF!</v>
      </c>
      <c r="J19" s="217"/>
      <c r="K19" s="1287" t="e">
        <f aca="false">(#REF!-#REF!)*-1</f>
        <v>#REF!</v>
      </c>
    </row>
    <row r="20" customFormat="false" ht="15" hidden="false" customHeight="false" outlineLevel="0" collapsed="false">
      <c r="A20" s="304" t="s">
        <v>1109</v>
      </c>
      <c r="B20" s="1970"/>
      <c r="C20" s="1965" t="e">
        <f aca="false">SUM(C17:C19)</f>
        <v>#REF!</v>
      </c>
      <c r="D20" s="1966"/>
      <c r="E20" s="1966" t="e">
        <f aca="false">SUM(E17:E19)</f>
        <v>#REF!</v>
      </c>
      <c r="F20" s="217"/>
      <c r="G20" s="1966" t="e">
        <f aca="false">SUM(G17:G19)</f>
        <v>#REF!</v>
      </c>
      <c r="H20" s="217"/>
      <c r="I20" s="1966" t="e">
        <f aca="false">SUM(I17:I19)</f>
        <v>#REF!</v>
      </c>
      <c r="J20" s="217"/>
      <c r="K20" s="1967" t="e">
        <f aca="false">SUM(K17:K19)</f>
        <v>#REF!</v>
      </c>
    </row>
    <row r="21" customFormat="false" ht="15" hidden="false" customHeight="false" outlineLevel="0" collapsed="false">
      <c r="A21" s="304"/>
      <c r="B21" s="1970"/>
      <c r="C21" s="1965"/>
      <c r="D21" s="1966"/>
      <c r="E21" s="1966"/>
      <c r="F21" s="217"/>
      <c r="G21" s="1966"/>
      <c r="H21" s="217"/>
      <c r="I21" s="1966"/>
      <c r="J21" s="217"/>
      <c r="K21" s="1967"/>
    </row>
    <row r="22" customFormat="false" ht="15" hidden="false" customHeight="false" outlineLevel="0" collapsed="false">
      <c r="A22" s="304" t="s">
        <v>1110</v>
      </c>
      <c r="B22" s="1970"/>
      <c r="C22" s="1965"/>
      <c r="D22" s="1966"/>
      <c r="E22" s="1966"/>
      <c r="F22" s="217"/>
      <c r="G22" s="1966"/>
      <c r="H22" s="217"/>
      <c r="I22" s="1966"/>
      <c r="J22" s="217"/>
      <c r="K22" s="1967"/>
    </row>
    <row r="23" customFormat="false" ht="15" hidden="false" customHeight="false" outlineLevel="0" collapsed="false">
      <c r="A23" s="304" t="s">
        <v>1111</v>
      </c>
      <c r="B23" s="1970"/>
      <c r="C23" s="1965" t="e">
        <f aca="false">'7.9.2 Balance Liabilities'!C44-'7.9.2 Balance Liabilities'!B44</f>
        <v>#VALUE!</v>
      </c>
      <c r="D23" s="1966"/>
      <c r="E23" s="1966" t="e">
        <f aca="false">'7.9.2 Balance Liabilities'!E44-'7.9.2 Balance Liabilities'!C44</f>
        <v>#VALUE!</v>
      </c>
      <c r="F23" s="217"/>
      <c r="G23" s="1966" t="e">
        <f aca="false">'7.9.2 Balance Liabilities'!G44-'7.9.2 Balance Liabilities'!E44</f>
        <v>#VALUE!</v>
      </c>
      <c r="H23" s="217"/>
      <c r="I23" s="1966" t="e">
        <f aca="false">'7.9.2 Balance Liabilities'!I44-'7.9.2 Balance Liabilities'!G44</f>
        <v>#VALUE!</v>
      </c>
      <c r="J23" s="217"/>
      <c r="K23" s="1967" t="e">
        <f aca="false">'7.9.2 Balance Liabilities'!K44-'7.9.2 Balance Liabilities'!I44</f>
        <v>#VALUE!</v>
      </c>
    </row>
    <row r="24" customFormat="false" ht="15" hidden="false" customHeight="false" outlineLevel="0" collapsed="false">
      <c r="A24" s="304" t="s">
        <v>1112</v>
      </c>
      <c r="B24" s="1970"/>
      <c r="C24" s="1971" t="e">
        <f aca="false">'7.9.2 Balance Liabilities'!C46-'7.9.2 Balance Liabilities'!B46</f>
        <v>#VALUE!</v>
      </c>
      <c r="D24" s="1966"/>
      <c r="E24" s="1288" t="e">
        <f aca="false">'7.9.2 Balance Liabilities'!E46-'7.9.2 Balance Liabilities'!C46</f>
        <v>#VALUE!</v>
      </c>
      <c r="F24" s="217"/>
      <c r="G24" s="1288" t="e">
        <f aca="false">'7.9.2 Balance Liabilities'!G46-'7.9.2 Balance Liabilities'!E46</f>
        <v>#VALUE!</v>
      </c>
      <c r="H24" s="217"/>
      <c r="I24" s="1288" t="e">
        <f aca="false">'7.9.2 Balance Liabilities'!I46-'7.9.2 Balance Liabilities'!G46</f>
        <v>#VALUE!</v>
      </c>
      <c r="J24" s="217"/>
      <c r="K24" s="1287" t="e">
        <f aca="false">'7.9.2 Balance Liabilities'!K46-'7.9.2 Balance Liabilities'!I46</f>
        <v>#VALUE!</v>
      </c>
    </row>
    <row r="25" customFormat="false" ht="15" hidden="false" customHeight="false" outlineLevel="0" collapsed="false">
      <c r="A25" s="304" t="s">
        <v>1113</v>
      </c>
      <c r="B25" s="1970"/>
      <c r="C25" s="1965" t="e">
        <f aca="false">SUM(C23:C24)</f>
        <v>#VALUE!</v>
      </c>
      <c r="D25" s="1966"/>
      <c r="E25" s="1966" t="e">
        <f aca="false">SUM(E23:E24)</f>
        <v>#VALUE!</v>
      </c>
      <c r="F25" s="217"/>
      <c r="G25" s="1966" t="e">
        <f aca="false">SUM(G23:G24)</f>
        <v>#VALUE!</v>
      </c>
      <c r="H25" s="217"/>
      <c r="I25" s="1966" t="e">
        <f aca="false">SUM(I23:I24)</f>
        <v>#VALUE!</v>
      </c>
      <c r="J25" s="217"/>
      <c r="K25" s="1967" t="e">
        <f aca="false">SUM(K23:K24)</f>
        <v>#VALUE!</v>
      </c>
    </row>
    <row r="26" customFormat="false" ht="15" hidden="false" customHeight="false" outlineLevel="0" collapsed="false">
      <c r="A26" s="1114"/>
      <c r="B26" s="1970"/>
      <c r="C26" s="1965"/>
      <c r="D26" s="1966"/>
      <c r="E26" s="1966"/>
      <c r="F26" s="217"/>
      <c r="G26" s="1966"/>
      <c r="H26" s="217"/>
      <c r="I26" s="1966"/>
      <c r="J26" s="217"/>
      <c r="K26" s="1967"/>
    </row>
    <row r="27" s="1961" customFormat="true" ht="15" hidden="false" customHeight="false" outlineLevel="0" collapsed="false">
      <c r="A27" s="1972" t="s">
        <v>1114</v>
      </c>
      <c r="B27" s="1973"/>
      <c r="C27" s="1974" t="e">
        <f aca="false">C25+C20</f>
        <v>#VALUE!</v>
      </c>
      <c r="D27" s="1975"/>
      <c r="E27" s="1975" t="e">
        <f aca="false">E25+E20</f>
        <v>#VALUE!</v>
      </c>
      <c r="F27" s="1976"/>
      <c r="G27" s="1975" t="e">
        <f aca="false">G25+G20</f>
        <v>#VALUE!</v>
      </c>
      <c r="H27" s="1976"/>
      <c r="I27" s="1975" t="e">
        <f aca="false">I25+I20</f>
        <v>#VALUE!</v>
      </c>
      <c r="J27" s="1976"/>
      <c r="K27" s="1977" t="e">
        <f aca="false">K25+K20</f>
        <v>#VALUE!</v>
      </c>
    </row>
    <row r="28" s="1961" customFormat="true" ht="15" hidden="false" customHeight="false" outlineLevel="0" collapsed="false">
      <c r="A28" s="1978"/>
      <c r="B28" s="1979"/>
      <c r="C28" s="1980"/>
      <c r="D28" s="1021"/>
      <c r="E28" s="1021"/>
      <c r="F28" s="1981"/>
      <c r="G28" s="1021"/>
      <c r="H28" s="1981"/>
      <c r="I28" s="1021"/>
      <c r="J28" s="1981"/>
      <c r="K28" s="1982"/>
    </row>
    <row r="29" customFormat="false" ht="15" hidden="false" customHeight="false" outlineLevel="0" collapsed="false">
      <c r="A29" s="236"/>
      <c r="B29" s="215"/>
      <c r="C29" s="1983"/>
      <c r="D29" s="214"/>
      <c r="E29" s="214"/>
      <c r="F29" s="214"/>
      <c r="G29" s="214"/>
      <c r="H29" s="214"/>
      <c r="I29" s="214"/>
      <c r="J29" s="214"/>
      <c r="K29" s="215"/>
    </row>
    <row r="30" s="1961" customFormat="true" ht="15" hidden="false" customHeight="false" outlineLevel="0" collapsed="false">
      <c r="A30" s="237" t="s">
        <v>1115</v>
      </c>
      <c r="B30" s="1984"/>
      <c r="C30" s="1969" t="e">
        <f aca="false">C11+C13+C27</f>
        <v>#VALUE!</v>
      </c>
      <c r="D30" s="1286"/>
      <c r="E30" s="1286" t="e">
        <f aca="false">E11+E13+E27</f>
        <v>#VALUE!</v>
      </c>
      <c r="F30" s="1283"/>
      <c r="G30" s="1286" t="e">
        <f aca="false">G11+G13+G27</f>
        <v>#VALUE!</v>
      </c>
      <c r="H30" s="1283"/>
      <c r="I30" s="1286" t="e">
        <f aca="false">I11+I13+I27</f>
        <v>#VALUE!</v>
      </c>
      <c r="J30" s="1283"/>
      <c r="K30" s="1284" t="e">
        <f aca="false">K11+K13+K27</f>
        <v>#VALUE!</v>
      </c>
    </row>
    <row r="31" customFormat="false" ht="15" hidden="false" customHeight="false" outlineLevel="0" collapsed="false">
      <c r="A31" s="1985"/>
      <c r="B31" s="221"/>
      <c r="C31" s="1986"/>
      <c r="D31" s="220"/>
      <c r="E31" s="220"/>
      <c r="F31" s="220"/>
      <c r="G31" s="220"/>
      <c r="H31" s="220"/>
      <c r="I31" s="220"/>
      <c r="J31" s="220"/>
      <c r="K31" s="221"/>
    </row>
    <row r="32" customFormat="false" ht="15" hidden="false" customHeight="false" outlineLevel="0" collapsed="false">
      <c r="A32" s="184"/>
      <c r="B32" s="2"/>
      <c r="C32" s="1987"/>
      <c r="D32" s="2"/>
      <c r="E32" s="2"/>
      <c r="F32" s="2"/>
      <c r="G32" s="2"/>
      <c r="H32" s="2"/>
      <c r="I32" s="2"/>
      <c r="J32" s="2"/>
      <c r="K32" s="2"/>
    </row>
    <row r="33" customFormat="false" ht="15" hidden="false" customHeight="false" outlineLevel="0" collapsed="false">
      <c r="A33" s="184"/>
      <c r="B33" s="2"/>
      <c r="C33" s="1987"/>
      <c r="D33" s="2"/>
      <c r="E33" s="2"/>
      <c r="F33" s="2"/>
      <c r="G33" s="2"/>
      <c r="H33" s="2"/>
      <c r="I33" s="2"/>
      <c r="J33" s="2"/>
      <c r="K33" s="2"/>
    </row>
    <row r="34" customFormat="false" ht="18.75" hidden="false" customHeight="false" outlineLevel="0" collapsed="false">
      <c r="A34" s="1084" t="s">
        <v>1116</v>
      </c>
      <c r="B34" s="194"/>
      <c r="C34" s="1988"/>
      <c r="D34" s="193"/>
      <c r="E34" s="193"/>
      <c r="F34" s="193"/>
      <c r="G34" s="193"/>
      <c r="H34" s="193"/>
      <c r="I34" s="193"/>
      <c r="J34" s="193"/>
      <c r="K34" s="194"/>
    </row>
    <row r="35" customFormat="false" ht="15" hidden="false" customHeight="false" outlineLevel="0" collapsed="false">
      <c r="A35" s="304"/>
      <c r="B35" s="1970"/>
      <c r="C35" s="1962"/>
      <c r="D35" s="217"/>
      <c r="E35" s="217"/>
      <c r="F35" s="217"/>
      <c r="G35" s="217"/>
      <c r="H35" s="217"/>
      <c r="I35" s="217"/>
      <c r="J35" s="217"/>
      <c r="K35" s="215"/>
    </row>
    <row r="36" customFormat="false" ht="15" hidden="false" customHeight="false" outlineLevel="0" collapsed="false">
      <c r="A36" s="304" t="s">
        <v>1117</v>
      </c>
      <c r="B36" s="1970"/>
      <c r="C36" s="1965" t="n">
        <f aca="false">IF('7.5.2 Fin. Income &amp; Expenses '!D18=0,0,#REF!-#REF!+'7.4.3 Inv. &amp; Depr.'!D105)</f>
        <v>0</v>
      </c>
      <c r="D36" s="1966"/>
      <c r="E36" s="1966" t="e">
        <f aca="false">-'7.4.3 Inv. &amp; Depr.'!F105+(#REF!-#REF!)*-1</f>
        <v>#REF!</v>
      </c>
      <c r="F36" s="1989"/>
      <c r="G36" s="1966" t="e">
        <f aca="false">-'7.4.3 Inv. &amp; Depr.'!H105+(#REF!-#REF!)*-1</f>
        <v>#REF!</v>
      </c>
      <c r="H36" s="1989"/>
      <c r="I36" s="1966" t="e">
        <f aca="false">-'7.4.3 Inv. &amp; Depr.'!J105+(#REF!-#REF!)*-1</f>
        <v>#REF!</v>
      </c>
      <c r="J36" s="1989"/>
      <c r="K36" s="1967" t="e">
        <f aca="false">-'7.4.3 Inv. &amp; Depr.'!L105+(#REF!-#REF!)*-1</f>
        <v>#REF!</v>
      </c>
    </row>
    <row r="37" customFormat="false" ht="15" hidden="false" customHeight="false" outlineLevel="0" collapsed="false">
      <c r="A37" s="304" t="s">
        <v>1118</v>
      </c>
      <c r="B37" s="1970"/>
      <c r="C37" s="1965" t="e">
        <f aca="false">-'7.4.3 Inv. &amp; Depr.'!D116+-'7.4.3 Inv. &amp; Depr.'!D131+(#REF!-#REF!)*-1</f>
        <v>#REF!</v>
      </c>
      <c r="D37" s="1966"/>
      <c r="E37" s="1966" t="e">
        <f aca="false">-'7.4.3 Inv. &amp; Depr.'!F116+-'7.4.3 Inv. &amp; Depr.'!F131+(#REF!-#REF!)*-1</f>
        <v>#REF!</v>
      </c>
      <c r="F37" s="1989"/>
      <c r="G37" s="1966" t="e">
        <f aca="false">-'7.4.3 Inv. &amp; Depr.'!H116+-'7.4.3 Inv. &amp; Depr.'!H131+(#REF!-#REF!)*-1</f>
        <v>#REF!</v>
      </c>
      <c r="H37" s="1989"/>
      <c r="I37" s="1966" t="e">
        <f aca="false">-'7.4.3 Inv. &amp; Depr.'!J116+-'7.4.3 Inv. &amp; Depr.'!J131+(#REF!-#REF!)*-1</f>
        <v>#REF!</v>
      </c>
      <c r="J37" s="1989"/>
      <c r="K37" s="1967" t="e">
        <f aca="false">-'7.4.3 Inv. &amp; Depr.'!L116+-'7.4.3 Inv. &amp; Depr.'!L131+(#REF!-#REF!)*-1</f>
        <v>#REF!</v>
      </c>
    </row>
    <row r="38" customFormat="false" ht="15" hidden="false" customHeight="false" outlineLevel="0" collapsed="false">
      <c r="A38" s="304" t="s">
        <v>1119</v>
      </c>
      <c r="B38" s="1970"/>
      <c r="C38" s="1971" t="e">
        <f aca="false">-'7.4.3 Inv. &amp; Depr.'!D118+#REF!-#REF!</f>
        <v>#REF!</v>
      </c>
      <c r="D38" s="1966"/>
      <c r="E38" s="1288" t="e">
        <f aca="false">-'7.4.3 Inv. &amp; Depr.'!F118+#REF!-#REF!</f>
        <v>#REF!</v>
      </c>
      <c r="F38" s="1989"/>
      <c r="G38" s="1288" t="e">
        <f aca="false">-'7.4.3 Inv. &amp; Depr.'!H118+#REF!-#REF!</f>
        <v>#REF!</v>
      </c>
      <c r="H38" s="1989"/>
      <c r="I38" s="1288" t="e">
        <f aca="false">-'7.4.3 Inv. &amp; Depr.'!J118+#REF!-#REF!</f>
        <v>#REF!</v>
      </c>
      <c r="J38" s="1989"/>
      <c r="K38" s="1287" t="e">
        <f aca="false">-'7.4.3 Inv. &amp; Depr.'!L118+#REF!-#REF!</f>
        <v>#REF!</v>
      </c>
    </row>
    <row r="39" customFormat="false" ht="15" hidden="false" customHeight="false" outlineLevel="0" collapsed="false">
      <c r="A39" s="304"/>
      <c r="B39" s="1970"/>
      <c r="C39" s="1965"/>
      <c r="D39" s="1966"/>
      <c r="E39" s="1966"/>
      <c r="F39" s="1989"/>
      <c r="G39" s="1966"/>
      <c r="H39" s="1989"/>
      <c r="I39" s="1966"/>
      <c r="J39" s="1989"/>
      <c r="K39" s="1967"/>
    </row>
    <row r="40" s="1961" customFormat="true" ht="15" hidden="false" customHeight="false" outlineLevel="0" collapsed="false">
      <c r="A40" s="1972" t="s">
        <v>1120</v>
      </c>
      <c r="B40" s="1973"/>
      <c r="C40" s="1974" t="e">
        <f aca="false">SUM(C36:C38)</f>
        <v>#REF!</v>
      </c>
      <c r="D40" s="1975"/>
      <c r="E40" s="1975" t="e">
        <f aca="false">SUM(E36:E38)</f>
        <v>#REF!</v>
      </c>
      <c r="F40" s="1990"/>
      <c r="G40" s="1975" t="e">
        <f aca="false">SUM(G36:G38)</f>
        <v>#REF!</v>
      </c>
      <c r="H40" s="1990"/>
      <c r="I40" s="1975" t="e">
        <f aca="false">SUM(I36:I38)</f>
        <v>#REF!</v>
      </c>
      <c r="J40" s="1990"/>
      <c r="K40" s="1977" t="e">
        <f aca="false">SUM(K36:K38)</f>
        <v>#REF!</v>
      </c>
    </row>
    <row r="41" customFormat="false" ht="15" hidden="false" customHeight="false" outlineLevel="0" collapsed="false">
      <c r="A41" s="184"/>
      <c r="B41" s="2"/>
      <c r="C41" s="1987"/>
      <c r="D41" s="2"/>
      <c r="E41" s="2"/>
      <c r="F41" s="2"/>
      <c r="G41" s="2"/>
      <c r="H41" s="2"/>
      <c r="I41" s="2"/>
      <c r="J41" s="2"/>
      <c r="K41" s="2"/>
    </row>
    <row r="42" customFormat="false" ht="18.75" hidden="false" customHeight="false" outlineLevel="0" collapsed="false">
      <c r="A42" s="1084" t="s">
        <v>1121</v>
      </c>
      <c r="B42" s="194"/>
      <c r="C42" s="1988"/>
      <c r="D42" s="193"/>
      <c r="E42" s="193"/>
      <c r="F42" s="193"/>
      <c r="G42" s="193"/>
      <c r="H42" s="193"/>
      <c r="I42" s="193"/>
      <c r="J42" s="193"/>
      <c r="K42" s="194"/>
    </row>
    <row r="43" customFormat="false" ht="15" hidden="false" customHeight="false" outlineLevel="0" collapsed="false">
      <c r="A43" s="1112"/>
      <c r="B43" s="3"/>
      <c r="C43" s="1962"/>
      <c r="D43" s="217"/>
      <c r="E43" s="217"/>
      <c r="F43" s="217"/>
      <c r="G43" s="217"/>
      <c r="H43" s="217"/>
      <c r="I43" s="217"/>
      <c r="J43" s="217"/>
      <c r="K43" s="218"/>
    </row>
    <row r="44" customFormat="false" ht="15" hidden="false" customHeight="false" outlineLevel="0" collapsed="false">
      <c r="A44" s="1" t="s">
        <v>1122</v>
      </c>
      <c r="B44" s="3"/>
      <c r="C44" s="1965" t="n">
        <f aca="false">'7.9.2 Balance Liabilities'!C9+'7.9.2 Balance Liabilities'!C11+'7.9.2 Balance Liabilities'!C13-'7.9.2 Balance Liabilities'!B9-'7.9.2 Balance Liabilities'!B11-'7.9.2 Balance Liabilities'!B13+'7.9.2 Balance Liabilities'!C15-'7.9.2 Balance Liabilities'!B15+'7.9.2 Balance Liabilities'!C17-'7.9.2 Balance Liabilities'!B17</f>
        <v>1000000</v>
      </c>
      <c r="D44" s="1966"/>
      <c r="E44" s="1966" t="n">
        <f aca="false">'7.9.2 Balance Liabilities'!E9+'7.9.2 Balance Liabilities'!E11+'7.9.2 Balance Liabilities'!E13-'7.9.2 Balance Liabilities'!C9-'7.9.2 Balance Liabilities'!C11-'7.9.2 Balance Liabilities'!C13</f>
        <v>0</v>
      </c>
      <c r="F44" s="217"/>
      <c r="G44" s="1966" t="n">
        <f aca="false">'7.9.2 Balance Liabilities'!G9+'7.9.2 Balance Liabilities'!G11+'7.9.2 Balance Liabilities'!G13-'7.9.2 Balance Liabilities'!E9-'7.9.2 Balance Liabilities'!E11-'7.9.2 Balance Liabilities'!E13</f>
        <v>0</v>
      </c>
      <c r="H44" s="217"/>
      <c r="I44" s="1966" t="n">
        <f aca="false">'7.9.2 Balance Liabilities'!I9+'7.9.2 Balance Liabilities'!I11+'7.9.2 Balance Liabilities'!I13-'7.9.2 Balance Liabilities'!G9-'7.9.2 Balance Liabilities'!G11-'7.9.2 Balance Liabilities'!G13</f>
        <v>0</v>
      </c>
      <c r="J44" s="217"/>
      <c r="K44" s="1967" t="n">
        <f aca="false">'7.9.2 Balance Liabilities'!K9+'7.9.2 Balance Liabilities'!K11+'7.9.2 Balance Liabilities'!K13-'7.9.2 Balance Liabilities'!I9-'7.9.2 Balance Liabilities'!I11-'7.9.2 Balance Liabilities'!I13</f>
        <v>0</v>
      </c>
    </row>
    <row r="45" customFormat="false" ht="15" hidden="false" customHeight="false" outlineLevel="0" collapsed="false">
      <c r="A45" s="1" t="s">
        <v>1123</v>
      </c>
      <c r="B45" s="3"/>
      <c r="C45" s="1965" t="n">
        <f aca="false">'7.9.2 Balance Liabilities'!C35-'7.9.2 Balance Liabilities'!B35-C13</f>
        <v>342857.142857143</v>
      </c>
      <c r="D45" s="1966"/>
      <c r="E45" s="1966" t="n">
        <f aca="false">'7.9.2 Balance Liabilities'!E35-'7.9.2 Balance Liabilities'!C35-E13</f>
        <v>-57142.8571428572</v>
      </c>
      <c r="F45" s="217"/>
      <c r="G45" s="1966" t="n">
        <f aca="false">'7.9.2 Balance Liabilities'!G35-'7.9.2 Balance Liabilities'!E35-G13</f>
        <v>-57142.8571428572</v>
      </c>
      <c r="H45" s="217"/>
      <c r="I45" s="1966" t="n">
        <f aca="false">'7.9.2 Balance Liabilities'!I35-'7.9.2 Balance Liabilities'!G35-I13</f>
        <v>-57142.8571428572</v>
      </c>
      <c r="J45" s="217"/>
      <c r="K45" s="1967" t="n">
        <f aca="false">'7.9.2 Balance Liabilities'!K35-'7.9.2 Balance Liabilities'!I35-K13</f>
        <v>-57142.8571428571</v>
      </c>
    </row>
    <row r="46" customFormat="false" ht="15" hidden="false" customHeight="false" outlineLevel="0" collapsed="false">
      <c r="A46" s="304" t="s">
        <v>1124</v>
      </c>
      <c r="B46" s="1970"/>
      <c r="C46" s="1971" t="n">
        <f aca="false">'7.9.2 Balance Liabilities'!C48-'7.9.2 Balance Liabilities'!B48</f>
        <v>-1.33333333333333</v>
      </c>
      <c r="D46" s="1966"/>
      <c r="E46" s="1288" t="n">
        <f aca="false">'7.9.2 Balance Liabilities'!E48-'7.9.2 Balance Liabilities'!C48-E13</f>
        <v>1.33333333333333</v>
      </c>
      <c r="F46" s="1989"/>
      <c r="G46" s="1288" t="n">
        <f aca="false">'7.9.2 Balance Liabilities'!G48-'7.9.2 Balance Liabilities'!E48</f>
        <v>0</v>
      </c>
      <c r="H46" s="1989"/>
      <c r="I46" s="1288" t="n">
        <f aca="false">'7.9.2 Balance Liabilities'!I48-'7.9.2 Balance Liabilities'!G48</f>
        <v>0</v>
      </c>
      <c r="J46" s="1989"/>
      <c r="K46" s="1287" t="n">
        <f aca="false">'7.9.2 Balance Liabilities'!K48-'7.9.2 Balance Liabilities'!I48</f>
        <v>0</v>
      </c>
    </row>
    <row r="47" customFormat="false" ht="15" hidden="false" customHeight="false" outlineLevel="0" collapsed="false">
      <c r="A47" s="304"/>
      <c r="B47" s="1970"/>
      <c r="C47" s="1965"/>
      <c r="D47" s="1966"/>
      <c r="E47" s="1966"/>
      <c r="F47" s="217"/>
      <c r="G47" s="1966"/>
      <c r="H47" s="217"/>
      <c r="I47" s="1966"/>
      <c r="J47" s="217"/>
      <c r="K47" s="1967"/>
    </row>
    <row r="48" s="1961" customFormat="true" ht="15" hidden="false" customHeight="false" outlineLevel="0" collapsed="false">
      <c r="A48" s="1972" t="s">
        <v>1125</v>
      </c>
      <c r="B48" s="1973"/>
      <c r="C48" s="1974" t="n">
        <f aca="false">SUM(C44:C46)</f>
        <v>1342855.80952381</v>
      </c>
      <c r="D48" s="1975"/>
      <c r="E48" s="1975" t="n">
        <f aca="false">SUM(E44:E46)</f>
        <v>-57141.5238095238</v>
      </c>
      <c r="F48" s="1976"/>
      <c r="G48" s="1975" t="n">
        <f aca="false">SUM(G44:G46)</f>
        <v>-57142.8571428572</v>
      </c>
      <c r="H48" s="1976"/>
      <c r="I48" s="1975" t="n">
        <f aca="false">SUM(I44:I46)</f>
        <v>-57142.8571428572</v>
      </c>
      <c r="J48" s="1976"/>
      <c r="K48" s="1977" t="n">
        <f aca="false">SUM(K44:K46)</f>
        <v>-57142.8571428571</v>
      </c>
    </row>
    <row r="49" customFormat="false" ht="15" hidden="false" customHeight="false" outlineLevel="0" collapsed="false">
      <c r="A49" s="184"/>
      <c r="B49" s="2"/>
      <c r="C49" s="1987"/>
      <c r="D49" s="2"/>
      <c r="E49" s="2"/>
      <c r="F49" s="2"/>
      <c r="G49" s="2"/>
      <c r="H49" s="2"/>
      <c r="I49" s="2"/>
      <c r="J49" s="2"/>
      <c r="K49" s="2"/>
    </row>
    <row r="50" customFormat="false" ht="15" hidden="false" customHeight="false" outlineLevel="0" collapsed="false">
      <c r="A50" s="213"/>
      <c r="B50" s="215"/>
      <c r="C50" s="1983"/>
      <c r="D50" s="214"/>
      <c r="E50" s="214"/>
      <c r="F50" s="214"/>
      <c r="G50" s="214"/>
      <c r="H50" s="214"/>
      <c r="I50" s="214"/>
      <c r="J50" s="214"/>
      <c r="K50" s="215"/>
    </row>
    <row r="51" customFormat="false" ht="18.75" hidden="false" customHeight="false" outlineLevel="0" collapsed="false">
      <c r="A51" s="1991" t="s">
        <v>1126</v>
      </c>
      <c r="B51" s="218"/>
      <c r="C51" s="1965" t="e">
        <f aca="false">C30+C40+C48</f>
        <v>#VALUE!</v>
      </c>
      <c r="D51" s="1966"/>
      <c r="E51" s="1966" t="e">
        <f aca="false">E30+E40+E48</f>
        <v>#VALUE!</v>
      </c>
      <c r="F51" s="1966"/>
      <c r="G51" s="1966" t="e">
        <f aca="false">G30+G40+G48</f>
        <v>#VALUE!</v>
      </c>
      <c r="H51" s="1966"/>
      <c r="I51" s="1966" t="e">
        <f aca="false">I30+I40+I48</f>
        <v>#VALUE!</v>
      </c>
      <c r="J51" s="1966"/>
      <c r="K51" s="1967" t="e">
        <f aca="false">K30+K40+K48</f>
        <v>#VALUE!</v>
      </c>
    </row>
    <row r="52" customFormat="false" ht="15" hidden="false" customHeight="false" outlineLevel="0" collapsed="false">
      <c r="A52" s="219"/>
      <c r="B52" s="221"/>
      <c r="C52" s="1986"/>
      <c r="D52" s="220"/>
      <c r="E52" s="220"/>
      <c r="F52" s="220"/>
      <c r="G52" s="220"/>
      <c r="H52" s="220"/>
      <c r="I52" s="220"/>
      <c r="J52" s="220"/>
      <c r="K52" s="221"/>
    </row>
    <row r="53" customFormat="false" ht="15" hidden="false" customHeight="false" outlineLevel="0" collapsed="false">
      <c r="A53" s="208"/>
      <c r="B53" s="208"/>
      <c r="C53" s="1992"/>
    </row>
    <row r="54" customFormat="false" ht="15" hidden="false" customHeight="false" outlineLevel="0" collapsed="false">
      <c r="A54" s="213"/>
      <c r="B54" s="215"/>
      <c r="C54" s="1983"/>
      <c r="D54" s="214"/>
      <c r="E54" s="214"/>
      <c r="F54" s="214"/>
      <c r="G54" s="214"/>
      <c r="H54" s="214"/>
      <c r="I54" s="214"/>
      <c r="J54" s="214"/>
      <c r="K54" s="215"/>
    </row>
    <row r="55" customFormat="false" ht="18.75" hidden="false" customHeight="false" outlineLevel="0" collapsed="false">
      <c r="A55" s="1991" t="s">
        <v>1127</v>
      </c>
      <c r="B55" s="218"/>
      <c r="C55" s="1965" t="e">
        <f aca="false">C51+#REF!-'7.9.2 Balance Liabilities'!B50</f>
        <v>#VALUE!</v>
      </c>
      <c r="D55" s="1966"/>
      <c r="E55" s="1966" t="e">
        <f aca="false">#REF!+'7.11 Cash Flow Analysis'!E51-'7.9.2 Balance Liabilities'!C50</f>
        <v>#REF!</v>
      </c>
      <c r="F55" s="217"/>
      <c r="G55" s="1966" t="e">
        <f aca="false">#REF!+'7.11 Cash Flow Analysis'!G51-'7.9.2 Balance Liabilities'!E50</f>
        <v>#REF!</v>
      </c>
      <c r="H55" s="217"/>
      <c r="I55" s="1966" t="e">
        <f aca="false">#REF!+'7.11 Cash Flow Analysis'!I51-'7.9.2 Balance Liabilities'!G50</f>
        <v>#REF!</v>
      </c>
      <c r="J55" s="217"/>
      <c r="K55" s="1967" t="e">
        <f aca="false">#REF!+'7.11 Cash Flow Analysis'!K51-'7.9.2 Balance Liabilities'!I50</f>
        <v>#REF!</v>
      </c>
    </row>
    <row r="56" customFormat="false" ht="15" hidden="false" customHeight="false" outlineLevel="0" collapsed="false">
      <c r="A56" s="219"/>
      <c r="B56" s="221"/>
      <c r="C56" s="1986"/>
      <c r="D56" s="220"/>
      <c r="E56" s="220"/>
      <c r="F56" s="220"/>
      <c r="G56" s="220"/>
      <c r="H56" s="220"/>
      <c r="I56" s="220"/>
      <c r="J56" s="220"/>
      <c r="K56" s="221"/>
    </row>
    <row r="59" customFormat="false" ht="15" hidden="false" customHeight="false" outlineLevel="0" collapsed="false"/>
    <row r="60" customFormat="false" ht="15" hidden="false" customHeight="fals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60.xml><?xml version="1.0" encoding="utf-8"?>
<worksheet xmlns="http://schemas.openxmlformats.org/spreadsheetml/2006/main" xmlns:r="http://schemas.openxmlformats.org/officeDocument/2006/relationships">
  <sheetPr filterMode="false">
    <tabColor rgb="FFC0C0C0"/>
    <pageSetUpPr fitToPage="true"/>
  </sheetPr>
  <dimension ref="A1:K54"/>
  <sheetViews>
    <sheetView showFormulas="false" showGridLines="false" showRowColHeaders="true" showZeros="true" rightToLeft="false" tabSelected="false" showOutlineSymbols="true" defaultGridColor="true" view="normal" topLeftCell="A4" colorId="64" zoomScale="100" zoomScaleNormal="100" zoomScalePageLayoutView="100" workbookViewId="0">
      <selection pane="topLeft" activeCell="E23" activeCellId="0" sqref="E23"/>
    </sheetView>
  </sheetViews>
  <sheetFormatPr defaultRowHeight="15" zeroHeight="true" outlineLevelRow="0" outlineLevelCol="0"/>
  <cols>
    <col collapsed="false" customWidth="true" hidden="false" outlineLevel="0" max="8" min="1" style="4" width="15"/>
    <col collapsed="false" customWidth="true" hidden="false" outlineLevel="0" max="9" min="9" style="4" width="9.14"/>
    <col collapsed="false" customWidth="false" hidden="false" outlineLevel="0" max="10" min="10" style="4" width="11.57"/>
    <col collapsed="false" customWidth="true" hidden="false" outlineLevel="0" max="11" min="11" style="4" width="14.15"/>
    <col collapsed="false" customWidth="true" hidden="false" outlineLevel="0" max="12" min="12" style="22" width="1.58"/>
    <col collapsed="false" customWidth="true" hidden="true" outlineLevel="0" max="1025" min="13" style="4" width="9.14"/>
  </cols>
  <sheetData>
    <row r="1" customFormat="false" ht="28.5" hidden="false" customHeight="false" outlineLevel="0" collapsed="false">
      <c r="A1" s="113" t="s">
        <v>525</v>
      </c>
      <c r="B1" s="114"/>
      <c r="C1" s="114"/>
      <c r="D1" s="114"/>
      <c r="E1" s="114"/>
      <c r="F1" s="114"/>
      <c r="G1" s="114"/>
      <c r="H1" s="114"/>
      <c r="I1" s="114"/>
      <c r="J1" s="114"/>
      <c r="K1" s="115" t="s">
        <v>1128</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363" t="str">
        <f aca="false">'Reference sheet'!C12</f>
        <v>TEST</v>
      </c>
      <c r="D3" s="48"/>
      <c r="E3" s="367" t="s">
        <v>46</v>
      </c>
      <c r="F3" s="852" t="n">
        <f aca="false">'Reference sheet'!C15</f>
        <v>1</v>
      </c>
      <c r="G3" s="853" t="s">
        <v>49</v>
      </c>
      <c r="H3" s="1168" t="str">
        <f aca="false">'Reference sheet'!C17</f>
        <v>July</v>
      </c>
      <c r="I3" s="854" t="n">
        <f aca="false">'Reference sheet'!D17</f>
        <v>2018</v>
      </c>
      <c r="J3" s="365" t="s">
        <v>527</v>
      </c>
      <c r="K3" s="855" t="str">
        <f aca="false">'Reference sheet'!C21</f>
        <v>EUR</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c r="K5" s="314"/>
    </row>
    <row r="6" customFormat="false" ht="15" hidden="false" customHeight="false" outlineLevel="0" collapsed="false">
      <c r="A6" s="131" t="s">
        <v>1129</v>
      </c>
      <c r="B6" s="132"/>
      <c r="C6" s="132"/>
      <c r="D6" s="132"/>
      <c r="E6" s="132"/>
      <c r="F6" s="132"/>
      <c r="G6" s="132"/>
      <c r="H6" s="132"/>
      <c r="I6" s="132"/>
      <c r="J6" s="132"/>
      <c r="K6" s="133"/>
    </row>
    <row r="7" customFormat="false" ht="13.15" hidden="false" customHeight="true" outlineLevel="0" collapsed="false">
      <c r="A7" s="1993"/>
      <c r="B7" s="1994"/>
      <c r="C7" s="1994"/>
      <c r="D7" s="1994"/>
      <c r="E7" s="1994"/>
      <c r="F7" s="1994"/>
      <c r="G7" s="1994"/>
      <c r="H7" s="1994"/>
      <c r="I7" s="1994"/>
      <c r="J7" s="1994"/>
      <c r="K7" s="1995"/>
    </row>
    <row r="8" customFormat="false" ht="13.15" hidden="false" customHeight="true" outlineLevel="0" collapsed="false">
      <c r="A8" s="1996"/>
      <c r="B8" s="1997"/>
      <c r="C8" s="1997"/>
      <c r="D8" s="1997"/>
      <c r="E8" s="1997"/>
      <c r="F8" s="1997"/>
      <c r="G8" s="1997"/>
      <c r="H8" s="1997"/>
      <c r="I8" s="1997"/>
      <c r="J8" s="1997"/>
      <c r="K8" s="1998"/>
    </row>
    <row r="9" customFormat="false" ht="15" hidden="false" customHeight="false" outlineLevel="0" collapsed="false">
      <c r="A9" s="1996"/>
      <c r="B9" s="1997"/>
      <c r="C9" s="1997"/>
      <c r="D9" s="1997"/>
      <c r="E9" s="1997"/>
      <c r="F9" s="1997"/>
      <c r="G9" s="1997"/>
      <c r="H9" s="1997"/>
      <c r="I9" s="1997"/>
      <c r="J9" s="1997"/>
      <c r="K9" s="1998"/>
    </row>
    <row r="10" customFormat="false" ht="15" hidden="false" customHeight="false" outlineLevel="0" collapsed="false">
      <c r="A10" s="1996"/>
      <c r="B10" s="1997"/>
      <c r="C10" s="1997"/>
      <c r="D10" s="1997"/>
      <c r="E10" s="1997"/>
      <c r="F10" s="1997"/>
      <c r="G10" s="1997"/>
      <c r="H10" s="1997"/>
      <c r="I10" s="1997"/>
      <c r="J10" s="1997"/>
      <c r="K10" s="1998"/>
    </row>
    <row r="11" customFormat="false" ht="15" hidden="false" customHeight="false" outlineLevel="0" collapsed="false">
      <c r="A11" s="1996"/>
      <c r="B11" s="1997"/>
      <c r="C11" s="1997"/>
      <c r="D11" s="1997"/>
      <c r="E11" s="1997"/>
      <c r="F11" s="1997"/>
      <c r="G11" s="1997"/>
      <c r="H11" s="1997"/>
      <c r="I11" s="1997"/>
      <c r="J11" s="1997"/>
      <c r="K11" s="1998"/>
    </row>
    <row r="12" customFormat="false" ht="15" hidden="false" customHeight="false" outlineLevel="0" collapsed="false">
      <c r="A12" s="1996"/>
      <c r="B12" s="1997"/>
      <c r="C12" s="1997"/>
      <c r="D12" s="1997"/>
      <c r="E12" s="1997"/>
      <c r="F12" s="1997"/>
      <c r="G12" s="1997"/>
      <c r="H12" s="1997"/>
      <c r="I12" s="1997"/>
      <c r="J12" s="1997"/>
      <c r="K12" s="1998"/>
    </row>
    <row r="13" customFormat="false" ht="15" hidden="false" customHeight="false" outlineLevel="0" collapsed="false">
      <c r="A13" s="1996"/>
      <c r="B13" s="1997"/>
      <c r="C13" s="1997"/>
      <c r="D13" s="1997"/>
      <c r="E13" s="1997"/>
      <c r="F13" s="1997"/>
      <c r="G13" s="1997"/>
      <c r="H13" s="1997"/>
      <c r="I13" s="1997"/>
      <c r="J13" s="1997"/>
      <c r="K13" s="1998"/>
    </row>
    <row r="14" customFormat="false" ht="15" hidden="false" customHeight="false" outlineLevel="0" collapsed="false">
      <c r="A14" s="1996"/>
      <c r="B14" s="1997"/>
      <c r="C14" s="1997"/>
      <c r="D14" s="1997"/>
      <c r="E14" s="1997"/>
      <c r="F14" s="1997"/>
      <c r="G14" s="1997"/>
      <c r="H14" s="1997"/>
      <c r="I14" s="1997"/>
      <c r="J14" s="1997"/>
      <c r="K14" s="1998"/>
    </row>
    <row r="15" customFormat="false" ht="15" hidden="false" customHeight="false" outlineLevel="0" collapsed="false">
      <c r="A15" s="1996"/>
      <c r="B15" s="1997"/>
      <c r="C15" s="1997"/>
      <c r="D15" s="1997"/>
      <c r="E15" s="1997"/>
      <c r="F15" s="1997"/>
      <c r="G15" s="1997"/>
      <c r="H15" s="1997"/>
      <c r="I15" s="1997"/>
      <c r="J15" s="1997"/>
      <c r="K15" s="1998"/>
    </row>
    <row r="16" customFormat="false" ht="15" hidden="false" customHeight="false" outlineLevel="0" collapsed="false">
      <c r="A16" s="1996"/>
      <c r="B16" s="1997"/>
      <c r="C16" s="1997"/>
      <c r="D16" s="1997"/>
      <c r="E16" s="1997"/>
      <c r="F16" s="1997"/>
      <c r="G16" s="1997"/>
      <c r="H16" s="1997"/>
      <c r="I16" s="1997"/>
      <c r="J16" s="1997"/>
      <c r="K16" s="1998"/>
    </row>
    <row r="17" customFormat="false" ht="15" hidden="false" customHeight="false" outlineLevel="0" collapsed="false">
      <c r="A17" s="1996"/>
      <c r="B17" s="1997"/>
      <c r="C17" s="1997"/>
      <c r="D17" s="1997"/>
      <c r="E17" s="1997"/>
      <c r="F17" s="1997"/>
      <c r="G17" s="1997"/>
      <c r="H17" s="1997"/>
      <c r="I17" s="1997"/>
      <c r="J17" s="1997"/>
      <c r="K17" s="1998"/>
    </row>
    <row r="18" customFormat="false" ht="15" hidden="false" customHeight="false" outlineLevel="0" collapsed="false">
      <c r="A18" s="1996"/>
      <c r="B18" s="1997"/>
      <c r="C18" s="1997"/>
      <c r="D18" s="1997"/>
      <c r="E18" s="1997"/>
      <c r="F18" s="1997"/>
      <c r="G18" s="1997"/>
      <c r="H18" s="1997"/>
      <c r="I18" s="1997"/>
      <c r="J18" s="1997"/>
      <c r="K18" s="1998"/>
    </row>
    <row r="19" customFormat="false" ht="15" hidden="false" customHeight="false" outlineLevel="0" collapsed="false">
      <c r="A19" s="1996"/>
      <c r="B19" s="1997"/>
      <c r="C19" s="1997"/>
      <c r="D19" s="1997"/>
      <c r="E19" s="1997"/>
      <c r="F19" s="1997"/>
      <c r="G19" s="1997"/>
      <c r="H19" s="1997"/>
      <c r="I19" s="1997"/>
      <c r="J19" s="1997"/>
      <c r="K19" s="1998"/>
    </row>
    <row r="20" customFormat="false" ht="15" hidden="false" customHeight="false" outlineLevel="0" collapsed="false">
      <c r="A20" s="1996"/>
      <c r="B20" s="1997"/>
      <c r="C20" s="1997"/>
      <c r="D20" s="1997"/>
      <c r="E20" s="1997"/>
      <c r="F20" s="1997"/>
      <c r="G20" s="1997"/>
      <c r="H20" s="1997"/>
      <c r="I20" s="1997"/>
      <c r="J20" s="1997"/>
      <c r="K20" s="1998"/>
    </row>
    <row r="21" customFormat="false" ht="15" hidden="false" customHeight="false" outlineLevel="0" collapsed="false">
      <c r="A21" s="1996"/>
      <c r="B21" s="1997"/>
      <c r="C21" s="1997"/>
      <c r="D21" s="1997"/>
      <c r="E21" s="1997"/>
      <c r="F21" s="1997"/>
      <c r="G21" s="1997"/>
      <c r="H21" s="1997"/>
      <c r="I21" s="1997"/>
      <c r="J21" s="1997"/>
      <c r="K21" s="1998"/>
    </row>
    <row r="22" customFormat="false" ht="15" hidden="false" customHeight="false" outlineLevel="0" collapsed="false">
      <c r="A22" s="1996"/>
      <c r="B22" s="1997"/>
      <c r="C22" s="1997"/>
      <c r="D22" s="1997"/>
      <c r="E22" s="1997"/>
      <c r="F22" s="1997"/>
      <c r="G22" s="1997"/>
      <c r="H22" s="1997"/>
      <c r="I22" s="1997"/>
      <c r="J22" s="1997"/>
      <c r="K22" s="1998"/>
    </row>
    <row r="23" customFormat="false" ht="15" hidden="false" customHeight="false" outlineLevel="0" collapsed="false">
      <c r="A23" s="1996"/>
      <c r="B23" s="1997"/>
      <c r="C23" s="1997"/>
      <c r="D23" s="1997"/>
      <c r="E23" s="1997"/>
      <c r="F23" s="1997"/>
      <c r="G23" s="1997"/>
      <c r="H23" s="1997"/>
      <c r="I23" s="1997"/>
      <c r="J23" s="1997"/>
      <c r="K23" s="1998"/>
    </row>
    <row r="24" customFormat="false" ht="15" hidden="false" customHeight="false" outlineLevel="0" collapsed="false">
      <c r="A24" s="1996"/>
      <c r="B24" s="1997"/>
      <c r="C24" s="1997"/>
      <c r="D24" s="1997"/>
      <c r="E24" s="1997"/>
      <c r="F24" s="1997"/>
      <c r="G24" s="1997"/>
      <c r="H24" s="1997"/>
      <c r="I24" s="1997"/>
      <c r="J24" s="1997"/>
      <c r="K24" s="1998"/>
    </row>
    <row r="25" customFormat="false" ht="15" hidden="false" customHeight="false" outlineLevel="0" collapsed="false">
      <c r="A25" s="1996"/>
      <c r="B25" s="1997"/>
      <c r="C25" s="1997"/>
      <c r="D25" s="1997"/>
      <c r="E25" s="1997"/>
      <c r="F25" s="1997"/>
      <c r="G25" s="1997"/>
      <c r="H25" s="1997"/>
      <c r="I25" s="1997"/>
      <c r="J25" s="1997"/>
      <c r="K25" s="1998"/>
    </row>
    <row r="26" customFormat="false" ht="15" hidden="false" customHeight="false" outlineLevel="0" collapsed="false">
      <c r="A26" s="1996"/>
      <c r="B26" s="1997"/>
      <c r="C26" s="1997"/>
      <c r="D26" s="1997"/>
      <c r="E26" s="1997"/>
      <c r="F26" s="1997"/>
      <c r="G26" s="1997"/>
      <c r="H26" s="1997"/>
      <c r="I26" s="1997"/>
      <c r="J26" s="1997"/>
      <c r="K26" s="1998"/>
    </row>
    <row r="27" customFormat="false" ht="15" hidden="false" customHeight="false" outlineLevel="0" collapsed="false">
      <c r="A27" s="1996"/>
      <c r="B27" s="1997"/>
      <c r="C27" s="1997"/>
      <c r="D27" s="1997"/>
      <c r="E27" s="1997"/>
      <c r="F27" s="1997"/>
      <c r="G27" s="1997"/>
      <c r="H27" s="1997"/>
      <c r="I27" s="1997"/>
      <c r="J27" s="1997"/>
      <c r="K27" s="1998"/>
    </row>
    <row r="28" customFormat="false" ht="15" hidden="false" customHeight="false" outlineLevel="0" collapsed="false">
      <c r="A28" s="1996"/>
      <c r="B28" s="1997"/>
      <c r="C28" s="1997"/>
      <c r="D28" s="1997"/>
      <c r="E28" s="1997"/>
      <c r="F28" s="1997"/>
      <c r="G28" s="1997"/>
      <c r="H28" s="1997"/>
      <c r="I28" s="1997"/>
      <c r="J28" s="1997"/>
      <c r="K28" s="1998"/>
    </row>
    <row r="29" customFormat="false" ht="15" hidden="false" customHeight="false" outlineLevel="0" collapsed="false">
      <c r="A29" s="1999"/>
      <c r="B29" s="2000"/>
      <c r="C29" s="2000"/>
      <c r="D29" s="2000"/>
      <c r="E29" s="2000"/>
      <c r="F29" s="2000"/>
      <c r="G29" s="2000"/>
      <c r="H29" s="2000"/>
      <c r="I29" s="2000"/>
      <c r="J29" s="2000"/>
      <c r="K29" s="2001"/>
    </row>
    <row r="30" customFormat="false" ht="15" hidden="false" customHeight="false" outlineLevel="0" collapsed="false">
      <c r="A30" s="2002"/>
      <c r="B30" s="2002"/>
      <c r="C30" s="2002"/>
      <c r="D30" s="2002"/>
      <c r="E30" s="2002"/>
      <c r="F30" s="2002"/>
      <c r="G30" s="2002"/>
      <c r="H30" s="2002"/>
      <c r="I30" s="2002"/>
      <c r="J30" s="2002"/>
      <c r="K30" s="2002"/>
    </row>
    <row r="31" customFormat="false" ht="15" hidden="false" customHeight="false" outlineLevel="0" collapsed="false">
      <c r="A31" s="131" t="s">
        <v>1130</v>
      </c>
      <c r="B31" s="132"/>
      <c r="C31" s="132"/>
      <c r="D31" s="132"/>
      <c r="E31" s="132"/>
      <c r="F31" s="132"/>
      <c r="G31" s="132"/>
      <c r="H31" s="132"/>
      <c r="I31" s="132"/>
      <c r="J31" s="132"/>
      <c r="K31" s="133"/>
    </row>
    <row r="32" customFormat="false" ht="15" hidden="false" customHeight="false" outlineLevel="0" collapsed="false">
      <c r="A32" s="2003"/>
      <c r="B32" s="2004"/>
      <c r="C32" s="2004"/>
      <c r="D32" s="2004"/>
      <c r="E32" s="2004"/>
      <c r="F32" s="2004"/>
      <c r="G32" s="2004"/>
      <c r="H32" s="2004"/>
      <c r="I32" s="2004"/>
      <c r="J32" s="2004"/>
      <c r="K32" s="2005"/>
    </row>
    <row r="33" customFormat="false" ht="15" hidden="false" customHeight="false" outlineLevel="0" collapsed="false">
      <c r="A33" s="1996"/>
      <c r="B33" s="1997"/>
      <c r="C33" s="1997"/>
      <c r="D33" s="1997"/>
      <c r="E33" s="1997"/>
      <c r="F33" s="1997"/>
      <c r="G33" s="1997"/>
      <c r="H33" s="1997"/>
      <c r="I33" s="1997"/>
      <c r="J33" s="1997"/>
      <c r="K33" s="1998"/>
    </row>
    <row r="34" customFormat="false" ht="15" hidden="false" customHeight="false" outlineLevel="0" collapsed="false">
      <c r="A34" s="1996"/>
      <c r="B34" s="1997"/>
      <c r="C34" s="1997"/>
      <c r="D34" s="1997"/>
      <c r="E34" s="1997"/>
      <c r="F34" s="1997"/>
      <c r="G34" s="1997"/>
      <c r="H34" s="1997"/>
      <c r="I34" s="1997"/>
      <c r="J34" s="1997"/>
      <c r="K34" s="1998"/>
    </row>
    <row r="35" customFormat="false" ht="15" hidden="false" customHeight="false" outlineLevel="0" collapsed="false">
      <c r="A35" s="1996"/>
      <c r="B35" s="1997"/>
      <c r="C35" s="1997"/>
      <c r="D35" s="1997"/>
      <c r="E35" s="1997"/>
      <c r="F35" s="1997"/>
      <c r="G35" s="1997"/>
      <c r="H35" s="1997"/>
      <c r="I35" s="1997"/>
      <c r="J35" s="1997"/>
      <c r="K35" s="1998"/>
    </row>
    <row r="36" customFormat="false" ht="15" hidden="false" customHeight="false" outlineLevel="0" collapsed="false">
      <c r="A36" s="1996"/>
      <c r="B36" s="1997"/>
      <c r="C36" s="1997"/>
      <c r="D36" s="1997"/>
      <c r="E36" s="1997"/>
      <c r="F36" s="1997"/>
      <c r="G36" s="1997"/>
      <c r="H36" s="1997"/>
      <c r="I36" s="1997"/>
      <c r="J36" s="1997"/>
      <c r="K36" s="1998"/>
    </row>
    <row r="37" customFormat="false" ht="15" hidden="false" customHeight="false" outlineLevel="0" collapsed="false">
      <c r="A37" s="1996"/>
      <c r="B37" s="1997"/>
      <c r="C37" s="1997"/>
      <c r="D37" s="1997"/>
      <c r="E37" s="1997"/>
      <c r="F37" s="1997"/>
      <c r="G37" s="1997"/>
      <c r="H37" s="1997"/>
      <c r="I37" s="1997"/>
      <c r="J37" s="1997"/>
      <c r="K37" s="1998"/>
    </row>
    <row r="38" customFormat="false" ht="15" hidden="false" customHeight="false" outlineLevel="0" collapsed="false">
      <c r="A38" s="1996"/>
      <c r="B38" s="1997"/>
      <c r="C38" s="1997"/>
      <c r="D38" s="1997"/>
      <c r="E38" s="1997"/>
      <c r="F38" s="1997"/>
      <c r="G38" s="1997"/>
      <c r="H38" s="1997"/>
      <c r="I38" s="1997"/>
      <c r="J38" s="1997"/>
      <c r="K38" s="1998"/>
    </row>
    <row r="39" customFormat="false" ht="15" hidden="false" customHeight="false" outlineLevel="0" collapsed="false">
      <c r="A39" s="1996"/>
      <c r="B39" s="1997"/>
      <c r="C39" s="1997"/>
      <c r="D39" s="1997"/>
      <c r="E39" s="1997"/>
      <c r="F39" s="1997"/>
      <c r="G39" s="1997"/>
      <c r="H39" s="1997"/>
      <c r="I39" s="1997"/>
      <c r="J39" s="1997"/>
      <c r="K39" s="1998"/>
    </row>
    <row r="40" customFormat="false" ht="15" hidden="false" customHeight="false" outlineLevel="0" collapsed="false">
      <c r="A40" s="1996"/>
      <c r="B40" s="1997"/>
      <c r="C40" s="1997"/>
      <c r="D40" s="1997"/>
      <c r="E40" s="1997"/>
      <c r="F40" s="1997"/>
      <c r="G40" s="1997"/>
      <c r="H40" s="1997"/>
      <c r="I40" s="1997"/>
      <c r="J40" s="1997"/>
      <c r="K40" s="1998"/>
    </row>
    <row r="41" customFormat="false" ht="15" hidden="false" customHeight="false" outlineLevel="0" collapsed="false">
      <c r="A41" s="1996"/>
      <c r="B41" s="1997"/>
      <c r="C41" s="1997"/>
      <c r="D41" s="1997"/>
      <c r="E41" s="1997"/>
      <c r="F41" s="1997"/>
      <c r="G41" s="1997"/>
      <c r="H41" s="1997"/>
      <c r="I41" s="1997"/>
      <c r="J41" s="1997"/>
      <c r="K41" s="1998"/>
    </row>
    <row r="42" customFormat="false" ht="15" hidden="false" customHeight="false" outlineLevel="0" collapsed="false">
      <c r="A42" s="1996"/>
      <c r="B42" s="1997"/>
      <c r="C42" s="1997"/>
      <c r="D42" s="1997"/>
      <c r="E42" s="1997"/>
      <c r="F42" s="1997"/>
      <c r="G42" s="1997"/>
      <c r="H42" s="1997"/>
      <c r="I42" s="1997"/>
      <c r="J42" s="1997"/>
      <c r="K42" s="1998"/>
    </row>
    <row r="43" customFormat="false" ht="15" hidden="false" customHeight="false" outlineLevel="0" collapsed="false">
      <c r="A43" s="1996"/>
      <c r="B43" s="1997"/>
      <c r="C43" s="1997"/>
      <c r="D43" s="1997"/>
      <c r="E43" s="1997"/>
      <c r="F43" s="1997"/>
      <c r="G43" s="1997"/>
      <c r="H43" s="1997"/>
      <c r="I43" s="1997"/>
      <c r="J43" s="1997"/>
      <c r="K43" s="1998"/>
    </row>
    <row r="44" customFormat="false" ht="15" hidden="false" customHeight="false" outlineLevel="0" collapsed="false">
      <c r="A44" s="1996"/>
      <c r="B44" s="1997"/>
      <c r="C44" s="1997"/>
      <c r="D44" s="1997"/>
      <c r="E44" s="1997"/>
      <c r="F44" s="1997"/>
      <c r="G44" s="1997"/>
      <c r="H44" s="1997"/>
      <c r="I44" s="1997"/>
      <c r="J44" s="1997"/>
      <c r="K44" s="1998"/>
    </row>
    <row r="45" customFormat="false" ht="15" hidden="false" customHeight="false" outlineLevel="0" collapsed="false">
      <c r="A45" s="1996"/>
      <c r="B45" s="1997"/>
      <c r="C45" s="1997"/>
      <c r="D45" s="1997"/>
      <c r="E45" s="1997"/>
      <c r="F45" s="1997"/>
      <c r="G45" s="1997"/>
      <c r="H45" s="1997"/>
      <c r="I45" s="1997"/>
      <c r="J45" s="1997"/>
      <c r="K45" s="1998"/>
    </row>
    <row r="46" customFormat="false" ht="15" hidden="false" customHeight="false" outlineLevel="0" collapsed="false">
      <c r="A46" s="1996"/>
      <c r="B46" s="1997"/>
      <c r="C46" s="1997"/>
      <c r="D46" s="1997"/>
      <c r="E46" s="1997"/>
      <c r="F46" s="1997"/>
      <c r="G46" s="1997"/>
      <c r="H46" s="1997"/>
      <c r="I46" s="1997"/>
      <c r="J46" s="1997"/>
      <c r="K46" s="1998"/>
    </row>
    <row r="47" customFormat="false" ht="15" hidden="false" customHeight="false" outlineLevel="0" collapsed="false">
      <c r="A47" s="1996"/>
      <c r="B47" s="1997"/>
      <c r="C47" s="1997"/>
      <c r="D47" s="1997"/>
      <c r="E47" s="1997"/>
      <c r="F47" s="1997"/>
      <c r="G47" s="1997"/>
      <c r="H47" s="1997"/>
      <c r="I47" s="1997"/>
      <c r="J47" s="1997"/>
      <c r="K47" s="1998"/>
    </row>
    <row r="48" customFormat="false" ht="15" hidden="false" customHeight="false" outlineLevel="0" collapsed="false">
      <c r="A48" s="1996"/>
      <c r="B48" s="1997"/>
      <c r="C48" s="1997"/>
      <c r="D48" s="1997"/>
      <c r="E48" s="1997"/>
      <c r="F48" s="1997"/>
      <c r="G48" s="1997"/>
      <c r="H48" s="1997"/>
      <c r="I48" s="1997"/>
      <c r="J48" s="1997"/>
      <c r="K48" s="1998"/>
    </row>
    <row r="49" customFormat="false" ht="15" hidden="false" customHeight="false" outlineLevel="0" collapsed="false">
      <c r="A49" s="1996"/>
      <c r="B49" s="1997"/>
      <c r="C49" s="1997"/>
      <c r="D49" s="1997"/>
      <c r="E49" s="1997"/>
      <c r="F49" s="1997"/>
      <c r="G49" s="1997"/>
      <c r="H49" s="1997"/>
      <c r="I49" s="1997"/>
      <c r="J49" s="1997"/>
      <c r="K49" s="1998"/>
    </row>
    <row r="50" customFormat="false" ht="15" hidden="false" customHeight="false" outlineLevel="0" collapsed="false">
      <c r="A50" s="1996"/>
      <c r="B50" s="1997"/>
      <c r="C50" s="1997"/>
      <c r="D50" s="1997"/>
      <c r="E50" s="1997"/>
      <c r="F50" s="1997"/>
      <c r="G50" s="1997"/>
      <c r="H50" s="1997"/>
      <c r="I50" s="1997"/>
      <c r="J50" s="1997"/>
      <c r="K50" s="1998"/>
    </row>
    <row r="51" customFormat="false" ht="15" hidden="false" customHeight="false" outlineLevel="0" collapsed="false">
      <c r="A51" s="1996"/>
      <c r="B51" s="1997"/>
      <c r="C51" s="1997"/>
      <c r="D51" s="1997"/>
      <c r="E51" s="1997"/>
      <c r="F51" s="1997"/>
      <c r="G51" s="1997"/>
      <c r="H51" s="1997"/>
      <c r="I51" s="1997"/>
      <c r="J51" s="1997"/>
      <c r="K51" s="1998"/>
    </row>
    <row r="52" customFormat="false" ht="15" hidden="false" customHeight="false" outlineLevel="0" collapsed="false">
      <c r="A52" s="1996"/>
      <c r="B52" s="1997"/>
      <c r="C52" s="1997"/>
      <c r="D52" s="1997"/>
      <c r="E52" s="1997"/>
      <c r="F52" s="1997"/>
      <c r="G52" s="1997"/>
      <c r="H52" s="1997"/>
      <c r="I52" s="1997"/>
      <c r="J52" s="1997"/>
      <c r="K52" s="1998"/>
    </row>
    <row r="53" customFormat="false" ht="15" hidden="false" customHeight="false" outlineLevel="0" collapsed="false">
      <c r="A53" s="1996"/>
      <c r="B53" s="1997"/>
      <c r="C53" s="1997"/>
      <c r="D53" s="1997"/>
      <c r="E53" s="1997"/>
      <c r="F53" s="1997"/>
      <c r="G53" s="1997"/>
      <c r="H53" s="1997"/>
      <c r="I53" s="1997"/>
      <c r="J53" s="1997"/>
      <c r="K53" s="1998"/>
    </row>
    <row r="54" customFormat="false" ht="15" hidden="false" customHeight="false" outlineLevel="0" collapsed="false">
      <c r="A54" s="1999"/>
      <c r="B54" s="2000"/>
      <c r="C54" s="2000"/>
      <c r="D54" s="2000"/>
      <c r="E54" s="2000"/>
      <c r="F54" s="2000"/>
      <c r="G54" s="2000"/>
      <c r="H54" s="2000"/>
      <c r="I54" s="2000"/>
      <c r="J54" s="2000"/>
      <c r="K54" s="2001"/>
    </row>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61.xml><?xml version="1.0" encoding="utf-8"?>
<worksheet xmlns="http://schemas.openxmlformats.org/spreadsheetml/2006/main" xmlns:r="http://schemas.openxmlformats.org/officeDocument/2006/relationships">
  <sheetPr filterMode="false">
    <tabColor rgb="FF3366FF"/>
    <pageSetUpPr fitToPage="true"/>
  </sheetPr>
  <dimension ref="A1:K3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22" activeCellId="0" sqref="D22"/>
    </sheetView>
  </sheetViews>
  <sheetFormatPr defaultRowHeight="15" zeroHeight="true" outlineLevelRow="0" outlineLevelCol="0"/>
  <cols>
    <col collapsed="false" customWidth="true" hidden="false" outlineLevel="0" max="1" min="1" style="52" width="14.7"/>
    <col collapsed="false" customWidth="true" hidden="false" outlineLevel="0" max="10" min="2" style="48" width="14.7"/>
    <col collapsed="false" customWidth="true" hidden="false" outlineLevel="0" max="11" min="11" style="54" width="14.7"/>
    <col collapsed="false" customWidth="true" hidden="false" outlineLevel="0" max="12" min="12" style="4" width="1.42"/>
    <col collapsed="false" customWidth="true" hidden="true" outlineLevel="0" max="1025" min="13" style="4" width="9.14"/>
  </cols>
  <sheetData>
    <row r="1" customFormat="false" ht="28.5" hidden="false" customHeight="false" outlineLevel="0" collapsed="false">
      <c r="A1" s="113" t="s">
        <v>1131</v>
      </c>
      <c r="B1" s="114"/>
      <c r="C1" s="114"/>
      <c r="D1" s="114"/>
      <c r="E1" s="114"/>
      <c r="F1" s="114"/>
      <c r="G1" s="114"/>
      <c r="H1" s="114"/>
      <c r="I1" s="114"/>
      <c r="J1" s="114"/>
      <c r="K1" s="115" t="s">
        <v>99</v>
      </c>
    </row>
    <row r="2" customFormat="false" ht="15" hidden="false" customHeight="false" outlineLevel="0" collapsed="false">
      <c r="E2" s="848"/>
      <c r="K2" s="849"/>
    </row>
    <row r="3" customFormat="false" ht="18" hidden="false" customHeight="false" outlineLevel="0" collapsed="false">
      <c r="A3" s="850" t="s">
        <v>34</v>
      </c>
      <c r="B3" s="363" t="str">
        <f aca="false">'Reference sheet'!C12</f>
        <v>TEST</v>
      </c>
      <c r="E3" s="367" t="s">
        <v>46</v>
      </c>
      <c r="F3" s="852" t="n">
        <f aca="false">'Reference sheet'!C15</f>
        <v>1</v>
      </c>
      <c r="G3" s="853" t="s">
        <v>49</v>
      </c>
      <c r="H3" s="1168" t="str">
        <f aca="false">'Reference sheet'!C17</f>
        <v>July</v>
      </c>
      <c r="I3" s="854" t="n">
        <f aca="false">'Reference sheet'!D17</f>
        <v>2018</v>
      </c>
      <c r="J3" s="365" t="s">
        <v>527</v>
      </c>
      <c r="K3" s="855" t="str">
        <f aca="false">'Reference sheet'!C21</f>
        <v>EUR</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row r="6" customFormat="false" ht="15" hidden="false" customHeight="false" outlineLevel="0" collapsed="false">
      <c r="A6" s="52" t="s">
        <v>1132</v>
      </c>
      <c r="B6" s="48" t="s">
        <v>1133</v>
      </c>
    </row>
    <row r="7" customFormat="false" ht="15" hidden="false" customHeight="false" outlineLevel="0" collapsed="false">
      <c r="A7" s="52" t="s">
        <v>1134</v>
      </c>
      <c r="B7" s="48" t="s">
        <v>1135</v>
      </c>
    </row>
    <row r="8" customFormat="false" ht="15" hidden="false" customHeight="false" outlineLevel="0" collapsed="false">
      <c r="A8" s="52" t="s">
        <v>1136</v>
      </c>
      <c r="B8" s="48" t="s">
        <v>1137</v>
      </c>
    </row>
    <row r="9" customFormat="false" ht="15" hidden="false" customHeight="false" outlineLevel="0" collapsed="false"/>
    <row r="10" customFormat="false" ht="15" hidden="false" customHeight="false" outlineLevel="0" collapsed="false"/>
    <row r="11" customFormat="false" ht="15" hidden="false" customHeight="false" outlineLevel="0" collapsed="false"/>
    <row r="12" customFormat="false" ht="15" hidden="false" customHeight="false" outlineLevel="0" collapsed="false"/>
    <row r="13" customFormat="false" ht="15" hidden="false" customHeight="false" outlineLevel="0" collapsed="false"/>
    <row r="14" customFormat="false" ht="15" hidden="false" customHeight="false" outlineLevel="0" collapsed="false"/>
    <row r="15" customFormat="false" ht="15" hidden="false" customHeight="false" outlineLevel="0" collapsed="false"/>
    <row r="16" customFormat="false" ht="15" hidden="false" customHeight="false" outlineLevel="0" collapsed="false"/>
    <row r="17" customFormat="false" ht="15" hidden="false" customHeight="false" outlineLevel="0" collapsed="false"/>
    <row r="18" customFormat="false" ht="15" hidden="false" customHeight="false" outlineLevel="0" collapsed="false"/>
    <row r="19" customFormat="false" ht="15" hidden="false" customHeight="false" outlineLevel="0" collapsed="false"/>
    <row r="20" customFormat="false" ht="15" hidden="false" customHeight="false" outlineLevel="0" collapsed="false"/>
    <row r="21" customFormat="false" ht="15" hidden="false" customHeight="false" outlineLevel="0" collapsed="false"/>
    <row r="22" customFormat="false" ht="15" hidden="false" customHeight="false" outlineLevel="0" collapsed="false"/>
    <row r="23" customFormat="false" ht="15" hidden="false" customHeight="false" outlineLevel="0" collapsed="false"/>
    <row r="24" customFormat="false" ht="15" hidden="false" customHeight="false" outlineLevel="0" collapsed="false"/>
    <row r="25" customFormat="false" ht="15" hidden="false" customHeight="false" outlineLevel="0" collapsed="false"/>
    <row r="26" customFormat="false" ht="15" hidden="false" customHeight="false" outlineLevel="0" collapsed="false"/>
    <row r="27" customFormat="false" ht="15" hidden="false" customHeight="false" outlineLevel="0" collapsed="false"/>
    <row r="28" customFormat="false" ht="15" hidden="false" customHeight="false" outlineLevel="0" collapsed="false"/>
    <row r="29" customFormat="false" ht="15" hidden="false" customHeight="false" outlineLevel="0" collapsed="false"/>
    <row r="30" customFormat="false" ht="15" hidden="false" customHeight="false" outlineLevel="0" collapsed="false"/>
    <row r="31" customFormat="false" ht="15" hidden="false" customHeight="false" outlineLevel="0" collapsed="false"/>
    <row r="32" customFormat="false" ht="15" hidden="false" customHeight="false" outlineLevel="0" collapsed="false"/>
    <row r="33" customFormat="false" ht="15" hidden="false" customHeight="false" outlineLevel="0" collapsed="false">
      <c r="A33" s="82"/>
      <c r="B33" s="107"/>
      <c r="C33" s="107"/>
      <c r="D33" s="107"/>
      <c r="E33" s="107"/>
      <c r="F33" s="107"/>
      <c r="G33" s="107"/>
      <c r="H33" s="107"/>
      <c r="I33" s="107"/>
      <c r="J33" s="107"/>
      <c r="K33" s="84"/>
    </row>
    <row r="34" customFormat="false" ht="12.75" hidden="true" customHeight="true" outlineLevel="0" collapsed="false"/>
  </sheetData>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 - Version January 2011&amp;CPrint date: &amp;D&amp;R&amp;P/&amp;N | DAF Trucks NV    </oddFooter>
  </headerFooter>
  <drawing r:id="rId1"/>
</worksheet>
</file>

<file path=xl/worksheets/sheet62.xml><?xml version="1.0" encoding="utf-8"?>
<worksheet xmlns="http://schemas.openxmlformats.org/spreadsheetml/2006/main" xmlns:r="http://schemas.openxmlformats.org/officeDocument/2006/relationships">
  <sheetPr filterMode="false">
    <tabColor rgb="FF3366FF"/>
    <pageSetUpPr fitToPage="true"/>
  </sheetPr>
  <dimension ref="A1:K14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7" topLeftCell="A18" activePane="bottomLeft" state="frozen"/>
      <selection pane="topLeft" activeCell="A1" activeCellId="0" sqref="A1"/>
      <selection pane="bottomLeft" activeCell="D12" activeCellId="0" sqref="D12"/>
    </sheetView>
  </sheetViews>
  <sheetFormatPr defaultRowHeight="15" zeroHeight="true" outlineLevelRow="0" outlineLevelCol="0"/>
  <cols>
    <col collapsed="false" customWidth="true" hidden="false" outlineLevel="0" max="1" min="1" style="4" width="20.57"/>
    <col collapsed="false" customWidth="true" hidden="false" outlineLevel="0" max="2" min="2" style="4" width="12.29"/>
    <col collapsed="false" customWidth="true" hidden="false" outlineLevel="0" max="3" min="3" style="4" width="13.14"/>
    <col collapsed="false" customWidth="true" hidden="false" outlineLevel="0" max="4" min="4" style="4" width="9.14"/>
    <col collapsed="false" customWidth="true" hidden="false" outlineLevel="0" max="5" min="5" style="4" width="13.14"/>
    <col collapsed="false" customWidth="true" hidden="false" outlineLevel="0" max="6" min="6" style="4" width="9.14"/>
    <col collapsed="false" customWidth="true" hidden="false" outlineLevel="0" max="7" min="7" style="4" width="13.14"/>
    <col collapsed="false" customWidth="true" hidden="false" outlineLevel="0" max="8" min="8" style="4" width="13.01"/>
    <col collapsed="false" customWidth="true" hidden="false" outlineLevel="0" max="9" min="9" style="4" width="13.14"/>
    <col collapsed="false" customWidth="false" hidden="false" outlineLevel="0" max="10" min="10" style="4" width="11.57"/>
    <col collapsed="false" customWidth="true" hidden="false" outlineLevel="0" max="11" min="11" style="4" width="14.15"/>
    <col collapsed="false" customWidth="true" hidden="false" outlineLevel="0" max="12" min="12" style="22" width="1.58"/>
    <col collapsed="false" customWidth="true" hidden="true" outlineLevel="0" max="1025" min="13" style="4" width="9.14"/>
  </cols>
  <sheetData>
    <row r="1" customFormat="false" ht="28.5" hidden="false" customHeight="false" outlineLevel="0" collapsed="false">
      <c r="A1" s="113" t="str">
        <f aca="false">'7.12 Assumptions &amp; Remarks'!A1</f>
        <v>Financial Business Plan</v>
      </c>
      <c r="B1" s="114"/>
      <c r="C1" s="114"/>
      <c r="D1" s="114"/>
      <c r="E1" s="114"/>
      <c r="F1" s="114"/>
      <c r="G1" s="114"/>
      <c r="H1" s="114"/>
      <c r="I1" s="114"/>
      <c r="J1" s="114"/>
      <c r="K1" s="115" t="s">
        <v>1138</v>
      </c>
    </row>
    <row r="2" customFormat="false" ht="15" hidden="false" customHeight="false" outlineLevel="0" collapsed="false">
      <c r="A2" s="52"/>
      <c r="B2" s="48"/>
      <c r="C2" s="48"/>
      <c r="D2" s="48"/>
      <c r="E2" s="848"/>
      <c r="F2" s="48"/>
      <c r="G2" s="48"/>
      <c r="H2" s="48"/>
      <c r="I2" s="48"/>
      <c r="J2" s="48"/>
      <c r="K2" s="849"/>
    </row>
    <row r="3" customFormat="false" ht="18" hidden="false" customHeight="false" outlineLevel="0" collapsed="false">
      <c r="A3" s="850" t="s">
        <v>34</v>
      </c>
      <c r="B3" s="363" t="str">
        <f aca="false">'Reference sheet'!C12</f>
        <v>TEST</v>
      </c>
      <c r="D3" s="48"/>
      <c r="E3" s="367" t="s">
        <v>46</v>
      </c>
      <c r="F3" s="852" t="n">
        <f aca="false">'Reference sheet'!C15</f>
        <v>1</v>
      </c>
      <c r="G3" s="853" t="s">
        <v>49</v>
      </c>
      <c r="H3" s="368" t="str">
        <f aca="false">'Reference sheet'!C17</f>
        <v>July</v>
      </c>
      <c r="I3" s="365"/>
      <c r="J3" s="365" t="s">
        <v>527</v>
      </c>
      <c r="K3" s="855" t="str">
        <f aca="false">'Reference sheet'!C21</f>
        <v>EUR</v>
      </c>
    </row>
    <row r="4" customFormat="false" ht="15" hidden="false" customHeight="false" outlineLevel="0" collapsed="false">
      <c r="A4" s="82"/>
      <c r="B4" s="126"/>
      <c r="C4" s="107"/>
      <c r="D4" s="107"/>
      <c r="E4" s="107"/>
      <c r="F4" s="107"/>
      <c r="G4" s="127"/>
      <c r="H4" s="107"/>
      <c r="I4" s="107"/>
      <c r="J4" s="107"/>
      <c r="K4" s="128"/>
    </row>
    <row r="5" customFormat="false" ht="15" hidden="false" customHeight="false" outlineLevel="0" collapsed="false"/>
    <row r="6" customFormat="false" ht="15" hidden="false" customHeight="false" outlineLevel="0" collapsed="false">
      <c r="A6" s="4" t="s">
        <v>1139</v>
      </c>
    </row>
    <row r="7" customFormat="false" ht="15" hidden="false" customHeight="false" outlineLevel="0" collapsed="false"/>
    <row r="8" customFormat="false" ht="15" hidden="false" customHeight="false" outlineLevel="0" collapsed="false">
      <c r="A8" s="2006" t="s">
        <v>1140</v>
      </c>
    </row>
    <row r="9" customFormat="false" ht="15" hidden="false" customHeight="false" outlineLevel="0" collapsed="false">
      <c r="A9" s="4" t="s">
        <v>1141</v>
      </c>
      <c r="D9" s="2007" t="n">
        <v>1</v>
      </c>
    </row>
    <row r="10" customFormat="false" ht="15" hidden="false" customHeight="false" outlineLevel="0" collapsed="false">
      <c r="A10" s="4" t="s">
        <v>1142</v>
      </c>
      <c r="D10" s="2007" t="n">
        <v>1</v>
      </c>
    </row>
    <row r="11" customFormat="false" ht="15" hidden="false" customHeight="false" outlineLevel="0" collapsed="false">
      <c r="A11" s="4" t="s">
        <v>1143</v>
      </c>
      <c r="D11" s="2007" t="n">
        <v>1</v>
      </c>
    </row>
    <row r="12" customFormat="false" ht="15" hidden="false" customHeight="false" outlineLevel="0" collapsed="false">
      <c r="A12" s="4" t="s">
        <v>1144</v>
      </c>
      <c r="D12" s="2007" t="n">
        <v>1</v>
      </c>
    </row>
    <row r="13" customFormat="false" ht="15" hidden="false" customHeight="false" outlineLevel="0" collapsed="false">
      <c r="A13" s="4" t="s">
        <v>1145</v>
      </c>
      <c r="D13" s="2007" t="n">
        <v>1</v>
      </c>
    </row>
    <row r="14" customFormat="false" ht="15" hidden="false" customHeight="false" outlineLevel="0" collapsed="false">
      <c r="A14" s="4" t="s">
        <v>1146</v>
      </c>
      <c r="D14" s="2007" t="n">
        <v>1</v>
      </c>
    </row>
    <row r="15" customFormat="false" ht="15" hidden="false" customHeight="false" outlineLevel="0" collapsed="false">
      <c r="A15" s="4" t="s">
        <v>1147</v>
      </c>
      <c r="D15" s="2007" t="n">
        <v>1</v>
      </c>
    </row>
    <row r="16" customFormat="false" ht="15" hidden="false" customHeight="false" outlineLevel="0" collapsed="false">
      <c r="A16" s="4" t="s">
        <v>1148</v>
      </c>
      <c r="D16" s="2007" t="n">
        <v>1</v>
      </c>
    </row>
    <row r="17" customFormat="false" ht="15" hidden="false" customHeight="false" outlineLevel="0" collapsed="false"/>
    <row r="19" customFormat="false" ht="18.75" hidden="true" customHeight="false" outlineLevel="0" collapsed="false">
      <c r="A19" s="1647" t="s">
        <v>1149</v>
      </c>
      <c r="B19" s="129"/>
      <c r="C19" s="1433" t="n">
        <f aca="false">+'7.1 Dealer area'!C5</f>
        <v>2019</v>
      </c>
      <c r="D19" s="2008"/>
      <c r="E19" s="1433" t="n">
        <f aca="false">+'7.1 Dealer area'!E5</f>
        <v>2020</v>
      </c>
      <c r="F19" s="2009"/>
      <c r="G19" s="2010" t="n">
        <f aca="false">+'7.1 Dealer area'!G5</f>
        <v>2021</v>
      </c>
      <c r="H19" s="2008"/>
      <c r="I19" s="2010" t="n">
        <f aca="false">+'7.1 Dealer area'!I5</f>
        <v>2022</v>
      </c>
      <c r="J19" s="2008"/>
      <c r="K19" s="2010" t="n">
        <f aca="false">+'7.1 Dealer area'!K5</f>
        <v>2023</v>
      </c>
    </row>
    <row r="20" customFormat="false" ht="15" hidden="true" customHeight="false" outlineLevel="0" collapsed="false">
      <c r="A20" s="2011" t="s">
        <v>1150</v>
      </c>
      <c r="B20" s="277"/>
      <c r="C20" s="2011"/>
      <c r="D20" s="276"/>
      <c r="E20" s="2012"/>
      <c r="F20" s="2012"/>
      <c r="G20" s="2012"/>
      <c r="H20" s="2012"/>
      <c r="I20" s="2012"/>
      <c r="J20" s="2012"/>
      <c r="K20" s="2013"/>
    </row>
    <row r="21" customFormat="false" ht="15" hidden="true" customHeight="false" outlineLevel="0" collapsed="false">
      <c r="A21" s="256"/>
      <c r="B21" s="258"/>
      <c r="C21" s="327"/>
      <c r="D21" s="320"/>
      <c r="E21" s="2014"/>
      <c r="F21" s="2014"/>
      <c r="G21" s="2014"/>
      <c r="H21" s="2014"/>
      <c r="I21" s="2014"/>
      <c r="J21" s="2014"/>
      <c r="K21" s="2015"/>
    </row>
    <row r="22" customFormat="false" ht="15" hidden="true" customHeight="false" outlineLevel="0" collapsed="false">
      <c r="A22" s="562" t="s">
        <v>604</v>
      </c>
      <c r="B22" s="67"/>
      <c r="C22" s="2016" t="e">
        <f aca="false">'7.6.1 Activity contribution'!H16</f>
        <v>#VALUE!</v>
      </c>
      <c r="D22" s="1619"/>
      <c r="E22" s="1619" t="e">
        <f aca="false">'7.6.1 Activity contribution'!H93</f>
        <v>#VALUE!</v>
      </c>
      <c r="F22" s="1619"/>
      <c r="G22" s="1619" t="e">
        <f aca="false">'7.6.1 Activity contribution'!H170</f>
        <v>#VALUE!</v>
      </c>
      <c r="H22" s="1619"/>
      <c r="I22" s="1619" t="e">
        <f aca="false">'7.6.1 Activity contribution'!H247</f>
        <v>#VALUE!</v>
      </c>
      <c r="J22" s="1619"/>
      <c r="K22" s="1618" t="e">
        <f aca="false">'7.6.1 Activity contribution'!H324</f>
        <v>#VALUE!</v>
      </c>
    </row>
    <row r="23" customFormat="false" ht="15" hidden="true" customHeight="false" outlineLevel="0" collapsed="false">
      <c r="A23" s="562"/>
      <c r="B23" s="67"/>
      <c r="C23" s="2016"/>
      <c r="D23" s="1619"/>
      <c r="E23" s="1619"/>
      <c r="F23" s="1619"/>
      <c r="G23" s="1619"/>
      <c r="H23" s="1619"/>
      <c r="I23" s="1619"/>
      <c r="J23" s="1619"/>
      <c r="K23" s="1618"/>
    </row>
    <row r="24" customFormat="false" ht="15" hidden="true" customHeight="false" outlineLevel="0" collapsed="false">
      <c r="A24" s="562" t="s">
        <v>1151</v>
      </c>
      <c r="B24" s="67"/>
      <c r="C24" s="2016" t="e">
        <f aca="false">'7.7 P&amp;L'!C13</f>
        <v>#VALUE!</v>
      </c>
      <c r="D24" s="1619"/>
      <c r="E24" s="1619" t="e">
        <f aca="false">'7.7 P&amp;L'!E13</f>
        <v>#VALUE!</v>
      </c>
      <c r="F24" s="1619"/>
      <c r="G24" s="1619" t="e">
        <f aca="false">'7.7 P&amp;L'!G13</f>
        <v>#VALUE!</v>
      </c>
      <c r="H24" s="1619"/>
      <c r="I24" s="1619" t="e">
        <f aca="false">'7.7 P&amp;L'!I13</f>
        <v>#VALUE!</v>
      </c>
      <c r="J24" s="1619"/>
      <c r="K24" s="1618" t="e">
        <f aca="false">'7.7 P&amp;L'!K13</f>
        <v>#VALUE!</v>
      </c>
    </row>
    <row r="25" customFormat="false" ht="15" hidden="true" customHeight="false" outlineLevel="0" collapsed="false">
      <c r="A25" s="562"/>
      <c r="B25" s="67"/>
      <c r="C25" s="2016"/>
      <c r="D25" s="1619"/>
      <c r="E25" s="1619"/>
      <c r="F25" s="1619"/>
      <c r="G25" s="1619"/>
      <c r="H25" s="1619"/>
      <c r="I25" s="1619"/>
      <c r="J25" s="1619"/>
      <c r="K25" s="1618"/>
    </row>
    <row r="26" customFormat="false" ht="15" hidden="true" customHeight="false" outlineLevel="0" collapsed="false">
      <c r="A26" s="562" t="s">
        <v>1152</v>
      </c>
      <c r="B26" s="67"/>
      <c r="C26" s="2016" t="e">
        <f aca="false">'7.7 P&amp;L'!C22</f>
        <v>#VALUE!</v>
      </c>
      <c r="D26" s="1619"/>
      <c r="E26" s="1619" t="e">
        <f aca="false">'7.7 P&amp;L'!E22</f>
        <v>#VALUE!</v>
      </c>
      <c r="F26" s="1619"/>
      <c r="G26" s="1619" t="e">
        <f aca="false">'7.7 P&amp;L'!G22</f>
        <v>#VALUE!</v>
      </c>
      <c r="H26" s="1619"/>
      <c r="I26" s="1619" t="e">
        <f aca="false">'7.7 P&amp;L'!I22</f>
        <v>#VALUE!</v>
      </c>
      <c r="J26" s="1619"/>
      <c r="K26" s="1618" t="e">
        <f aca="false">'7.7 P&amp;L'!K22</f>
        <v>#VALUE!</v>
      </c>
    </row>
    <row r="27" customFormat="false" ht="15" hidden="true" customHeight="false" outlineLevel="0" collapsed="false">
      <c r="A27" s="562"/>
      <c r="B27" s="67"/>
      <c r="C27" s="2016"/>
      <c r="D27" s="1619"/>
      <c r="E27" s="1619"/>
      <c r="F27" s="1619"/>
      <c r="G27" s="1619"/>
      <c r="H27" s="1619"/>
      <c r="I27" s="1619"/>
      <c r="J27" s="1619"/>
      <c r="K27" s="1618"/>
    </row>
    <row r="28" customFormat="false" ht="15" hidden="true" customHeight="false" outlineLevel="0" collapsed="false">
      <c r="A28" s="562" t="s">
        <v>1153</v>
      </c>
      <c r="B28" s="67"/>
      <c r="C28" s="2016" t="e">
        <f aca="false">'7.7 P&amp;L'!C42</f>
        <v>#VALUE!</v>
      </c>
      <c r="D28" s="1619"/>
      <c r="E28" s="1619" t="e">
        <f aca="false">'7.7 P&amp;L'!E42</f>
        <v>#VALUE!</v>
      </c>
      <c r="F28" s="1619"/>
      <c r="G28" s="1619" t="e">
        <f aca="false">'7.7 P&amp;L'!G42</f>
        <v>#VALUE!</v>
      </c>
      <c r="H28" s="1619"/>
      <c r="I28" s="1619" t="e">
        <f aca="false">'7.7 P&amp;L'!I42</f>
        <v>#VALUE!</v>
      </c>
      <c r="J28" s="1619"/>
      <c r="K28" s="1618" t="e">
        <f aca="false">'7.7 P&amp;L'!K42</f>
        <v>#VALUE!</v>
      </c>
    </row>
    <row r="29" customFormat="false" ht="15" hidden="true" customHeight="false" outlineLevel="0" collapsed="false">
      <c r="A29" s="562"/>
      <c r="B29" s="67"/>
      <c r="C29" s="2016"/>
      <c r="D29" s="1619"/>
      <c r="E29" s="1619"/>
      <c r="F29" s="1619"/>
      <c r="G29" s="1619"/>
      <c r="H29" s="1619"/>
      <c r="I29" s="1619"/>
      <c r="J29" s="1619"/>
      <c r="K29" s="1618"/>
    </row>
    <row r="30" customFormat="false" ht="15" hidden="true" customHeight="false" outlineLevel="0" collapsed="false">
      <c r="A30" s="562" t="s">
        <v>1154</v>
      </c>
      <c r="B30" s="67"/>
      <c r="C30" s="2016" t="e">
        <f aca="false">'7.10 Ratio''s balance'!C27</f>
        <v>#REF!</v>
      </c>
      <c r="D30" s="1619"/>
      <c r="E30" s="1619" t="e">
        <f aca="false">'7.10 Ratio''s balance'!E27</f>
        <v>#REF!</v>
      </c>
      <c r="F30" s="1619"/>
      <c r="G30" s="1619" t="e">
        <f aca="false">'7.10 Ratio''s balance'!G27</f>
        <v>#REF!</v>
      </c>
      <c r="H30" s="1619"/>
      <c r="I30" s="1619" t="e">
        <f aca="false">'7.10 Ratio''s balance'!I27</f>
        <v>#REF!</v>
      </c>
      <c r="J30" s="1619"/>
      <c r="K30" s="1618" t="e">
        <f aca="false">'7.10 Ratio''s balance'!K27</f>
        <v>#REF!</v>
      </c>
    </row>
    <row r="31" customFormat="false" ht="15" hidden="true" customHeight="false" outlineLevel="0" collapsed="false">
      <c r="A31" s="562"/>
      <c r="B31" s="67"/>
      <c r="C31" s="328"/>
      <c r="D31" s="71"/>
      <c r="E31" s="71"/>
      <c r="F31" s="71"/>
      <c r="G31" s="71"/>
      <c r="H31" s="71"/>
      <c r="I31" s="71"/>
      <c r="J31" s="71"/>
      <c r="K31" s="323"/>
    </row>
    <row r="32" customFormat="false" ht="15" hidden="true" customHeight="false" outlineLevel="0" collapsed="false">
      <c r="A32" s="562" t="s">
        <v>1155</v>
      </c>
      <c r="B32" s="67"/>
      <c r="C32" s="2017" t="e">
        <f aca="false">'7.10 Ratio''s balance'!C37</f>
        <v>#VALUE!</v>
      </c>
      <c r="D32" s="1927"/>
      <c r="E32" s="1927" t="e">
        <f aca="false">'7.10 Ratio''s balance'!E37</f>
        <v>#VALUE!</v>
      </c>
      <c r="F32" s="1927"/>
      <c r="G32" s="1927" t="e">
        <f aca="false">'7.10 Ratio''s balance'!G37</f>
        <v>#VALUE!</v>
      </c>
      <c r="H32" s="1927"/>
      <c r="I32" s="1927" t="e">
        <f aca="false">'7.10 Ratio''s balance'!I37</f>
        <v>#VALUE!</v>
      </c>
      <c r="J32" s="1927"/>
      <c r="K32" s="2018" t="e">
        <f aca="false">'7.10 Ratio''s balance'!K37</f>
        <v>#VALUE!</v>
      </c>
    </row>
    <row r="33" customFormat="false" ht="15" hidden="true" customHeight="false" outlineLevel="0" collapsed="false">
      <c r="A33" s="562"/>
      <c r="B33" s="67"/>
      <c r="C33" s="2017"/>
      <c r="D33" s="1927"/>
      <c r="E33" s="1927"/>
      <c r="F33" s="1927"/>
      <c r="G33" s="1927"/>
      <c r="H33" s="1927"/>
      <c r="I33" s="1927"/>
      <c r="J33" s="1927"/>
      <c r="K33" s="2018"/>
    </row>
    <row r="34" customFormat="false" ht="15" hidden="true" customHeight="false" outlineLevel="0" collapsed="false">
      <c r="A34" s="562" t="s">
        <v>1156</v>
      </c>
      <c r="B34" s="67"/>
      <c r="C34" s="2017" t="e">
        <f aca="false">'7.10 Ratio''s balance'!C73</f>
        <v>#VALUE!</v>
      </c>
      <c r="D34" s="1927"/>
      <c r="E34" s="1927" t="e">
        <f aca="false">'7.10 Ratio''s balance'!E73</f>
        <v>#VALUE!</v>
      </c>
      <c r="F34" s="1927"/>
      <c r="G34" s="1927" t="e">
        <f aca="false">'7.10 Ratio''s balance'!G73</f>
        <v>#VALUE!</v>
      </c>
      <c r="H34" s="1927"/>
      <c r="I34" s="1927" t="e">
        <f aca="false">'7.10 Ratio''s balance'!I73</f>
        <v>#VALUE!</v>
      </c>
      <c r="J34" s="1927"/>
      <c r="K34" s="2018" t="e">
        <f aca="false">'7.10 Ratio''s balance'!K73</f>
        <v>#VALUE!</v>
      </c>
    </row>
    <row r="35" customFormat="false" ht="15" hidden="true" customHeight="false" outlineLevel="0" collapsed="false">
      <c r="A35" s="560"/>
      <c r="B35" s="941"/>
      <c r="C35" s="329"/>
      <c r="D35" s="325"/>
      <c r="E35" s="325"/>
      <c r="F35" s="325"/>
      <c r="G35" s="325"/>
      <c r="H35" s="325"/>
      <c r="I35" s="325"/>
      <c r="J35" s="325"/>
      <c r="K35" s="326"/>
    </row>
    <row r="37" customFormat="false" ht="18.75" hidden="true" customHeight="false" outlineLevel="0" collapsed="false">
      <c r="A37" s="1251" t="s">
        <v>1157</v>
      </c>
      <c r="B37" s="126"/>
      <c r="C37" s="940" t="e">
        <f aca="false">#REF!</f>
        <v>#REF!</v>
      </c>
      <c r="D37" s="941"/>
      <c r="E37" s="860" t="e">
        <f aca="false">#REF!</f>
        <v>#REF!</v>
      </c>
      <c r="F37" s="942"/>
      <c r="G37" s="860" t="e">
        <f aca="false">#REF!</f>
        <v>#REF!</v>
      </c>
      <c r="H37" s="943"/>
      <c r="I37" s="860" t="e">
        <f aca="false">#REF!</f>
        <v>#REF!</v>
      </c>
      <c r="J37" s="943"/>
      <c r="K37" s="860" t="e">
        <f aca="false">#REF!</f>
        <v>#REF!</v>
      </c>
    </row>
    <row r="38" customFormat="false" ht="21" hidden="true" customHeight="false" outlineLevel="0" collapsed="false">
      <c r="A38" s="1925" t="e">
        <f aca="false">#REF!</f>
        <v>#REF!</v>
      </c>
      <c r="B38" s="2019"/>
      <c r="C38" s="500"/>
      <c r="D38" s="132"/>
      <c r="E38" s="132"/>
      <c r="F38" s="132"/>
      <c r="G38" s="1560"/>
      <c r="H38" s="132"/>
      <c r="I38" s="132"/>
      <c r="J38" s="132"/>
      <c r="K38" s="1561"/>
    </row>
    <row r="39" customFormat="false" ht="15" hidden="true" customHeight="false" outlineLevel="0" collapsed="false">
      <c r="A39" s="52"/>
      <c r="B39" s="1186"/>
      <c r="C39" s="1758"/>
      <c r="D39" s="71"/>
      <c r="E39" s="71"/>
      <c r="F39" s="71"/>
      <c r="G39" s="2020"/>
      <c r="H39" s="71"/>
      <c r="I39" s="71"/>
      <c r="J39" s="71"/>
      <c r="K39" s="2021"/>
    </row>
    <row r="40" customFormat="false" ht="15" hidden="true" customHeight="false" outlineLevel="0" collapsed="false">
      <c r="A40" s="134" t="e">
        <f aca="false">#REF!</f>
        <v>#REF!</v>
      </c>
      <c r="B40" s="48"/>
      <c r="C40" s="1661" t="e">
        <f aca="false">#REF!</f>
        <v>#REF!</v>
      </c>
      <c r="D40" s="1881"/>
      <c r="E40" s="1881" t="e">
        <f aca="false">#REF!</f>
        <v>#REF!</v>
      </c>
      <c r="F40" s="1881"/>
      <c r="G40" s="1881" t="e">
        <f aca="false">#REF!</f>
        <v>#REF!</v>
      </c>
      <c r="H40" s="1881"/>
      <c r="I40" s="1881" t="e">
        <f aca="false">#REF!</f>
        <v>#REF!</v>
      </c>
      <c r="J40" s="1881"/>
      <c r="K40" s="1717" t="e">
        <f aca="false">#REF!</f>
        <v>#REF!</v>
      </c>
    </row>
    <row r="41" customFormat="false" ht="15" hidden="true" customHeight="false" outlineLevel="0" collapsed="false">
      <c r="A41" s="134" t="e">
        <f aca="false">#REF!</f>
        <v>#REF!</v>
      </c>
      <c r="B41" s="48"/>
      <c r="C41" s="1931" t="e">
        <f aca="false">#REF!</f>
        <v>#REF!</v>
      </c>
      <c r="D41" s="1929"/>
      <c r="E41" s="1929" t="e">
        <f aca="false">#REF!</f>
        <v>#REF!</v>
      </c>
      <c r="F41" s="1929"/>
      <c r="G41" s="1929" t="e">
        <f aca="false">#REF!</f>
        <v>#REF!</v>
      </c>
      <c r="H41" s="1929"/>
      <c r="I41" s="1929" t="e">
        <f aca="false">#REF!</f>
        <v>#REF!</v>
      </c>
      <c r="J41" s="1929"/>
      <c r="K41" s="1930" t="e">
        <f aca="false">#REF!</f>
        <v>#REF!</v>
      </c>
    </row>
    <row r="42" customFormat="false" ht="15" hidden="true" customHeight="false" outlineLevel="0" collapsed="false">
      <c r="A42" s="134" t="e">
        <f aca="false">#REF!</f>
        <v>#REF!</v>
      </c>
      <c r="B42" s="48"/>
      <c r="C42" s="1931" t="e">
        <f aca="false">#REF!</f>
        <v>#REF!</v>
      </c>
      <c r="D42" s="1929"/>
      <c r="E42" s="1929" t="e">
        <f aca="false">#REF!</f>
        <v>#REF!</v>
      </c>
      <c r="F42" s="1929"/>
      <c r="G42" s="1929" t="e">
        <f aca="false">#REF!</f>
        <v>#REF!</v>
      </c>
      <c r="H42" s="1929"/>
      <c r="I42" s="1929" t="e">
        <f aca="false">#REF!</f>
        <v>#REF!</v>
      </c>
      <c r="J42" s="1929"/>
      <c r="K42" s="1930" t="e">
        <f aca="false">#REF!</f>
        <v>#REF!</v>
      </c>
    </row>
    <row r="43" customFormat="false" ht="15" hidden="true" customHeight="false" outlineLevel="0" collapsed="false">
      <c r="A43" s="134" t="e">
        <f aca="false">#REF!</f>
        <v>#REF!</v>
      </c>
      <c r="B43" s="48"/>
      <c r="C43" s="1931" t="e">
        <f aca="false">#REF!</f>
        <v>#REF!</v>
      </c>
      <c r="D43" s="1929"/>
      <c r="E43" s="1929" t="e">
        <f aca="false">#REF!</f>
        <v>#REF!</v>
      </c>
      <c r="F43" s="1929"/>
      <c r="G43" s="1929" t="e">
        <f aca="false">#REF!</f>
        <v>#REF!</v>
      </c>
      <c r="H43" s="1929"/>
      <c r="I43" s="1929" t="e">
        <f aca="false">#REF!</f>
        <v>#REF!</v>
      </c>
      <c r="J43" s="1929"/>
      <c r="K43" s="1930" t="e">
        <f aca="false">#REF!</f>
        <v>#REF!</v>
      </c>
    </row>
    <row r="44" customFormat="false" ht="15" hidden="true" customHeight="false" outlineLevel="0" collapsed="false">
      <c r="A44" s="134" t="e">
        <f aca="false">#REF!</f>
        <v>#REF!</v>
      </c>
      <c r="B44" s="48"/>
      <c r="C44" s="1931" t="e">
        <f aca="false">#REF!</f>
        <v>#REF!</v>
      </c>
      <c r="D44" s="1929"/>
      <c r="E44" s="1929" t="e">
        <f aca="false">#REF!</f>
        <v>#REF!</v>
      </c>
      <c r="F44" s="1929"/>
      <c r="G44" s="1929" t="e">
        <f aca="false">#REF!</f>
        <v>#REF!</v>
      </c>
      <c r="H44" s="1929"/>
      <c r="I44" s="1929" t="e">
        <f aca="false">#REF!</f>
        <v>#REF!</v>
      </c>
      <c r="J44" s="1929"/>
      <c r="K44" s="1930" t="e">
        <f aca="false">#REF!</f>
        <v>#REF!</v>
      </c>
    </row>
    <row r="45" customFormat="false" ht="15" hidden="true" customHeight="false" outlineLevel="0" collapsed="false">
      <c r="A45" s="134" t="e">
        <f aca="false">#REF!</f>
        <v>#REF!</v>
      </c>
      <c r="B45" s="48"/>
      <c r="C45" s="1931" t="e">
        <f aca="false">#REF!</f>
        <v>#REF!</v>
      </c>
      <c r="D45" s="1929"/>
      <c r="E45" s="1929" t="e">
        <f aca="false">#REF!</f>
        <v>#REF!</v>
      </c>
      <c r="F45" s="1929"/>
      <c r="G45" s="1929" t="e">
        <f aca="false">#REF!</f>
        <v>#REF!</v>
      </c>
      <c r="H45" s="1929"/>
      <c r="I45" s="1929" t="e">
        <f aca="false">#REF!</f>
        <v>#REF!</v>
      </c>
      <c r="J45" s="1929"/>
      <c r="K45" s="1930" t="e">
        <f aca="false">#REF!</f>
        <v>#REF!</v>
      </c>
    </row>
    <row r="46" customFormat="false" ht="15" hidden="true" customHeight="false" outlineLevel="0" collapsed="false">
      <c r="A46" s="134" t="e">
        <f aca="false">#REF!</f>
        <v>#REF!</v>
      </c>
      <c r="B46" s="48"/>
      <c r="C46" s="1931" t="e">
        <f aca="false">#REF!</f>
        <v>#REF!</v>
      </c>
      <c r="D46" s="1929"/>
      <c r="E46" s="1929" t="e">
        <f aca="false">#REF!</f>
        <v>#REF!</v>
      </c>
      <c r="F46" s="1929"/>
      <c r="G46" s="1929" t="e">
        <f aca="false">#REF!</f>
        <v>#REF!</v>
      </c>
      <c r="H46" s="1929"/>
      <c r="I46" s="1929" t="e">
        <f aca="false">#REF!</f>
        <v>#REF!</v>
      </c>
      <c r="J46" s="1929"/>
      <c r="K46" s="1930" t="e">
        <f aca="false">#REF!</f>
        <v>#REF!</v>
      </c>
    </row>
    <row r="47" customFormat="false" ht="15" hidden="true" customHeight="false" outlineLevel="0" collapsed="false">
      <c r="A47" s="134" t="e">
        <f aca="false">#REF!</f>
        <v>#REF!</v>
      </c>
      <c r="B47" s="48"/>
      <c r="C47" s="1931" t="e">
        <f aca="false">#REF!</f>
        <v>#REF!</v>
      </c>
      <c r="D47" s="1929"/>
      <c r="E47" s="1929" t="e">
        <f aca="false">#REF!</f>
        <v>#REF!</v>
      </c>
      <c r="F47" s="1929"/>
      <c r="G47" s="1929" t="e">
        <f aca="false">#REF!</f>
        <v>#REF!</v>
      </c>
      <c r="H47" s="1929"/>
      <c r="I47" s="1929" t="e">
        <f aca="false">#REF!</f>
        <v>#REF!</v>
      </c>
      <c r="J47" s="1929"/>
      <c r="K47" s="1930" t="e">
        <f aca="false">#REF!</f>
        <v>#REF!</v>
      </c>
    </row>
    <row r="48" customFormat="false" ht="15" hidden="true" customHeight="false" outlineLevel="0" collapsed="false">
      <c r="A48" s="134" t="e">
        <f aca="false">#REF!</f>
        <v>#REF!</v>
      </c>
      <c r="B48" s="48"/>
      <c r="C48" s="1934" t="e">
        <f aca="false">#REF!</f>
        <v>#REF!</v>
      </c>
      <c r="D48" s="1935"/>
      <c r="E48" s="1935" t="e">
        <f aca="false">#REF!</f>
        <v>#REF!</v>
      </c>
      <c r="F48" s="1935"/>
      <c r="G48" s="1935" t="e">
        <f aca="false">#REF!</f>
        <v>#REF!</v>
      </c>
      <c r="H48" s="1935"/>
      <c r="I48" s="1935" t="e">
        <f aca="false">#REF!</f>
        <v>#REF!</v>
      </c>
      <c r="J48" s="1935"/>
      <c r="K48" s="1937" t="e">
        <f aca="false">#REF!</f>
        <v>#REF!</v>
      </c>
    </row>
    <row r="49" customFormat="false" ht="15" hidden="true" customHeight="false" outlineLevel="0" collapsed="false">
      <c r="A49" s="134" t="e">
        <f aca="false">#REF!</f>
        <v>#REF!</v>
      </c>
      <c r="B49" s="48"/>
      <c r="C49" s="1938" t="e">
        <f aca="false">#REF!</f>
        <v>#REF!</v>
      </c>
      <c r="D49" s="1935"/>
      <c r="E49" s="1935" t="e">
        <f aca="false">#REF!</f>
        <v>#REF!</v>
      </c>
      <c r="F49" s="1935"/>
      <c r="G49" s="1935" t="e">
        <f aca="false">#REF!</f>
        <v>#REF!</v>
      </c>
      <c r="H49" s="1935"/>
      <c r="I49" s="1935" t="e">
        <f aca="false">#REF!</f>
        <v>#REF!</v>
      </c>
      <c r="J49" s="1935"/>
      <c r="K49" s="1939" t="e">
        <f aca="false">#REF!</f>
        <v>#REF!</v>
      </c>
    </row>
    <row r="50" customFormat="false" ht="15" hidden="true" customHeight="false" outlineLevel="0" collapsed="false">
      <c r="A50" s="134" t="e">
        <f aca="false">#REF!</f>
        <v>#REF!</v>
      </c>
      <c r="B50" s="48"/>
      <c r="C50" s="1931" t="e">
        <f aca="false">#REF!</f>
        <v>#REF!</v>
      </c>
      <c r="D50" s="1929"/>
      <c r="E50" s="1929" t="e">
        <f aca="false">#REF!</f>
        <v>#REF!</v>
      </c>
      <c r="F50" s="1929"/>
      <c r="G50" s="1929" t="e">
        <f aca="false">#REF!</f>
        <v>#REF!</v>
      </c>
      <c r="H50" s="1929"/>
      <c r="I50" s="1929" t="e">
        <f aca="false">#REF!</f>
        <v>#REF!</v>
      </c>
      <c r="J50" s="1929"/>
      <c r="K50" s="1930" t="e">
        <f aca="false">#REF!</f>
        <v>#REF!</v>
      </c>
    </row>
    <row r="51" customFormat="false" ht="15" hidden="true" customHeight="false" outlineLevel="0" collapsed="false">
      <c r="A51" s="134" t="e">
        <f aca="false">#REF!</f>
        <v>#REF!</v>
      </c>
      <c r="B51" s="48"/>
      <c r="C51" s="1661" t="e">
        <f aca="false">#REF!</f>
        <v>#REF!</v>
      </c>
      <c r="D51" s="1881"/>
      <c r="E51" s="1881" t="e">
        <f aca="false">#REF!</f>
        <v>#REF!</v>
      </c>
      <c r="F51" s="1929"/>
      <c r="G51" s="1881" t="e">
        <f aca="false">#REF!</f>
        <v>#REF!</v>
      </c>
      <c r="H51" s="1881"/>
      <c r="I51" s="1881" t="e">
        <f aca="false">#REF!</f>
        <v>#REF!</v>
      </c>
      <c r="J51" s="1881"/>
      <c r="K51" s="1717" t="e">
        <f aca="false">#REF!</f>
        <v>#REF!</v>
      </c>
    </row>
    <row r="52" customFormat="false" ht="15" hidden="true" customHeight="false" outlineLevel="0" collapsed="false">
      <c r="A52" s="134" t="e">
        <f aca="false">#REF!</f>
        <v>#REF!</v>
      </c>
      <c r="B52" s="48"/>
      <c r="C52" s="1661" t="e">
        <f aca="false">#REF!</f>
        <v>#REF!</v>
      </c>
      <c r="D52" s="1881"/>
      <c r="E52" s="1881" t="e">
        <f aca="false">#REF!</f>
        <v>#REF!</v>
      </c>
      <c r="F52" s="1881"/>
      <c r="G52" s="1881" t="e">
        <f aca="false">#REF!</f>
        <v>#REF!</v>
      </c>
      <c r="H52" s="1881"/>
      <c r="I52" s="1881" t="e">
        <f aca="false">#REF!</f>
        <v>#REF!</v>
      </c>
      <c r="J52" s="1881"/>
      <c r="K52" s="1717" t="e">
        <f aca="false">#REF!</f>
        <v>#REF!</v>
      </c>
    </row>
    <row r="53" customFormat="false" ht="15" hidden="true" customHeight="false" outlineLevel="0" collapsed="false">
      <c r="A53" s="2022" t="e">
        <f aca="false">#REF!</f>
        <v>#REF!</v>
      </c>
      <c r="B53" s="48"/>
      <c r="C53" s="1657" t="e">
        <f aca="false">#REF!</f>
        <v>#REF!</v>
      </c>
      <c r="D53" s="1772"/>
      <c r="E53" s="1772" t="e">
        <f aca="false">#REF!</f>
        <v>#REF!</v>
      </c>
      <c r="F53" s="1772"/>
      <c r="G53" s="1772" t="e">
        <f aca="false">#REF!</f>
        <v>#REF!</v>
      </c>
      <c r="H53" s="1772"/>
      <c r="I53" s="1772" t="e">
        <f aca="false">#REF!</f>
        <v>#REF!</v>
      </c>
      <c r="J53" s="1772"/>
      <c r="K53" s="1882" t="e">
        <f aca="false">#REF!</f>
        <v>#REF!</v>
      </c>
    </row>
    <row r="54" customFormat="false" ht="15" hidden="true" customHeight="false" outlineLevel="0" collapsed="false">
      <c r="A54" s="134" t="e">
        <f aca="false">#REF!</f>
        <v>#REF!</v>
      </c>
      <c r="C54" s="1931" t="e">
        <f aca="false">#REF!</f>
        <v>#REF!</v>
      </c>
      <c r="D54" s="1929"/>
      <c r="E54" s="1929" t="e">
        <f aca="false">#REF!</f>
        <v>#REF!</v>
      </c>
      <c r="F54" s="1929"/>
      <c r="G54" s="1929" t="e">
        <f aca="false">#REF!</f>
        <v>#REF!</v>
      </c>
      <c r="H54" s="1929"/>
      <c r="I54" s="1929" t="e">
        <f aca="false">#REF!</f>
        <v>#REF!</v>
      </c>
      <c r="J54" s="1929"/>
      <c r="K54" s="1930" t="e">
        <f aca="false">#REF!</f>
        <v>#REF!</v>
      </c>
    </row>
    <row r="55" customFormat="false" ht="15" hidden="true" customHeight="false" outlineLevel="0" collapsed="false">
      <c r="A55" s="134" t="e">
        <f aca="false">#REF!</f>
        <v>#REF!</v>
      </c>
      <c r="B55" s="48"/>
      <c r="C55" s="1931" t="e">
        <f aca="false">#REF!</f>
        <v>#REF!</v>
      </c>
      <c r="D55" s="1929"/>
      <c r="E55" s="1929" t="e">
        <f aca="false">#REF!</f>
        <v>#REF!</v>
      </c>
      <c r="F55" s="1929"/>
      <c r="G55" s="1929" t="e">
        <f aca="false">#REF!</f>
        <v>#REF!</v>
      </c>
      <c r="H55" s="1929"/>
      <c r="I55" s="1929" t="e">
        <f aca="false">#REF!</f>
        <v>#REF!</v>
      </c>
      <c r="J55" s="1929"/>
      <c r="K55" s="1930" t="e">
        <f aca="false">#REF!</f>
        <v>#REF!</v>
      </c>
    </row>
    <row r="56" customFormat="false" ht="15" hidden="true" customHeight="false" outlineLevel="0" collapsed="false">
      <c r="A56" s="134" t="e">
        <f aca="false">#REF!</f>
        <v>#REF!</v>
      </c>
      <c r="B56" s="48"/>
      <c r="C56" s="1931" t="e">
        <f aca="false">#REF!</f>
        <v>#REF!</v>
      </c>
      <c r="D56" s="1929"/>
      <c r="E56" s="1929" t="e">
        <f aca="false">#REF!</f>
        <v>#REF!</v>
      </c>
      <c r="F56" s="1929"/>
      <c r="G56" s="1929" t="e">
        <f aca="false">#REF!</f>
        <v>#REF!</v>
      </c>
      <c r="H56" s="1929"/>
      <c r="I56" s="1929" t="e">
        <f aca="false">#REF!</f>
        <v>#REF!</v>
      </c>
      <c r="J56" s="1929"/>
      <c r="K56" s="1930" t="e">
        <f aca="false">#REF!</f>
        <v>#REF!</v>
      </c>
    </row>
    <row r="57" customFormat="false" ht="15" hidden="true" customHeight="false" outlineLevel="0" collapsed="false">
      <c r="A57" s="134" t="e">
        <f aca="false">#REF!</f>
        <v>#REF!</v>
      </c>
      <c r="B57" s="48"/>
      <c r="C57" s="1931" t="e">
        <f aca="false">#REF!</f>
        <v>#REF!</v>
      </c>
      <c r="D57" s="1929"/>
      <c r="E57" s="1929" t="e">
        <f aca="false">#REF!</f>
        <v>#REF!</v>
      </c>
      <c r="F57" s="1929"/>
      <c r="G57" s="1929" t="e">
        <f aca="false">#REF!</f>
        <v>#REF!</v>
      </c>
      <c r="H57" s="1929"/>
      <c r="I57" s="1929" t="e">
        <f aca="false">#REF!</f>
        <v>#REF!</v>
      </c>
      <c r="J57" s="1929"/>
      <c r="K57" s="1930" t="e">
        <f aca="false">#REF!</f>
        <v>#REF!</v>
      </c>
    </row>
    <row r="58" customFormat="false" ht="15" hidden="true" customHeight="false" outlineLevel="0" collapsed="false">
      <c r="A58" s="134" t="e">
        <f aca="false">#REF!</f>
        <v>#REF!</v>
      </c>
      <c r="B58" s="48"/>
      <c r="C58" s="1931" t="e">
        <f aca="false">#REF!</f>
        <v>#REF!</v>
      </c>
      <c r="D58" s="1929"/>
      <c r="E58" s="1929" t="e">
        <f aca="false">#REF!</f>
        <v>#REF!</v>
      </c>
      <c r="F58" s="1929"/>
      <c r="G58" s="1929" t="e">
        <f aca="false">#REF!</f>
        <v>#REF!</v>
      </c>
      <c r="H58" s="1929"/>
      <c r="I58" s="1929" t="e">
        <f aca="false">#REF!</f>
        <v>#REF!</v>
      </c>
      <c r="J58" s="1929"/>
      <c r="K58" s="1930" t="e">
        <f aca="false">#REF!</f>
        <v>#REF!</v>
      </c>
    </row>
    <row r="59" customFormat="false" ht="15" hidden="true" customHeight="false" outlineLevel="0" collapsed="false">
      <c r="A59" s="134"/>
      <c r="B59" s="48"/>
      <c r="C59" s="1657"/>
      <c r="D59" s="1772"/>
      <c r="E59" s="1772"/>
      <c r="F59" s="1772"/>
      <c r="G59" s="1772"/>
      <c r="H59" s="1772"/>
      <c r="I59" s="1772"/>
      <c r="J59" s="1772"/>
      <c r="K59" s="1882"/>
    </row>
    <row r="60" customFormat="false" ht="15" hidden="true" customHeight="false" outlineLevel="0" collapsed="false">
      <c r="A60" s="85"/>
      <c r="B60" s="257"/>
      <c r="C60" s="663"/>
      <c r="D60" s="663"/>
      <c r="E60" s="663"/>
      <c r="F60" s="663"/>
      <c r="G60" s="663"/>
      <c r="H60" s="663"/>
      <c r="I60" s="663"/>
      <c r="J60" s="663"/>
      <c r="K60" s="663"/>
    </row>
    <row r="61" customFormat="false" ht="21" hidden="true" customHeight="false" outlineLevel="0" collapsed="false">
      <c r="A61" s="1925" t="e">
        <f aca="false">#REF!</f>
        <v>#REF!</v>
      </c>
      <c r="B61" s="2019"/>
      <c r="C61" s="1571"/>
      <c r="D61" s="1571"/>
      <c r="E61" s="1571"/>
      <c r="F61" s="1571"/>
      <c r="G61" s="1906"/>
      <c r="H61" s="1571"/>
      <c r="I61" s="1571"/>
      <c r="J61" s="1571"/>
      <c r="K61" s="1907"/>
    </row>
    <row r="62" customFormat="false" ht="15" hidden="true" customHeight="false" outlineLevel="0" collapsed="false">
      <c r="A62" s="134"/>
      <c r="B62" s="48"/>
      <c r="C62" s="1653"/>
      <c r="D62" s="1772"/>
      <c r="E62" s="1772"/>
      <c r="F62" s="1772"/>
      <c r="G62" s="1772"/>
      <c r="H62" s="1772"/>
      <c r="I62" s="1772"/>
      <c r="J62" s="1772"/>
      <c r="K62" s="1882"/>
    </row>
    <row r="63" customFormat="false" ht="15" hidden="true" customHeight="false" outlineLevel="0" collapsed="false">
      <c r="A63" s="134" t="e">
        <f aca="false">#REF!</f>
        <v>#REF!</v>
      </c>
      <c r="B63" s="48"/>
      <c r="C63" s="2023" t="e">
        <f aca="false">#REF!</f>
        <v>#REF!</v>
      </c>
      <c r="D63" s="1772"/>
      <c r="E63" s="1772" t="e">
        <f aca="false">#REF!</f>
        <v>#REF!</v>
      </c>
      <c r="F63" s="1772"/>
      <c r="G63" s="1772" t="e">
        <f aca="false">#REF!</f>
        <v>#REF!</v>
      </c>
      <c r="H63" s="1772"/>
      <c r="I63" s="1772" t="e">
        <f aca="false">#REF!</f>
        <v>#REF!</v>
      </c>
      <c r="J63" s="1772"/>
      <c r="K63" s="1882" t="e">
        <f aca="false">#REF!</f>
        <v>#REF!</v>
      </c>
    </row>
    <row r="64" customFormat="false" ht="15" hidden="true" customHeight="false" outlineLevel="0" collapsed="false">
      <c r="A64" s="134" t="e">
        <f aca="false">#REF!</f>
        <v>#REF!</v>
      </c>
      <c r="B64" s="48"/>
      <c r="C64" s="1661" t="e">
        <f aca="false">#REF!</f>
        <v>#REF!</v>
      </c>
      <c r="D64" s="1881"/>
      <c r="E64" s="1881" t="e">
        <f aca="false">#REF!</f>
        <v>#REF!</v>
      </c>
      <c r="F64" s="1881"/>
      <c r="G64" s="1881" t="e">
        <f aca="false">#REF!</f>
        <v>#REF!</v>
      </c>
      <c r="H64" s="1881"/>
      <c r="I64" s="1881" t="e">
        <f aca="false">#REF!</f>
        <v>#REF!</v>
      </c>
      <c r="J64" s="1881"/>
      <c r="K64" s="1717" t="e">
        <f aca="false">#REF!</f>
        <v>#REF!</v>
      </c>
    </row>
    <row r="65" customFormat="false" ht="15" hidden="true" customHeight="false" outlineLevel="0" collapsed="false">
      <c r="A65" s="134" t="e">
        <f aca="false">#REF!</f>
        <v>#REF!</v>
      </c>
      <c r="B65" s="48"/>
      <c r="C65" s="1661" t="e">
        <f aca="false">#REF!</f>
        <v>#REF!</v>
      </c>
      <c r="D65" s="1881"/>
      <c r="E65" s="1881" t="e">
        <f aca="false">#REF!</f>
        <v>#REF!</v>
      </c>
      <c r="F65" s="1881"/>
      <c r="G65" s="1881" t="e">
        <f aca="false">#REF!</f>
        <v>#REF!</v>
      </c>
      <c r="H65" s="1881"/>
      <c r="I65" s="1881" t="e">
        <f aca="false">#REF!</f>
        <v>#REF!</v>
      </c>
      <c r="J65" s="1881"/>
      <c r="K65" s="1717" t="e">
        <f aca="false">#REF!</f>
        <v>#REF!</v>
      </c>
    </row>
    <row r="66" customFormat="false" ht="15" hidden="true" customHeight="false" outlineLevel="0" collapsed="false">
      <c r="A66" s="134" t="e">
        <f aca="false">#REF!</f>
        <v>#REF!</v>
      </c>
      <c r="B66" s="48"/>
      <c r="C66" s="1931" t="e">
        <f aca="false">#REF!</f>
        <v>#REF!</v>
      </c>
      <c r="D66" s="1929"/>
      <c r="E66" s="1929" t="e">
        <f aca="false">#REF!</f>
        <v>#REF!</v>
      </c>
      <c r="F66" s="1929"/>
      <c r="G66" s="1929" t="e">
        <f aca="false">#REF!</f>
        <v>#REF!</v>
      </c>
      <c r="H66" s="1929"/>
      <c r="I66" s="1929" t="e">
        <f aca="false">#REF!</f>
        <v>#REF!</v>
      </c>
      <c r="J66" s="1929"/>
      <c r="K66" s="1930" t="e">
        <f aca="false">#REF!</f>
        <v>#REF!</v>
      </c>
    </row>
    <row r="67" customFormat="false" ht="15" hidden="true" customHeight="false" outlineLevel="0" collapsed="false">
      <c r="A67" s="134" t="e">
        <f aca="false">#REF!</f>
        <v>#REF!</v>
      </c>
      <c r="B67" s="48"/>
      <c r="C67" s="1661" t="e">
        <f aca="false">#REF!</f>
        <v>#REF!</v>
      </c>
      <c r="D67" s="1881"/>
      <c r="E67" s="1881" t="e">
        <f aca="false">#REF!</f>
        <v>#REF!</v>
      </c>
      <c r="F67" s="1881"/>
      <c r="G67" s="1881" t="e">
        <f aca="false">#REF!</f>
        <v>#REF!</v>
      </c>
      <c r="H67" s="1881"/>
      <c r="I67" s="1881" t="e">
        <f aca="false">#REF!</f>
        <v>#REF!</v>
      </c>
      <c r="J67" s="1881"/>
      <c r="K67" s="1717" t="e">
        <f aca="false">#REF!</f>
        <v>#REF!</v>
      </c>
    </row>
    <row r="68" customFormat="false" ht="15" hidden="true" customHeight="false" outlineLevel="0" collapsed="false">
      <c r="A68" s="134" t="e">
        <f aca="false">#REF!</f>
        <v>#REF!</v>
      </c>
      <c r="B68" s="48"/>
      <c r="C68" s="1931" t="e">
        <f aca="false">#REF!</f>
        <v>#REF!</v>
      </c>
      <c r="D68" s="1881"/>
      <c r="E68" s="1929" t="e">
        <f aca="false">#REF!</f>
        <v>#REF!</v>
      </c>
      <c r="F68" s="1881"/>
      <c r="G68" s="1929" t="e">
        <f aca="false">#REF!</f>
        <v>#REF!</v>
      </c>
      <c r="H68" s="1881"/>
      <c r="I68" s="1929" t="e">
        <f aca="false">#REF!</f>
        <v>#REF!</v>
      </c>
      <c r="J68" s="1881"/>
      <c r="K68" s="1930" t="e">
        <f aca="false">#REF!</f>
        <v>#REF!</v>
      </c>
    </row>
    <row r="69" customFormat="false" ht="15" hidden="true" customHeight="false" outlineLevel="0" collapsed="false">
      <c r="A69" s="134" t="e">
        <f aca="false">#REF!</f>
        <v>#REF!</v>
      </c>
      <c r="B69" s="48"/>
      <c r="C69" s="1931" t="e">
        <f aca="false">#REF!</f>
        <v>#REF!</v>
      </c>
      <c r="D69" s="1929"/>
      <c r="E69" s="1929" t="e">
        <f aca="false">#REF!</f>
        <v>#REF!</v>
      </c>
      <c r="F69" s="1929"/>
      <c r="G69" s="1929" t="e">
        <f aca="false">#REF!</f>
        <v>#REF!</v>
      </c>
      <c r="H69" s="1929"/>
      <c r="I69" s="1929" t="e">
        <f aca="false">#REF!</f>
        <v>#REF!</v>
      </c>
      <c r="J69" s="1929"/>
      <c r="K69" s="1930" t="e">
        <f aca="false">#REF!</f>
        <v>#REF!</v>
      </c>
    </row>
    <row r="70" customFormat="false" ht="15" hidden="true" customHeight="false" outlineLevel="0" collapsed="false">
      <c r="A70" s="134" t="e">
        <f aca="false">#REF!</f>
        <v>#REF!</v>
      </c>
      <c r="B70" s="48"/>
      <c r="C70" s="1940" t="e">
        <f aca="false">#REF!</f>
        <v>#REF!</v>
      </c>
      <c r="D70" s="1941"/>
      <c r="E70" s="1941" t="e">
        <f aca="false">#REF!</f>
        <v>#REF!</v>
      </c>
      <c r="F70" s="1941"/>
      <c r="G70" s="1941" t="e">
        <f aca="false">#REF!</f>
        <v>#REF!</v>
      </c>
      <c r="H70" s="1941"/>
      <c r="I70" s="1941" t="e">
        <f aca="false">#REF!</f>
        <v>#REF!</v>
      </c>
      <c r="J70" s="1941"/>
      <c r="K70" s="1942" t="e">
        <f aca="false">#REF!</f>
        <v>#REF!</v>
      </c>
    </row>
    <row r="71" customFormat="false" ht="15" hidden="true" customHeight="false" outlineLevel="0" collapsed="false">
      <c r="A71" s="134" t="e">
        <f aca="false">#REF!</f>
        <v>#REF!</v>
      </c>
      <c r="B71" s="48"/>
      <c r="C71" s="1940" t="e">
        <f aca="false">#REF!</f>
        <v>#REF!</v>
      </c>
      <c r="D71" s="1941"/>
      <c r="E71" s="1941" t="e">
        <f aca="false">#REF!</f>
        <v>#REF!</v>
      </c>
      <c r="F71" s="1941"/>
      <c r="G71" s="1941" t="e">
        <f aca="false">#REF!</f>
        <v>#REF!</v>
      </c>
      <c r="H71" s="1941"/>
      <c r="I71" s="1941" t="e">
        <f aca="false">#REF!</f>
        <v>#REF!</v>
      </c>
      <c r="J71" s="1941"/>
      <c r="K71" s="1942" t="e">
        <f aca="false">#REF!</f>
        <v>#REF!</v>
      </c>
    </row>
    <row r="72" customFormat="false" ht="15" hidden="true" customHeight="false" outlineLevel="0" collapsed="false">
      <c r="A72" s="135"/>
      <c r="B72" s="48"/>
      <c r="C72" s="1940"/>
      <c r="D72" s="1941"/>
      <c r="E72" s="1941"/>
      <c r="F72" s="1941"/>
      <c r="G72" s="1941"/>
      <c r="H72" s="1941"/>
      <c r="I72" s="1941"/>
      <c r="J72" s="1941"/>
      <c r="K72" s="2024"/>
    </row>
    <row r="73" customFormat="false" ht="15" hidden="true" customHeight="false" outlineLevel="0" collapsed="false">
      <c r="A73" s="284"/>
      <c r="B73" s="314"/>
      <c r="C73" s="2025"/>
      <c r="D73" s="2025"/>
      <c r="E73" s="2025"/>
      <c r="F73" s="2025"/>
      <c r="G73" s="2025"/>
      <c r="H73" s="2025"/>
      <c r="I73" s="2025"/>
      <c r="J73" s="2025"/>
      <c r="K73" s="2025"/>
    </row>
    <row r="74" customFormat="false" ht="21" hidden="true" customHeight="false" outlineLevel="0" collapsed="false">
      <c r="A74" s="1948" t="e">
        <f aca="false">#REF!</f>
        <v>#REF!</v>
      </c>
      <c r="B74" s="2026"/>
      <c r="C74" s="1579"/>
      <c r="D74" s="1579"/>
      <c r="E74" s="1579"/>
      <c r="F74" s="1579"/>
      <c r="G74" s="1949"/>
      <c r="H74" s="1579"/>
      <c r="I74" s="1579"/>
      <c r="J74" s="1579"/>
      <c r="K74" s="1950"/>
    </row>
    <row r="75" customFormat="false" ht="15" hidden="true" customHeight="false" outlineLevel="0" collapsed="false">
      <c r="A75" s="589"/>
      <c r="B75" s="257"/>
      <c r="C75" s="1653"/>
      <c r="D75" s="1885"/>
      <c r="E75" s="1885"/>
      <c r="F75" s="1885"/>
      <c r="G75" s="1885"/>
      <c r="H75" s="1885"/>
      <c r="I75" s="1885"/>
      <c r="J75" s="1885"/>
      <c r="K75" s="1884"/>
    </row>
    <row r="76" customFormat="false" ht="15" hidden="true" customHeight="false" outlineLevel="0" collapsed="false">
      <c r="A76" s="134" t="e">
        <f aca="false">#REF!</f>
        <v>#REF!</v>
      </c>
      <c r="B76" s="48"/>
      <c r="C76" s="1661" t="e">
        <f aca="false">#REF!*$D$11</f>
        <v>#REF!</v>
      </c>
      <c r="D76" s="1772"/>
      <c r="E76" s="1772" t="e">
        <f aca="false">#REF!*$D$11</f>
        <v>#REF!</v>
      </c>
      <c r="F76" s="1772"/>
      <c r="G76" s="1772" t="e">
        <f aca="false">#REF!*$D$11</f>
        <v>#REF!</v>
      </c>
      <c r="H76" s="1772"/>
      <c r="I76" s="1772" t="e">
        <f aca="false">#REF!*$D$11</f>
        <v>#REF!</v>
      </c>
      <c r="J76" s="1772"/>
      <c r="K76" s="1717" t="e">
        <f aca="false">#REF!*$D$11</f>
        <v>#REF!</v>
      </c>
    </row>
    <row r="77" customFormat="false" ht="15" hidden="true" customHeight="false" outlineLevel="0" collapsed="false">
      <c r="A77" s="134" t="e">
        <f aca="false">#REF!</f>
        <v>#REF!</v>
      </c>
      <c r="B77" s="48"/>
      <c r="C77" s="1661" t="e">
        <f aca="false">#REF!</f>
        <v>#REF!</v>
      </c>
      <c r="D77" s="1881"/>
      <c r="E77" s="1881" t="e">
        <f aca="false">#REF!</f>
        <v>#REF!</v>
      </c>
      <c r="F77" s="1881"/>
      <c r="G77" s="1881" t="e">
        <f aca="false">#REF!</f>
        <v>#REF!</v>
      </c>
      <c r="H77" s="1881"/>
      <c r="I77" s="1881" t="e">
        <f aca="false">#REF!</f>
        <v>#REF!</v>
      </c>
      <c r="J77" s="1881"/>
      <c r="K77" s="1717" t="e">
        <f aca="false">#REF!</f>
        <v>#REF!</v>
      </c>
    </row>
    <row r="78" customFormat="false" ht="15" hidden="true" customHeight="false" outlineLevel="0" collapsed="false">
      <c r="A78" s="134" t="e">
        <f aca="false">#REF!</f>
        <v>#REF!</v>
      </c>
      <c r="B78" s="48"/>
      <c r="C78" s="1661" t="e">
        <f aca="false">IF(C76=0,0,#REF!)</f>
        <v>#REF!</v>
      </c>
      <c r="D78" s="1881"/>
      <c r="E78" s="1881" t="e">
        <f aca="false">IF(E76=0,0,#REF!)</f>
        <v>#REF!</v>
      </c>
      <c r="F78" s="1881"/>
      <c r="G78" s="1881" t="e">
        <f aca="false">IF(G76=0,0,#REF!)</f>
        <v>#REF!</v>
      </c>
      <c r="H78" s="1881"/>
      <c r="I78" s="1881" t="e">
        <f aca="false">IF(I76=0,0,#REF!)</f>
        <v>#REF!</v>
      </c>
      <c r="J78" s="1881"/>
      <c r="K78" s="1717" t="e">
        <f aca="false">IF(K76=0,0,#REF!)</f>
        <v>#REF!</v>
      </c>
    </row>
    <row r="79" customFormat="false" ht="15" hidden="true" customHeight="false" outlineLevel="0" collapsed="false">
      <c r="A79" s="134" t="e">
        <f aca="false">#REF!</f>
        <v>#REF!</v>
      </c>
      <c r="B79" s="48"/>
      <c r="C79" s="1931" t="e">
        <f aca="false">#REF!</f>
        <v>#REF!</v>
      </c>
      <c r="D79" s="1929"/>
      <c r="E79" s="1929" t="e">
        <f aca="false">#REF!</f>
        <v>#REF!</v>
      </c>
      <c r="F79" s="1929"/>
      <c r="G79" s="1929" t="e">
        <f aca="false">#REF!</f>
        <v>#REF!</v>
      </c>
      <c r="H79" s="1929"/>
      <c r="I79" s="1929" t="e">
        <f aca="false">#REF!</f>
        <v>#REF!</v>
      </c>
      <c r="J79" s="1929"/>
      <c r="K79" s="1930" t="e">
        <f aca="false">#REF!</f>
        <v>#REF!</v>
      </c>
    </row>
    <row r="80" customFormat="false" ht="15" hidden="true" customHeight="false" outlineLevel="0" collapsed="false">
      <c r="A80" s="134" t="e">
        <f aca="false">#REF!</f>
        <v>#REF!</v>
      </c>
      <c r="B80" s="48"/>
      <c r="C80" s="1661" t="e">
        <f aca="false">#REF!</f>
        <v>#REF!</v>
      </c>
      <c r="D80" s="1881"/>
      <c r="E80" s="1881" t="e">
        <f aca="false">#REF!</f>
        <v>#REF!</v>
      </c>
      <c r="F80" s="1881"/>
      <c r="G80" s="1881" t="e">
        <f aca="false">#REF!</f>
        <v>#REF!</v>
      </c>
      <c r="H80" s="1881"/>
      <c r="I80" s="1881" t="e">
        <f aca="false">#REF!</f>
        <v>#REF!</v>
      </c>
      <c r="J80" s="1881"/>
      <c r="K80" s="1717" t="e">
        <f aca="false">#REF!</f>
        <v>#REF!</v>
      </c>
    </row>
    <row r="81" customFormat="false" ht="15" hidden="true" customHeight="false" outlineLevel="0" collapsed="false">
      <c r="A81" s="134" t="e">
        <f aca="false">#REF!</f>
        <v>#REF!</v>
      </c>
      <c r="B81" s="48"/>
      <c r="C81" s="1931" t="e">
        <f aca="false">#REF!</f>
        <v>#REF!</v>
      </c>
      <c r="D81" s="1929"/>
      <c r="E81" s="1929" t="e">
        <f aca="false">#REF!</f>
        <v>#REF!</v>
      </c>
      <c r="F81" s="1929"/>
      <c r="G81" s="1929" t="e">
        <f aca="false">#REF!</f>
        <v>#REF!</v>
      </c>
      <c r="H81" s="1929"/>
      <c r="I81" s="1929" t="e">
        <f aca="false">#REF!</f>
        <v>#REF!</v>
      </c>
      <c r="J81" s="1929"/>
      <c r="K81" s="1930" t="e">
        <f aca="false">#REF!</f>
        <v>#REF!</v>
      </c>
    </row>
    <row r="82" customFormat="false" ht="15" hidden="true" customHeight="false" outlineLevel="0" collapsed="false">
      <c r="A82" s="134" t="e">
        <f aca="false">#REF!</f>
        <v>#REF!</v>
      </c>
      <c r="B82" s="48"/>
      <c r="C82" s="1931" t="e">
        <f aca="false">#REF!</f>
        <v>#REF!</v>
      </c>
      <c r="D82" s="1929"/>
      <c r="E82" s="1929" t="e">
        <f aca="false">#REF!</f>
        <v>#REF!</v>
      </c>
      <c r="F82" s="1929"/>
      <c r="G82" s="1929" t="e">
        <f aca="false">#REF!</f>
        <v>#REF!</v>
      </c>
      <c r="H82" s="1929"/>
      <c r="I82" s="1929" t="e">
        <f aca="false">#REF!</f>
        <v>#REF!</v>
      </c>
      <c r="J82" s="1929"/>
      <c r="K82" s="1930" t="e">
        <f aca="false">#REF!</f>
        <v>#REF!</v>
      </c>
    </row>
    <row r="83" customFormat="false" ht="15" hidden="true" customHeight="false" outlineLevel="0" collapsed="false">
      <c r="A83" s="134" t="e">
        <f aca="false">#REF!</f>
        <v>#REF!</v>
      </c>
      <c r="B83" s="48"/>
      <c r="C83" s="1940" t="e">
        <f aca="false">#REF!</f>
        <v>#REF!</v>
      </c>
      <c r="D83" s="1941"/>
      <c r="E83" s="1941" t="e">
        <f aca="false">#REF!</f>
        <v>#REF!</v>
      </c>
      <c r="F83" s="1941"/>
      <c r="G83" s="1941" t="e">
        <f aca="false">#REF!</f>
        <v>#REF!</v>
      </c>
      <c r="H83" s="1941"/>
      <c r="I83" s="1941" t="e">
        <f aca="false">#REF!</f>
        <v>#REF!</v>
      </c>
      <c r="J83" s="1941"/>
      <c r="K83" s="1942" t="e">
        <f aca="false">#REF!</f>
        <v>#REF!</v>
      </c>
    </row>
    <row r="84" customFormat="false" ht="15" hidden="true" customHeight="false" outlineLevel="0" collapsed="false">
      <c r="A84" s="134" t="e">
        <f aca="false">#REF!</f>
        <v>#REF!</v>
      </c>
      <c r="B84" s="48"/>
      <c r="C84" s="1940" t="e">
        <f aca="false">#REF!</f>
        <v>#REF!</v>
      </c>
      <c r="D84" s="1941"/>
      <c r="E84" s="1941" t="e">
        <f aca="false">#REF!</f>
        <v>#REF!</v>
      </c>
      <c r="F84" s="1941"/>
      <c r="G84" s="1941" t="e">
        <f aca="false">#REF!</f>
        <v>#REF!</v>
      </c>
      <c r="H84" s="1941"/>
      <c r="I84" s="1941" t="e">
        <f aca="false">#REF!</f>
        <v>#REF!</v>
      </c>
      <c r="J84" s="1941"/>
      <c r="K84" s="1942" t="e">
        <f aca="false">#REF!</f>
        <v>#REF!</v>
      </c>
    </row>
    <row r="85" customFormat="false" ht="15" hidden="true" customHeight="false" outlineLevel="0" collapsed="false">
      <c r="A85" s="135"/>
      <c r="B85" s="107"/>
      <c r="C85" s="1665"/>
      <c r="D85" s="1946"/>
      <c r="E85" s="1946"/>
      <c r="F85" s="1946"/>
      <c r="G85" s="1946"/>
      <c r="H85" s="1946"/>
      <c r="I85" s="1946"/>
      <c r="J85" s="1946"/>
      <c r="K85" s="1947"/>
    </row>
    <row r="86" customFormat="false" ht="15" hidden="true" customHeight="false" outlineLevel="0" collapsed="false">
      <c r="A86" s="87"/>
      <c r="C86" s="669"/>
      <c r="D86" s="669"/>
      <c r="E86" s="669"/>
      <c r="F86" s="669"/>
      <c r="G86" s="669"/>
      <c r="H86" s="669"/>
      <c r="I86" s="669"/>
      <c r="J86" s="669"/>
      <c r="K86" s="669"/>
    </row>
    <row r="87" customFormat="false" ht="21" hidden="true" customHeight="false" outlineLevel="0" collapsed="false">
      <c r="A87" s="1925" t="e">
        <f aca="false">#REF!</f>
        <v>#REF!</v>
      </c>
      <c r="B87" s="2019"/>
      <c r="C87" s="1571"/>
      <c r="D87" s="1571"/>
      <c r="E87" s="1571"/>
      <c r="F87" s="1571"/>
      <c r="G87" s="1906"/>
      <c r="H87" s="1571"/>
      <c r="I87" s="1571"/>
      <c r="J87" s="1571"/>
      <c r="K87" s="1907"/>
    </row>
    <row r="88" customFormat="false" ht="15" hidden="true" customHeight="false" outlineLevel="0" collapsed="false">
      <c r="A88" s="589"/>
      <c r="B88" s="257"/>
      <c r="C88" s="1653"/>
      <c r="D88" s="1885"/>
      <c r="E88" s="1885"/>
      <c r="F88" s="1885"/>
      <c r="G88" s="1885"/>
      <c r="H88" s="1885"/>
      <c r="I88" s="1885"/>
      <c r="J88" s="1885"/>
      <c r="K88" s="1884"/>
    </row>
    <row r="89" customFormat="false" ht="15" hidden="true" customHeight="false" outlineLevel="0" collapsed="false">
      <c r="A89" s="134" t="e">
        <f aca="false">#REF!</f>
        <v>#REF!</v>
      </c>
      <c r="B89" s="48"/>
      <c r="C89" s="1661" t="e">
        <f aca="false">#REF!</f>
        <v>#REF!</v>
      </c>
      <c r="D89" s="1772"/>
      <c r="E89" s="1772" t="e">
        <f aca="false">#REF!</f>
        <v>#REF!</v>
      </c>
      <c r="F89" s="1772"/>
      <c r="G89" s="1772" t="e">
        <f aca="false">#REF!</f>
        <v>#REF!</v>
      </c>
      <c r="H89" s="1772"/>
      <c r="I89" s="1772" t="e">
        <f aca="false">#REF!</f>
        <v>#REF!</v>
      </c>
      <c r="J89" s="1772"/>
      <c r="K89" s="1882" t="e">
        <f aca="false">#REF!</f>
        <v>#REF!</v>
      </c>
    </row>
    <row r="90" customFormat="false" ht="15" hidden="true" customHeight="false" outlineLevel="0" collapsed="false">
      <c r="A90" s="134" t="e">
        <f aca="false">#REF!</f>
        <v>#REF!</v>
      </c>
      <c r="B90" s="48"/>
      <c r="C90" s="1661" t="e">
        <f aca="false">#REF!</f>
        <v>#REF!</v>
      </c>
      <c r="D90" s="1881"/>
      <c r="E90" s="1881" t="e">
        <f aca="false">#REF!</f>
        <v>#REF!</v>
      </c>
      <c r="F90" s="1881"/>
      <c r="G90" s="1881" t="e">
        <f aca="false">#REF!</f>
        <v>#REF!</v>
      </c>
      <c r="H90" s="1881"/>
      <c r="I90" s="1881" t="e">
        <f aca="false">#REF!</f>
        <v>#REF!</v>
      </c>
      <c r="J90" s="1881"/>
      <c r="K90" s="1717" t="e">
        <f aca="false">#REF!</f>
        <v>#REF!</v>
      </c>
    </row>
    <row r="91" customFormat="false" ht="15" hidden="true" customHeight="false" outlineLevel="0" collapsed="false">
      <c r="A91" s="134" t="e">
        <f aca="false">#REF!</f>
        <v>#REF!</v>
      </c>
      <c r="B91" s="48"/>
      <c r="C91" s="1661" t="e">
        <f aca="false">#REF!</f>
        <v>#REF!</v>
      </c>
      <c r="D91" s="1881"/>
      <c r="E91" s="1881" t="e">
        <f aca="false">#REF!</f>
        <v>#REF!</v>
      </c>
      <c r="F91" s="1881"/>
      <c r="G91" s="1881" t="e">
        <f aca="false">#REF!</f>
        <v>#REF!</v>
      </c>
      <c r="H91" s="1881"/>
      <c r="I91" s="1881" t="e">
        <f aca="false">#REF!</f>
        <v>#REF!</v>
      </c>
      <c r="J91" s="1881"/>
      <c r="K91" s="1717" t="e">
        <f aca="false">#REF!</f>
        <v>#REF!</v>
      </c>
    </row>
    <row r="92" customFormat="false" ht="15" hidden="true" customHeight="false" outlineLevel="0" collapsed="false">
      <c r="A92" s="134" t="e">
        <f aca="false">#REF!</f>
        <v>#REF!</v>
      </c>
      <c r="B92" s="48"/>
      <c r="C92" s="1931" t="e">
        <f aca="false">#REF!</f>
        <v>#REF!</v>
      </c>
      <c r="D92" s="1929"/>
      <c r="E92" s="1929" t="e">
        <f aca="false">#REF!</f>
        <v>#REF!</v>
      </c>
      <c r="F92" s="1929"/>
      <c r="G92" s="1929" t="e">
        <f aca="false">#REF!</f>
        <v>#REF!</v>
      </c>
      <c r="H92" s="1929"/>
      <c r="I92" s="1929" t="e">
        <f aca="false">#REF!</f>
        <v>#REF!</v>
      </c>
      <c r="J92" s="1929"/>
      <c r="K92" s="1930" t="e">
        <f aca="false">#REF!</f>
        <v>#REF!</v>
      </c>
    </row>
    <row r="93" customFormat="false" ht="15" hidden="true" customHeight="false" outlineLevel="0" collapsed="false">
      <c r="A93" s="134" t="e">
        <f aca="false">#REF!</f>
        <v>#REF!</v>
      </c>
      <c r="B93" s="48"/>
      <c r="C93" s="1661" t="e">
        <f aca="false">#REF!</f>
        <v>#REF!</v>
      </c>
      <c r="D93" s="1881"/>
      <c r="E93" s="1881" t="e">
        <f aca="false">#REF!</f>
        <v>#REF!</v>
      </c>
      <c r="F93" s="1881"/>
      <c r="G93" s="1881" t="e">
        <f aca="false">#REF!</f>
        <v>#REF!</v>
      </c>
      <c r="H93" s="1881"/>
      <c r="I93" s="1881" t="e">
        <f aca="false">#REF!</f>
        <v>#REF!</v>
      </c>
      <c r="J93" s="1881"/>
      <c r="K93" s="1717" t="e">
        <f aca="false">#REF!</f>
        <v>#REF!</v>
      </c>
    </row>
    <row r="94" customFormat="false" ht="15" hidden="true" customHeight="false" outlineLevel="0" collapsed="false">
      <c r="A94" s="134" t="e">
        <f aca="false">#REF!</f>
        <v>#REF!</v>
      </c>
      <c r="B94" s="48"/>
      <c r="C94" s="1931" t="e">
        <f aca="false">#REF!</f>
        <v>#REF!</v>
      </c>
      <c r="D94" s="1929"/>
      <c r="E94" s="1929" t="e">
        <f aca="false">#REF!</f>
        <v>#REF!</v>
      </c>
      <c r="F94" s="1929"/>
      <c r="G94" s="1929" t="e">
        <f aca="false">#REF!</f>
        <v>#REF!</v>
      </c>
      <c r="H94" s="1929"/>
      <c r="I94" s="1929" t="e">
        <f aca="false">#REF!</f>
        <v>#REF!</v>
      </c>
      <c r="J94" s="1929"/>
      <c r="K94" s="1930" t="e">
        <f aca="false">#REF!</f>
        <v>#REF!</v>
      </c>
    </row>
    <row r="95" customFormat="false" ht="15" hidden="true" customHeight="false" outlineLevel="0" collapsed="false">
      <c r="A95" s="134" t="e">
        <f aca="false">#REF!</f>
        <v>#REF!</v>
      </c>
      <c r="B95" s="48"/>
      <c r="C95" s="1931" t="e">
        <f aca="false">#REF!</f>
        <v>#REF!</v>
      </c>
      <c r="D95" s="1929"/>
      <c r="E95" s="1929" t="e">
        <f aca="false">#REF!</f>
        <v>#REF!</v>
      </c>
      <c r="F95" s="1929"/>
      <c r="G95" s="1929" t="e">
        <f aca="false">#REF!</f>
        <v>#REF!</v>
      </c>
      <c r="H95" s="1929"/>
      <c r="I95" s="1929" t="e">
        <f aca="false">#REF!</f>
        <v>#REF!</v>
      </c>
      <c r="J95" s="1929"/>
      <c r="K95" s="1930" t="e">
        <f aca="false">#REF!</f>
        <v>#REF!</v>
      </c>
    </row>
    <row r="96" customFormat="false" ht="15" hidden="true" customHeight="false" outlineLevel="0" collapsed="false">
      <c r="A96" s="135"/>
      <c r="B96" s="107"/>
      <c r="C96" s="1665"/>
      <c r="D96" s="1946"/>
      <c r="E96" s="1946"/>
      <c r="F96" s="1946"/>
      <c r="G96" s="1946"/>
      <c r="H96" s="1946"/>
      <c r="I96" s="1946"/>
      <c r="J96" s="1946"/>
      <c r="K96" s="1947"/>
    </row>
    <row r="97" customFormat="false" ht="15" hidden="true" customHeight="false" outlineLevel="0" collapsed="false">
      <c r="A97" s="87"/>
      <c r="C97" s="669"/>
      <c r="D97" s="669"/>
      <c r="E97" s="669"/>
      <c r="F97" s="669"/>
      <c r="G97" s="669"/>
      <c r="H97" s="669"/>
      <c r="I97" s="669"/>
      <c r="J97" s="669"/>
      <c r="K97" s="669"/>
    </row>
    <row r="98" customFormat="false" ht="21" hidden="true" customHeight="false" outlineLevel="0" collapsed="false">
      <c r="A98" s="1925" t="e">
        <f aca="false">#REF!</f>
        <v>#REF!</v>
      </c>
      <c r="B98" s="2019"/>
      <c r="C98" s="1571"/>
      <c r="D98" s="1571"/>
      <c r="E98" s="1571"/>
      <c r="F98" s="1571"/>
      <c r="G98" s="1906"/>
      <c r="H98" s="1571"/>
      <c r="I98" s="1571"/>
      <c r="J98" s="1571"/>
      <c r="K98" s="1907"/>
    </row>
    <row r="99" customFormat="false" ht="15" hidden="true" customHeight="false" outlineLevel="0" collapsed="false">
      <c r="A99" s="589"/>
      <c r="B99" s="257"/>
      <c r="C99" s="1653"/>
      <c r="D99" s="1885"/>
      <c r="E99" s="1885"/>
      <c r="F99" s="1885"/>
      <c r="G99" s="1885"/>
      <c r="H99" s="1885"/>
      <c r="I99" s="1885"/>
      <c r="J99" s="1885"/>
      <c r="K99" s="1884"/>
    </row>
    <row r="100" customFormat="false" ht="15" hidden="true" customHeight="false" outlineLevel="0" collapsed="false">
      <c r="A100" s="134" t="e">
        <f aca="false">#REF!</f>
        <v>#REF!</v>
      </c>
      <c r="B100" s="48"/>
      <c r="C100" s="1661" t="e">
        <f aca="false">#REF!</f>
        <v>#REF!</v>
      </c>
      <c r="D100" s="1881"/>
      <c r="E100" s="1881" t="e">
        <f aca="false">#REF!</f>
        <v>#REF!</v>
      </c>
      <c r="F100" s="1881"/>
      <c r="G100" s="1881" t="e">
        <f aca="false">#REF!</f>
        <v>#REF!</v>
      </c>
      <c r="H100" s="1881"/>
      <c r="I100" s="1881" t="e">
        <f aca="false">#REF!</f>
        <v>#REF!</v>
      </c>
      <c r="J100" s="1881"/>
      <c r="K100" s="1717" t="e">
        <f aca="false">#REF!</f>
        <v>#REF!</v>
      </c>
    </row>
    <row r="101" customFormat="false" ht="15" hidden="true" customHeight="false" outlineLevel="0" collapsed="false">
      <c r="A101" s="134" t="e">
        <f aca="false">#REF!</f>
        <v>#REF!</v>
      </c>
      <c r="B101" s="48"/>
      <c r="C101" s="1931" t="e">
        <f aca="false">#REF!</f>
        <v>#REF!</v>
      </c>
      <c r="D101" s="1929"/>
      <c r="E101" s="1929" t="e">
        <f aca="false">#REF!</f>
        <v>#REF!</v>
      </c>
      <c r="F101" s="1929"/>
      <c r="G101" s="1929" t="e">
        <f aca="false">#REF!</f>
        <v>#REF!</v>
      </c>
      <c r="H101" s="1929"/>
      <c r="I101" s="1929" t="e">
        <f aca="false">#REF!</f>
        <v>#REF!</v>
      </c>
      <c r="J101" s="1929"/>
      <c r="K101" s="1930" t="e">
        <f aca="false">#REF!</f>
        <v>#REF!</v>
      </c>
    </row>
    <row r="102" customFormat="false" ht="15" hidden="true" customHeight="false" outlineLevel="0" collapsed="false">
      <c r="A102" s="134" t="e">
        <f aca="false">#REF!</f>
        <v>#REF!</v>
      </c>
      <c r="B102" s="48"/>
      <c r="C102" s="1931" t="e">
        <f aca="false">#REF!</f>
        <v>#REF!</v>
      </c>
      <c r="D102" s="1929"/>
      <c r="E102" s="1929" t="e">
        <f aca="false">#REF!</f>
        <v>#REF!</v>
      </c>
      <c r="F102" s="1929"/>
      <c r="G102" s="1929" t="e">
        <f aca="false">#REF!</f>
        <v>#REF!</v>
      </c>
      <c r="H102" s="1929"/>
      <c r="I102" s="1929" t="e">
        <f aca="false">#REF!</f>
        <v>#REF!</v>
      </c>
      <c r="J102" s="1929"/>
      <c r="K102" s="1930" t="e">
        <f aca="false">#REF!</f>
        <v>#REF!</v>
      </c>
    </row>
    <row r="103" customFormat="false" ht="15" hidden="true" customHeight="false" outlineLevel="0" collapsed="false">
      <c r="A103" s="134" t="e">
        <f aca="false">#REF!</f>
        <v>#REF!</v>
      </c>
      <c r="B103" s="48"/>
      <c r="C103" s="1931" t="e">
        <f aca="false">#REF!</f>
        <v>#REF!</v>
      </c>
      <c r="D103" s="1929"/>
      <c r="E103" s="1929" t="e">
        <f aca="false">#REF!</f>
        <v>#REF!</v>
      </c>
      <c r="F103" s="1929"/>
      <c r="G103" s="1929" t="e">
        <f aca="false">#REF!</f>
        <v>#REF!</v>
      </c>
      <c r="H103" s="1929"/>
      <c r="I103" s="1929" t="e">
        <f aca="false">#REF!</f>
        <v>#REF!</v>
      </c>
      <c r="J103" s="1929"/>
      <c r="K103" s="1930" t="e">
        <f aca="false">#REF!</f>
        <v>#REF!</v>
      </c>
    </row>
    <row r="104" customFormat="false" ht="15" hidden="true" customHeight="false" outlineLevel="0" collapsed="false">
      <c r="A104" s="134" t="e">
        <f aca="false">#REF!</f>
        <v>#REF!</v>
      </c>
      <c r="B104" s="48"/>
      <c r="C104" s="1940" t="e">
        <f aca="false">#REF!</f>
        <v>#REF!</v>
      </c>
      <c r="D104" s="1941"/>
      <c r="E104" s="1941" t="e">
        <f aca="false">#REF!</f>
        <v>#REF!</v>
      </c>
      <c r="F104" s="1941"/>
      <c r="G104" s="1941" t="e">
        <f aca="false">#REF!</f>
        <v>#REF!</v>
      </c>
      <c r="H104" s="1941"/>
      <c r="I104" s="1941" t="e">
        <f aca="false">#REF!</f>
        <v>#REF!</v>
      </c>
      <c r="J104" s="1941"/>
      <c r="K104" s="1942" t="e">
        <f aca="false">#REF!</f>
        <v>#REF!</v>
      </c>
    </row>
    <row r="105" customFormat="false" ht="15" hidden="true" customHeight="false" outlineLevel="0" collapsed="false">
      <c r="A105" s="134" t="e">
        <f aca="false">#REF!</f>
        <v>#REF!</v>
      </c>
      <c r="B105" s="48"/>
      <c r="C105" s="1940" t="e">
        <f aca="false">#REF!</f>
        <v>#REF!</v>
      </c>
      <c r="D105" s="1941"/>
      <c r="E105" s="1941" t="e">
        <f aca="false">#REF!</f>
        <v>#REF!</v>
      </c>
      <c r="F105" s="1941"/>
      <c r="G105" s="1941" t="e">
        <f aca="false">#REF!</f>
        <v>#REF!</v>
      </c>
      <c r="H105" s="1941"/>
      <c r="I105" s="1941" t="e">
        <f aca="false">#REF!</f>
        <v>#REF!</v>
      </c>
      <c r="J105" s="1941"/>
      <c r="K105" s="1942" t="e">
        <f aca="false">#REF!</f>
        <v>#REF!</v>
      </c>
    </row>
    <row r="106" customFormat="false" ht="15" hidden="true" customHeight="false" outlineLevel="0" collapsed="false">
      <c r="A106" s="134" t="e">
        <f aca="false">#REF!</f>
        <v>#REF!</v>
      </c>
      <c r="B106" s="48"/>
      <c r="C106" s="1661" t="e">
        <f aca="false">#REF!</f>
        <v>#REF!</v>
      </c>
      <c r="D106" s="1881"/>
      <c r="E106" s="1881" t="e">
        <f aca="false">#REF!</f>
        <v>#REF!</v>
      </c>
      <c r="F106" s="1881"/>
      <c r="G106" s="1881" t="e">
        <f aca="false">#REF!</f>
        <v>#REF!</v>
      </c>
      <c r="H106" s="1881"/>
      <c r="I106" s="1881" t="e">
        <f aca="false">#REF!</f>
        <v>#REF!</v>
      </c>
      <c r="J106" s="1881"/>
      <c r="K106" s="1717" t="e">
        <f aca="false">#REF!</f>
        <v>#REF!</v>
      </c>
    </row>
    <row r="107" customFormat="false" ht="15" hidden="true" customHeight="false" outlineLevel="0" collapsed="false">
      <c r="A107" s="135"/>
      <c r="B107" s="107"/>
      <c r="C107" s="1665"/>
      <c r="D107" s="1946"/>
      <c r="E107" s="1946"/>
      <c r="F107" s="1946"/>
      <c r="G107" s="1946"/>
      <c r="H107" s="1946"/>
      <c r="I107" s="1946"/>
      <c r="J107" s="1946"/>
      <c r="K107" s="1947"/>
    </row>
    <row r="108" customFormat="false" ht="15" hidden="true" customHeight="false" outlineLevel="0" collapsed="false">
      <c r="A108" s="87"/>
      <c r="C108" s="669"/>
      <c r="D108" s="669"/>
      <c r="E108" s="669"/>
      <c r="F108" s="669"/>
      <c r="G108" s="669"/>
      <c r="H108" s="669"/>
      <c r="I108" s="669"/>
      <c r="J108" s="669"/>
      <c r="K108" s="669"/>
    </row>
    <row r="109" customFormat="false" ht="21" hidden="true" customHeight="false" outlineLevel="0" collapsed="false">
      <c r="A109" s="1925" t="e">
        <f aca="false">#REF!</f>
        <v>#REF!</v>
      </c>
      <c r="B109" s="2019"/>
      <c r="C109" s="1571"/>
      <c r="D109" s="1571"/>
      <c r="E109" s="1571"/>
      <c r="F109" s="1571"/>
      <c r="G109" s="1906"/>
      <c r="H109" s="1571"/>
      <c r="I109" s="1571"/>
      <c r="J109" s="1571"/>
      <c r="K109" s="1907"/>
    </row>
    <row r="110" customFormat="false" ht="15" hidden="true" customHeight="false" outlineLevel="0" collapsed="false">
      <c r="A110" s="589"/>
      <c r="B110" s="257"/>
      <c r="C110" s="1653"/>
      <c r="D110" s="1885"/>
      <c r="E110" s="1885"/>
      <c r="F110" s="1885"/>
      <c r="G110" s="1885"/>
      <c r="H110" s="1885"/>
      <c r="I110" s="1885"/>
      <c r="J110" s="1885"/>
      <c r="K110" s="1884"/>
    </row>
    <row r="111" customFormat="false" ht="15" hidden="true" customHeight="false" outlineLevel="0" collapsed="false">
      <c r="A111" s="134" t="e">
        <f aca="false">#REF!</f>
        <v>#REF!</v>
      </c>
      <c r="B111" s="48"/>
      <c r="C111" s="1661" t="e">
        <f aca="false">#REF!</f>
        <v>#REF!</v>
      </c>
      <c r="D111" s="1619"/>
      <c r="E111" s="1619" t="e">
        <f aca="false">#REF!</f>
        <v>#REF!</v>
      </c>
      <c r="F111" s="1619"/>
      <c r="G111" s="1619" t="e">
        <f aca="false">#REF!</f>
        <v>#REF!</v>
      </c>
      <c r="H111" s="1619"/>
      <c r="I111" s="1619" t="e">
        <f aca="false">#REF!</f>
        <v>#REF!</v>
      </c>
      <c r="J111" s="1619"/>
      <c r="K111" s="1717" t="e">
        <f aca="false">#REF!</f>
        <v>#REF!</v>
      </c>
    </row>
    <row r="112" customFormat="false" ht="15" hidden="true" customHeight="false" outlineLevel="0" collapsed="false">
      <c r="A112" s="134" t="e">
        <f aca="false">#REF!</f>
        <v>#REF!</v>
      </c>
      <c r="B112" s="48"/>
      <c r="C112" s="1931" t="e">
        <f aca="false">#REF!</f>
        <v>#REF!</v>
      </c>
      <c r="D112" s="1929"/>
      <c r="E112" s="1929" t="e">
        <f aca="false">#REF!</f>
        <v>#REF!</v>
      </c>
      <c r="F112" s="1929"/>
      <c r="G112" s="1929" t="e">
        <f aca="false">#REF!</f>
        <v>#REF!</v>
      </c>
      <c r="H112" s="1929"/>
      <c r="I112" s="1929" t="e">
        <f aca="false">#REF!</f>
        <v>#REF!</v>
      </c>
      <c r="J112" s="1929"/>
      <c r="K112" s="1930" t="e">
        <f aca="false">#REF!</f>
        <v>#REF!</v>
      </c>
    </row>
    <row r="113" customFormat="false" ht="15" hidden="true" customHeight="false" outlineLevel="0" collapsed="false">
      <c r="A113" s="134" t="e">
        <f aca="false">#REF!</f>
        <v>#REF!</v>
      </c>
      <c r="B113" s="48"/>
      <c r="C113" s="1931" t="e">
        <f aca="false">#REF!</f>
        <v>#REF!</v>
      </c>
      <c r="D113" s="1929"/>
      <c r="E113" s="1929" t="e">
        <f aca="false">#REF!</f>
        <v>#REF!</v>
      </c>
      <c r="F113" s="1929"/>
      <c r="G113" s="1929" t="e">
        <f aca="false">#REF!</f>
        <v>#REF!</v>
      </c>
      <c r="H113" s="1929"/>
      <c r="I113" s="1929" t="e">
        <f aca="false">#REF!</f>
        <v>#REF!</v>
      </c>
      <c r="J113" s="1929"/>
      <c r="K113" s="1930" t="e">
        <f aca="false">#REF!</f>
        <v>#REF!</v>
      </c>
    </row>
    <row r="114" customFormat="false" ht="15" hidden="true" customHeight="false" outlineLevel="0" collapsed="false">
      <c r="A114" s="134" t="e">
        <f aca="false">#REF!</f>
        <v>#REF!</v>
      </c>
      <c r="B114" s="48"/>
      <c r="C114" s="1931" t="e">
        <f aca="false">#REF!</f>
        <v>#REF!</v>
      </c>
      <c r="D114" s="1929"/>
      <c r="E114" s="1929" t="e">
        <f aca="false">#REF!</f>
        <v>#REF!</v>
      </c>
      <c r="F114" s="1929"/>
      <c r="G114" s="1929" t="e">
        <f aca="false">#REF!</f>
        <v>#REF!</v>
      </c>
      <c r="H114" s="1929"/>
      <c r="I114" s="1929" t="e">
        <f aca="false">#REF!</f>
        <v>#REF!</v>
      </c>
      <c r="J114" s="1929"/>
      <c r="K114" s="1930" t="e">
        <f aca="false">#REF!</f>
        <v>#REF!</v>
      </c>
    </row>
    <row r="115" customFormat="false" ht="15" hidden="true" customHeight="false" outlineLevel="0" collapsed="false">
      <c r="A115" s="134" t="e">
        <f aca="false">#REF!</f>
        <v>#REF!</v>
      </c>
      <c r="B115" s="48"/>
      <c r="C115" s="1661" t="e">
        <f aca="false">#REF!</f>
        <v>#REF!</v>
      </c>
      <c r="D115" s="1881"/>
      <c r="E115" s="1881" t="e">
        <f aca="false">#REF!</f>
        <v>#REF!</v>
      </c>
      <c r="F115" s="1881"/>
      <c r="G115" s="1881" t="e">
        <f aca="false">#REF!</f>
        <v>#REF!</v>
      </c>
      <c r="H115" s="1881"/>
      <c r="I115" s="1881" t="e">
        <f aca="false">#REF!</f>
        <v>#REF!</v>
      </c>
      <c r="J115" s="1881"/>
      <c r="K115" s="1717" t="e">
        <f aca="false">#REF!</f>
        <v>#REF!</v>
      </c>
    </row>
    <row r="116" customFormat="false" ht="15" hidden="true" customHeight="false" outlineLevel="0" collapsed="false">
      <c r="A116" s="135"/>
      <c r="B116" s="107"/>
      <c r="C116" s="1665"/>
      <c r="D116" s="1946"/>
      <c r="E116" s="1946"/>
      <c r="F116" s="1946"/>
      <c r="G116" s="1946"/>
      <c r="H116" s="1946"/>
      <c r="I116" s="1946"/>
      <c r="J116" s="1946"/>
      <c r="K116" s="1947"/>
    </row>
    <row r="117" customFormat="false" ht="15" hidden="true" customHeight="false" outlineLevel="0" collapsed="false">
      <c r="A117" s="87"/>
      <c r="C117" s="669"/>
      <c r="D117" s="669"/>
      <c r="E117" s="669"/>
      <c r="F117" s="669"/>
      <c r="G117" s="669"/>
      <c r="H117" s="669"/>
      <c r="I117" s="669"/>
      <c r="J117" s="669"/>
      <c r="K117" s="669"/>
    </row>
    <row r="118" customFormat="false" ht="21" hidden="true" customHeight="false" outlineLevel="0" collapsed="false">
      <c r="A118" s="1925" t="e">
        <f aca="false">#REF!</f>
        <v>#REF!</v>
      </c>
      <c r="B118" s="2019"/>
      <c r="C118" s="1571"/>
      <c r="D118" s="1571"/>
      <c r="E118" s="1571"/>
      <c r="F118" s="1571"/>
      <c r="G118" s="1906"/>
      <c r="H118" s="1571"/>
      <c r="I118" s="1571"/>
      <c r="J118" s="1571"/>
      <c r="K118" s="1907"/>
    </row>
    <row r="119" customFormat="false" ht="15" hidden="true" customHeight="false" outlineLevel="0" collapsed="false">
      <c r="A119" s="589"/>
      <c r="B119" s="257"/>
      <c r="C119" s="1653"/>
      <c r="D119" s="1885"/>
      <c r="E119" s="1885"/>
      <c r="F119" s="1885"/>
      <c r="G119" s="1885"/>
      <c r="H119" s="1885"/>
      <c r="I119" s="1885"/>
      <c r="J119" s="1885"/>
      <c r="K119" s="1884"/>
    </row>
    <row r="120" customFormat="false" ht="15" hidden="true" customHeight="false" outlineLevel="0" collapsed="false">
      <c r="A120" s="134" t="e">
        <f aca="false">#REF!</f>
        <v>#REF!</v>
      </c>
      <c r="B120" s="48"/>
      <c r="C120" s="1661" t="e">
        <f aca="false">#REF!</f>
        <v>#REF!</v>
      </c>
      <c r="D120" s="1881"/>
      <c r="E120" s="1881" t="e">
        <f aca="false">#REF!</f>
        <v>#REF!</v>
      </c>
      <c r="F120" s="1881"/>
      <c r="G120" s="1881" t="e">
        <f aca="false">#REF!</f>
        <v>#REF!</v>
      </c>
      <c r="H120" s="1881"/>
      <c r="I120" s="1881" t="e">
        <f aca="false">#REF!</f>
        <v>#REF!</v>
      </c>
      <c r="J120" s="1881"/>
      <c r="K120" s="1717" t="e">
        <f aca="false">#REF!</f>
        <v>#REF!</v>
      </c>
    </row>
    <row r="121" customFormat="false" ht="15" hidden="true" customHeight="false" outlineLevel="0" collapsed="false">
      <c r="A121" s="134" t="e">
        <f aca="false">#REF!</f>
        <v>#REF!</v>
      </c>
      <c r="B121" s="48"/>
      <c r="C121" s="1931" t="e">
        <f aca="false">#REF!</f>
        <v>#REF!</v>
      </c>
      <c r="D121" s="1927"/>
      <c r="E121" s="1929" t="e">
        <f aca="false">#REF!</f>
        <v>#REF!</v>
      </c>
      <c r="F121" s="1929"/>
      <c r="G121" s="1929" t="e">
        <f aca="false">#REF!</f>
        <v>#REF!</v>
      </c>
      <c r="H121" s="1929"/>
      <c r="I121" s="1929" t="e">
        <f aca="false">#REF!</f>
        <v>#REF!</v>
      </c>
      <c r="J121" s="1929"/>
      <c r="K121" s="1930" t="e">
        <f aca="false">#REF!</f>
        <v>#REF!</v>
      </c>
    </row>
    <row r="122" customFormat="false" ht="15" hidden="true" customHeight="false" outlineLevel="0" collapsed="false">
      <c r="A122" s="135"/>
      <c r="B122" s="107"/>
      <c r="C122" s="1665"/>
      <c r="D122" s="1946"/>
      <c r="E122" s="1946"/>
      <c r="F122" s="1946"/>
      <c r="G122" s="1946"/>
      <c r="H122" s="1946"/>
      <c r="I122" s="1946"/>
      <c r="J122" s="1946"/>
      <c r="K122" s="1947"/>
    </row>
    <row r="123" customFormat="false" ht="15" hidden="false" customHeight="false" outlineLevel="0" collapsed="false"/>
    <row r="125" customFormat="false" ht="15" hidden="true" customHeight="false" outlineLevel="0" collapsed="false">
      <c r="B125" s="2027" t="n">
        <v>2</v>
      </c>
    </row>
    <row r="126" customFormat="false" ht="15" hidden="true" customHeight="false" outlineLevel="0" collapsed="false">
      <c r="B126" s="2027" t="n">
        <v>1.9</v>
      </c>
    </row>
    <row r="127" customFormat="false" ht="15" hidden="true" customHeight="false" outlineLevel="0" collapsed="false">
      <c r="B127" s="2027" t="n">
        <v>1.8</v>
      </c>
    </row>
    <row r="128" customFormat="false" ht="15" hidden="true" customHeight="false" outlineLevel="0" collapsed="false">
      <c r="B128" s="2027" t="n">
        <v>1.7</v>
      </c>
    </row>
    <row r="129" customFormat="false" ht="15" hidden="true" customHeight="false" outlineLevel="0" collapsed="false">
      <c r="B129" s="2027" t="n">
        <v>1.6</v>
      </c>
    </row>
    <row r="130" customFormat="false" ht="15" hidden="true" customHeight="false" outlineLevel="0" collapsed="false">
      <c r="B130" s="2027" t="n">
        <v>1.5</v>
      </c>
    </row>
    <row r="131" customFormat="false" ht="15" hidden="true" customHeight="false" outlineLevel="0" collapsed="false">
      <c r="B131" s="2027" t="n">
        <v>1.4</v>
      </c>
    </row>
    <row r="132" customFormat="false" ht="15" hidden="true" customHeight="false" outlineLevel="0" collapsed="false">
      <c r="B132" s="2027" t="n">
        <v>1.3</v>
      </c>
    </row>
    <row r="133" customFormat="false" ht="15" hidden="true" customHeight="false" outlineLevel="0" collapsed="false">
      <c r="B133" s="2027" t="n">
        <v>1.2</v>
      </c>
    </row>
    <row r="134" customFormat="false" ht="15" hidden="true" customHeight="false" outlineLevel="0" collapsed="false">
      <c r="B134" s="2027" t="n">
        <v>1.1</v>
      </c>
    </row>
    <row r="135" customFormat="false" ht="15" hidden="true" customHeight="false" outlineLevel="0" collapsed="false">
      <c r="B135" s="2027" t="n">
        <v>1</v>
      </c>
    </row>
    <row r="136" customFormat="false" ht="15" hidden="true" customHeight="false" outlineLevel="0" collapsed="false">
      <c r="B136" s="2027" t="n">
        <v>0.9</v>
      </c>
    </row>
    <row r="137" customFormat="false" ht="15" hidden="true" customHeight="false" outlineLevel="0" collapsed="false">
      <c r="B137" s="2027" t="n">
        <v>0.8</v>
      </c>
    </row>
    <row r="138" customFormat="false" ht="15" hidden="true" customHeight="false" outlineLevel="0" collapsed="false">
      <c r="B138" s="2027" t="n">
        <v>0.7</v>
      </c>
    </row>
    <row r="139" customFormat="false" ht="15" hidden="true" customHeight="false" outlineLevel="0" collapsed="false">
      <c r="B139" s="2027" t="n">
        <v>0.6</v>
      </c>
    </row>
    <row r="140" customFormat="false" ht="15" hidden="true" customHeight="false" outlineLevel="0" collapsed="false">
      <c r="B140" s="2027" t="n">
        <v>0.5</v>
      </c>
    </row>
    <row r="141" customFormat="false" ht="15" hidden="true" customHeight="false" outlineLevel="0" collapsed="false">
      <c r="B141" s="2027" t="n">
        <v>0.4</v>
      </c>
    </row>
    <row r="142" customFormat="false" ht="15" hidden="true" customHeight="false" outlineLevel="0" collapsed="false">
      <c r="B142" s="2027" t="n">
        <v>0.3</v>
      </c>
    </row>
    <row r="143" customFormat="false" ht="15" hidden="true" customHeight="false" outlineLevel="0" collapsed="false">
      <c r="B143" s="2027" t="n">
        <v>0.2</v>
      </c>
    </row>
    <row r="144" customFormat="false" ht="15" hidden="true" customHeight="false" outlineLevel="0" collapsed="false">
      <c r="B144" s="2027" t="n">
        <v>0.1</v>
      </c>
    </row>
    <row r="145" customFormat="false" ht="15" hidden="true" customHeight="false" outlineLevel="0" collapsed="false">
      <c r="B145" s="2027" t="n">
        <v>0</v>
      </c>
    </row>
  </sheetData>
  <scenarios current="5" show="5">
    <scenario name="Low market size trucks" locked="true" count="1" user="Calc" comment="Gemaakt door marco eijkens op 15-8-2008">
      <inputCells r="D9" val="0,8"/>
    </scenario>
    <scenario name="Low market share" locked="true" count="1" user="Calc" comment="Gemaakt door marco eijkens op 15-8-2008">
      <inputCells r="D10" val="0,8"/>
    </scenario>
    <scenario name="Low market share used trucks" locked="true" count="1" user="Calc" comment="Gemaakt door marco eijkens op 15-8-2008">
      <inputCells r="D11" val="0,8"/>
    </scenario>
    <scenario name="Low part retention" locked="true" count="1" user="Calc" comment="Gemaakt door marco eijkens op 15-8-2008">
      <inputCells r="D12" val="0,8"/>
    </scenario>
    <scenario name="Low service retention" locked="true" count="1" user="Calc" comment="Gemaakt door marco eijkens op 15-8-2008">
      <inputCells r="D13" val="0,8"/>
    </scenario>
    <scenario name="Low gross margin new trucks" locked="true" count="1" user="Calc" comment="Gemaakt door marco eijkens op 15-8-2008">
      <inputCells r="D14" val="0,8"/>
    </scenario>
    <scenario name="High salaries &amp; Wages" locked="true" count="1" user="Calc" comment="Gemaakt door marco eijkens op 15-8-2008">
      <inputCells r="D15" val="1,2"/>
    </scenario>
    <scenario name="High operating costs" locked="true" count="1" user="Calc" comment="Gemaakt door marco eijkens op 15-8-2008">
      <inputCells r="D15" val="1,2"/>
    </scenario>
  </scenarios>
  <dataValidations count="1">
    <dataValidation allowBlank="true" operator="between" showDropDown="false" showErrorMessage="true" showInputMessage="true" sqref="D9:D16" type="list">
      <formula1>$B$125:$B$145</formula1>
      <formula2>0</formula2>
    </dataValidation>
  </dataValidations>
  <printOptions headings="false" gridLines="false" gridLinesSet="true" horizontalCentered="true" verticalCentered="tru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&amp;L&amp;F</oddHeader>
    <oddFooter>&amp;LDAF Dealer Business Plan&amp;CPrint date: &amp;D&amp;R&amp;P/&amp;N | DAF Trucks NV    </oddFooter>
  </headerFooter>
  <drawing r:id="rId1"/>
</worksheet>
</file>

<file path=xl/worksheets/sheet71.xml><?xml version="1.0" encoding="utf-8"?>
<worksheet xmlns="http://schemas.openxmlformats.org/spreadsheetml/2006/main" xmlns:r="http://schemas.openxmlformats.org/officeDocument/2006/relationships">
  <sheetPr filterMode="false">
    <tabColor rgb="FF3366FF"/>
    <pageSetUpPr fitToPage="false"/>
  </sheetPr>
  <dimension ref="A1:K7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1" min="1" style="0" width="13.86"/>
    <col collapsed="false" customWidth="true" hidden="false" outlineLevel="0" max="12" min="12" style="0" width="3.57"/>
    <col collapsed="false" customWidth="true" hidden="false" outlineLevel="0" max="1025" min="13" style="0" width="8.67"/>
  </cols>
  <sheetData>
    <row r="1" customFormat="false" ht="28.5" hidden="false" customHeight="false" outlineLevel="0" collapsed="false">
      <c r="A1" s="5" t="s">
        <v>525</v>
      </c>
      <c r="B1" s="6"/>
      <c r="C1" s="6"/>
      <c r="D1" s="6"/>
      <c r="E1" s="6"/>
      <c r="F1" s="6"/>
      <c r="G1" s="6"/>
      <c r="H1" s="6"/>
      <c r="I1" s="6"/>
      <c r="J1" s="6"/>
      <c r="K1" s="8" t="s">
        <v>1158</v>
      </c>
    </row>
    <row r="2" customFormat="false" ht="15" hidden="false" customHeight="false" outlineLevel="0" collapsed="false">
      <c r="A2" s="1"/>
      <c r="B2" s="2"/>
      <c r="C2" s="2"/>
      <c r="D2" s="2"/>
      <c r="E2" s="1070"/>
      <c r="F2" s="2"/>
      <c r="G2" s="2"/>
      <c r="H2" s="2"/>
      <c r="I2" s="2"/>
      <c r="J2" s="2"/>
      <c r="K2" s="1071"/>
    </row>
    <row r="3" customFormat="false" ht="18" hidden="false" customHeight="false" outlineLevel="0" collapsed="false">
      <c r="A3" s="17" t="s">
        <v>34</v>
      </c>
      <c r="B3" s="1788" t="n">
        <v>0</v>
      </c>
      <c r="C3" s="2"/>
      <c r="D3" s="2"/>
      <c r="E3" s="1074" t="s">
        <v>46</v>
      </c>
      <c r="F3" s="25" t="n">
        <v>0</v>
      </c>
      <c r="G3" s="1075" t="s">
        <v>49</v>
      </c>
      <c r="H3" s="1076" t="n">
        <v>0</v>
      </c>
      <c r="I3" s="29"/>
      <c r="J3" s="29" t="s">
        <v>527</v>
      </c>
      <c r="K3" s="1078" t="n">
        <v>0</v>
      </c>
    </row>
    <row r="4" customFormat="false" ht="15" hidden="false" customHeight="false" outlineLevel="0" collapsed="false">
      <c r="A4" s="49"/>
      <c r="B4" s="189"/>
      <c r="C4" s="50"/>
      <c r="D4" s="50"/>
      <c r="E4" s="50"/>
      <c r="F4" s="50"/>
      <c r="G4" s="190"/>
      <c r="H4" s="50"/>
      <c r="I4" s="50"/>
      <c r="J4" s="50"/>
      <c r="K4" s="191"/>
    </row>
    <row r="6" customFormat="false" ht="15" hidden="false" customHeight="false" outlineLevel="0" collapsed="false">
      <c r="D6" s="2"/>
      <c r="E6" s="2"/>
      <c r="F6" s="184" t="s">
        <v>1159</v>
      </c>
      <c r="G6" s="2"/>
    </row>
    <row r="7" customFormat="false" ht="15" hidden="false" customHeight="false" outlineLevel="0" collapsed="false">
      <c r="D7" s="2028" t="s">
        <v>1160</v>
      </c>
      <c r="E7" s="2029"/>
      <c r="F7" s="2029"/>
      <c r="G7" s="2030" t="s">
        <v>1161</v>
      </c>
    </row>
    <row r="8" customFormat="false" ht="15" hidden="false" customHeight="false" outlineLevel="0" collapsed="false">
      <c r="D8" s="1"/>
      <c r="E8" s="2"/>
      <c r="F8" s="2"/>
      <c r="G8" s="2031"/>
    </row>
    <row r="9" customFormat="false" ht="15" hidden="false" customHeight="false" outlineLevel="0" collapsed="false">
      <c r="D9" s="2032" t="s">
        <v>925</v>
      </c>
      <c r="E9" s="2033"/>
      <c r="F9" s="2033"/>
      <c r="G9" s="2034"/>
    </row>
    <row r="10" customFormat="false" ht="15" hidden="false" customHeight="false" outlineLevel="0" collapsed="false">
      <c r="D10" s="1" t="s">
        <v>1162</v>
      </c>
      <c r="E10" s="2"/>
      <c r="F10" s="2"/>
      <c r="G10" s="2031" t="s">
        <v>1163</v>
      </c>
    </row>
    <row r="11" customFormat="false" ht="15" hidden="false" customHeight="false" outlineLevel="0" collapsed="false">
      <c r="D11" s="1" t="s">
        <v>1164</v>
      </c>
      <c r="E11" s="2"/>
      <c r="F11" s="2"/>
      <c r="G11" s="2031" t="s">
        <v>1165</v>
      </c>
    </row>
    <row r="12" customFormat="false" ht="15" hidden="false" customHeight="false" outlineLevel="0" collapsed="false">
      <c r="D12" s="1" t="s">
        <v>1166</v>
      </c>
      <c r="E12" s="2"/>
      <c r="F12" s="2"/>
      <c r="G12" s="2031" t="s">
        <v>1167</v>
      </c>
    </row>
    <row r="13" customFormat="false" ht="15" hidden="false" customHeight="false" outlineLevel="0" collapsed="false">
      <c r="D13" s="1" t="s">
        <v>1168</v>
      </c>
      <c r="E13" s="2"/>
      <c r="F13" s="2"/>
      <c r="G13" s="2031" t="s">
        <v>1169</v>
      </c>
    </row>
    <row r="14" customFormat="false" ht="15" hidden="false" customHeight="false" outlineLevel="0" collapsed="false">
      <c r="D14" s="1" t="s">
        <v>1170</v>
      </c>
      <c r="E14" s="2"/>
      <c r="F14" s="2"/>
      <c r="G14" s="2031" t="s">
        <v>1171</v>
      </c>
    </row>
    <row r="15" customFormat="false" ht="15" hidden="false" customHeight="false" outlineLevel="0" collapsed="false">
      <c r="D15" s="1"/>
      <c r="E15" s="2"/>
      <c r="F15" s="2"/>
      <c r="G15" s="2031"/>
    </row>
    <row r="16" customFormat="false" ht="15" hidden="false" customHeight="false" outlineLevel="0" collapsed="false">
      <c r="D16" s="2032" t="s">
        <v>171</v>
      </c>
      <c r="E16" s="2033"/>
      <c r="F16" s="2033"/>
      <c r="G16" s="2034"/>
    </row>
    <row r="17" customFormat="false" ht="15" hidden="false" customHeight="false" outlineLevel="0" collapsed="false">
      <c r="D17" s="1" t="s">
        <v>1162</v>
      </c>
      <c r="E17" s="2"/>
      <c r="F17" s="2"/>
      <c r="G17" s="2031" t="s">
        <v>1172</v>
      </c>
    </row>
    <row r="18" customFormat="false" ht="15" hidden="false" customHeight="false" outlineLevel="0" collapsed="false">
      <c r="D18" s="1" t="s">
        <v>1164</v>
      </c>
      <c r="E18" s="2"/>
      <c r="F18" s="2"/>
      <c r="G18" s="2031" t="s">
        <v>1173</v>
      </c>
    </row>
    <row r="19" customFormat="false" ht="15" hidden="false" customHeight="false" outlineLevel="0" collapsed="false">
      <c r="D19" s="1" t="s">
        <v>1166</v>
      </c>
      <c r="E19" s="2"/>
      <c r="F19" s="2"/>
      <c r="G19" s="2031" t="s">
        <v>1174</v>
      </c>
    </row>
    <row r="20" customFormat="false" ht="15" hidden="false" customHeight="false" outlineLevel="0" collapsed="false">
      <c r="D20" s="1" t="s">
        <v>1168</v>
      </c>
      <c r="E20" s="2"/>
      <c r="F20" s="2"/>
      <c r="G20" s="2031" t="s">
        <v>1175</v>
      </c>
    </row>
    <row r="21" customFormat="false" ht="15" hidden="false" customHeight="false" outlineLevel="0" collapsed="false">
      <c r="D21" s="1" t="s">
        <v>1170</v>
      </c>
      <c r="E21" s="2"/>
      <c r="F21" s="2"/>
      <c r="G21" s="2031" t="s">
        <v>1176</v>
      </c>
    </row>
    <row r="22" customFormat="false" ht="15" hidden="false" customHeight="false" outlineLevel="0" collapsed="false">
      <c r="D22" s="1"/>
      <c r="E22" s="2"/>
      <c r="F22" s="2"/>
      <c r="G22" s="2031"/>
    </row>
    <row r="23" customFormat="false" ht="15" hidden="false" customHeight="false" outlineLevel="0" collapsed="false">
      <c r="D23" s="2032" t="s">
        <v>1177</v>
      </c>
      <c r="E23" s="2033"/>
      <c r="F23" s="2033"/>
      <c r="G23" s="2034"/>
    </row>
    <row r="24" customFormat="false" ht="15" hidden="false" customHeight="false" outlineLevel="0" collapsed="false">
      <c r="D24" s="1" t="s">
        <v>1162</v>
      </c>
      <c r="E24" s="2"/>
      <c r="F24" s="2"/>
      <c r="G24" s="2031" t="s">
        <v>1178</v>
      </c>
    </row>
    <row r="25" customFormat="false" ht="15" hidden="false" customHeight="false" outlineLevel="0" collapsed="false">
      <c r="D25" s="1" t="s">
        <v>1164</v>
      </c>
      <c r="E25" s="2"/>
      <c r="F25" s="2"/>
      <c r="G25" s="2031" t="s">
        <v>1179</v>
      </c>
    </row>
    <row r="26" customFormat="false" ht="15" hidden="false" customHeight="false" outlineLevel="0" collapsed="false">
      <c r="D26" s="1" t="s">
        <v>1166</v>
      </c>
      <c r="E26" s="2"/>
      <c r="F26" s="2"/>
      <c r="G26" s="2031" t="s">
        <v>1167</v>
      </c>
    </row>
    <row r="27" customFormat="false" ht="15" hidden="false" customHeight="false" outlineLevel="0" collapsed="false">
      <c r="D27" s="1"/>
      <c r="E27" s="2"/>
      <c r="F27" s="2"/>
      <c r="G27" s="2031"/>
    </row>
    <row r="28" customFormat="false" ht="15" hidden="false" customHeight="false" outlineLevel="0" collapsed="false">
      <c r="D28" s="2032" t="s">
        <v>173</v>
      </c>
      <c r="E28" s="2033"/>
      <c r="F28" s="2033"/>
      <c r="G28" s="2034"/>
    </row>
    <row r="29" customFormat="false" ht="15" hidden="false" customHeight="false" outlineLevel="0" collapsed="false">
      <c r="D29" s="1" t="s">
        <v>1162</v>
      </c>
      <c r="E29" s="2"/>
      <c r="F29" s="2"/>
      <c r="G29" s="2031" t="s">
        <v>1180</v>
      </c>
    </row>
    <row r="30" customFormat="false" ht="15" hidden="false" customHeight="false" outlineLevel="0" collapsed="false">
      <c r="D30" s="1" t="s">
        <v>1164</v>
      </c>
      <c r="E30" s="2"/>
      <c r="F30" s="2"/>
      <c r="G30" s="2031" t="s">
        <v>1181</v>
      </c>
    </row>
    <row r="31" customFormat="false" ht="15" hidden="false" customHeight="false" outlineLevel="0" collapsed="false">
      <c r="D31" s="1" t="s">
        <v>1166</v>
      </c>
      <c r="E31" s="2"/>
      <c r="F31" s="2"/>
      <c r="G31" s="2031" t="s">
        <v>1172</v>
      </c>
    </row>
    <row r="32" customFormat="false" ht="15" hidden="false" customHeight="false" outlineLevel="0" collapsed="false">
      <c r="D32" s="1"/>
      <c r="E32" s="2"/>
      <c r="F32" s="2"/>
      <c r="G32" s="2031"/>
    </row>
    <row r="33" customFormat="false" ht="15" hidden="false" customHeight="false" outlineLevel="0" collapsed="false">
      <c r="D33" s="2032" t="s">
        <v>1182</v>
      </c>
      <c r="E33" s="2033"/>
      <c r="F33" s="2033"/>
      <c r="G33" s="2034"/>
    </row>
    <row r="34" customFormat="false" ht="15" hidden="false" customHeight="false" outlineLevel="0" collapsed="false">
      <c r="D34" s="1" t="s">
        <v>1183</v>
      </c>
      <c r="E34" s="2"/>
      <c r="F34" s="2"/>
      <c r="G34" s="2031" t="s">
        <v>1178</v>
      </c>
    </row>
    <row r="35" customFormat="false" ht="15" hidden="false" customHeight="false" outlineLevel="0" collapsed="false">
      <c r="D35" s="1" t="s">
        <v>1184</v>
      </c>
      <c r="E35" s="2"/>
      <c r="F35" s="2"/>
      <c r="G35" s="2031" t="s">
        <v>1185</v>
      </c>
    </row>
    <row r="36" customFormat="false" ht="15" hidden="false" customHeight="false" outlineLevel="0" collapsed="false">
      <c r="D36" s="1" t="s">
        <v>1170</v>
      </c>
      <c r="E36" s="2"/>
      <c r="F36" s="2"/>
      <c r="G36" s="2031" t="s">
        <v>1176</v>
      </c>
    </row>
    <row r="37" customFormat="false" ht="15" hidden="false" customHeight="false" outlineLevel="0" collapsed="false">
      <c r="D37" s="1" t="s">
        <v>1186</v>
      </c>
      <c r="E37" s="2"/>
      <c r="F37" s="2"/>
      <c r="G37" s="2031" t="s">
        <v>1187</v>
      </c>
    </row>
    <row r="38" customFormat="false" ht="15" hidden="false" customHeight="false" outlineLevel="0" collapsed="false">
      <c r="D38" s="1" t="s">
        <v>1188</v>
      </c>
      <c r="E38" s="2"/>
      <c r="F38" s="2"/>
      <c r="G38" s="2035" t="s">
        <v>1189</v>
      </c>
    </row>
    <row r="39" customFormat="false" ht="15" hidden="false" customHeight="false" outlineLevel="0" collapsed="false">
      <c r="D39" s="1"/>
      <c r="E39" s="2"/>
      <c r="F39" s="2"/>
      <c r="G39" s="2031"/>
    </row>
    <row r="40" customFormat="false" ht="15" hidden="false" customHeight="false" outlineLevel="0" collapsed="false">
      <c r="D40" s="2032" t="s">
        <v>184</v>
      </c>
      <c r="E40" s="2033"/>
      <c r="F40" s="2033"/>
      <c r="G40" s="2034"/>
    </row>
    <row r="41" customFormat="false" ht="15" hidden="false" customHeight="false" outlineLevel="0" collapsed="false">
      <c r="D41" s="1" t="s">
        <v>1162</v>
      </c>
      <c r="E41" s="2"/>
      <c r="F41" s="2"/>
      <c r="G41" s="2031" t="s">
        <v>1190</v>
      </c>
    </row>
    <row r="42" customFormat="false" ht="15" hidden="false" customHeight="false" outlineLevel="0" collapsed="false">
      <c r="D42" s="1" t="s">
        <v>1166</v>
      </c>
      <c r="E42" s="2"/>
      <c r="F42" s="2"/>
      <c r="G42" s="2031" t="s">
        <v>1191</v>
      </c>
    </row>
    <row r="43" customFormat="false" ht="15" hidden="false" customHeight="false" outlineLevel="0" collapsed="false">
      <c r="D43" s="1" t="s">
        <v>470</v>
      </c>
      <c r="E43" s="2"/>
      <c r="F43" s="2"/>
      <c r="G43" s="2031" t="s">
        <v>1192</v>
      </c>
    </row>
    <row r="44" customFormat="false" ht="15" hidden="false" customHeight="false" outlineLevel="0" collapsed="false">
      <c r="D44" s="1" t="s">
        <v>1193</v>
      </c>
      <c r="E44" s="2"/>
      <c r="F44" s="2"/>
      <c r="G44" s="2036" t="n">
        <v>1</v>
      </c>
    </row>
    <row r="45" customFormat="false" ht="15" hidden="false" customHeight="false" outlineLevel="0" collapsed="false">
      <c r="D45" s="1" t="s">
        <v>1194</v>
      </c>
      <c r="E45" s="2"/>
      <c r="F45" s="2"/>
      <c r="G45" s="2031" t="s">
        <v>1195</v>
      </c>
    </row>
    <row r="46" customFormat="false" ht="15" hidden="false" customHeight="false" outlineLevel="0" collapsed="false">
      <c r="D46" s="1"/>
      <c r="E46" s="2"/>
      <c r="F46" s="2"/>
      <c r="G46" s="2031"/>
    </row>
    <row r="47" customFormat="false" ht="15" hidden="false" customHeight="false" outlineLevel="0" collapsed="false">
      <c r="D47" s="2032" t="s">
        <v>1196</v>
      </c>
      <c r="E47" s="2033"/>
      <c r="F47" s="2033"/>
      <c r="G47" s="2034"/>
    </row>
    <row r="48" customFormat="false" ht="15" hidden="false" customHeight="false" outlineLevel="0" collapsed="false">
      <c r="D48" s="1" t="s">
        <v>1162</v>
      </c>
      <c r="E48" s="2"/>
      <c r="F48" s="2"/>
      <c r="G48" s="2031" t="s">
        <v>1197</v>
      </c>
    </row>
    <row r="49" customFormat="false" ht="15" hidden="false" customHeight="false" outlineLevel="0" collapsed="false">
      <c r="D49" s="1" t="s">
        <v>1166</v>
      </c>
      <c r="E49" s="2"/>
      <c r="F49" s="2"/>
      <c r="G49" s="2031" t="s">
        <v>1198</v>
      </c>
    </row>
    <row r="50" customFormat="false" ht="15" hidden="false" customHeight="false" outlineLevel="0" collapsed="false">
      <c r="D50" s="1" t="s">
        <v>1199</v>
      </c>
      <c r="E50" s="2"/>
      <c r="F50" s="2"/>
      <c r="G50" s="2031" t="s">
        <v>1200</v>
      </c>
    </row>
    <row r="51" customFormat="false" ht="15" hidden="false" customHeight="false" outlineLevel="0" collapsed="false">
      <c r="D51" s="1"/>
      <c r="E51" s="2"/>
      <c r="F51" s="2"/>
      <c r="G51" s="2031"/>
    </row>
    <row r="52" customFormat="false" ht="15" hidden="false" customHeight="false" outlineLevel="0" collapsed="false">
      <c r="D52" s="2032" t="s">
        <v>1201</v>
      </c>
      <c r="E52" s="2033"/>
      <c r="F52" s="2033"/>
      <c r="G52" s="2034"/>
    </row>
    <row r="53" customFormat="false" ht="15" hidden="false" customHeight="false" outlineLevel="0" collapsed="false">
      <c r="D53" s="1" t="s">
        <v>1202</v>
      </c>
      <c r="E53" s="2"/>
      <c r="F53" s="2"/>
      <c r="G53" s="2031" t="s">
        <v>1203</v>
      </c>
    </row>
    <row r="54" customFormat="false" ht="15" hidden="false" customHeight="false" outlineLevel="0" collapsed="false">
      <c r="D54" s="1" t="s">
        <v>1204</v>
      </c>
      <c r="E54" s="2"/>
      <c r="F54" s="2"/>
      <c r="G54" s="2031" t="s">
        <v>1205</v>
      </c>
    </row>
    <row r="55" customFormat="false" ht="15" hidden="false" customHeight="false" outlineLevel="0" collapsed="false">
      <c r="D55" s="1" t="s">
        <v>1206</v>
      </c>
      <c r="E55" s="2"/>
      <c r="F55" s="2"/>
      <c r="G55" s="2031" t="s">
        <v>1207</v>
      </c>
    </row>
    <row r="56" customFormat="false" ht="15" hidden="false" customHeight="false" outlineLevel="0" collapsed="false">
      <c r="D56" s="1" t="s">
        <v>1208</v>
      </c>
      <c r="E56" s="2"/>
      <c r="F56" s="2"/>
      <c r="G56" s="2031" t="s">
        <v>1165</v>
      </c>
    </row>
    <row r="57" customFormat="false" ht="15" hidden="false" customHeight="false" outlineLevel="0" collapsed="false">
      <c r="D57" s="1" t="s">
        <v>1209</v>
      </c>
      <c r="E57" s="2"/>
      <c r="F57" s="2"/>
      <c r="G57" s="2031" t="s">
        <v>1210</v>
      </c>
    </row>
    <row r="58" customFormat="false" ht="15" hidden="false" customHeight="false" outlineLevel="0" collapsed="false">
      <c r="D58" s="1" t="s">
        <v>865</v>
      </c>
      <c r="E58" s="2"/>
      <c r="F58" s="2"/>
      <c r="G58" s="2031" t="s">
        <v>1211</v>
      </c>
    </row>
    <row r="59" customFormat="false" ht="15" hidden="false" customHeight="false" outlineLevel="0" collapsed="false">
      <c r="D59" s="2037" t="s">
        <v>1212</v>
      </c>
      <c r="E59" s="2"/>
      <c r="F59" s="2"/>
      <c r="G59" s="2031"/>
    </row>
    <row r="60" customFormat="false" ht="15" hidden="false" customHeight="false" outlineLevel="0" collapsed="false">
      <c r="D60" s="1" t="s">
        <v>173</v>
      </c>
      <c r="E60" s="2"/>
      <c r="F60" s="2"/>
      <c r="G60" s="2038" t="n">
        <v>0.005</v>
      </c>
    </row>
    <row r="61" customFormat="false" ht="15" hidden="false" customHeight="false" outlineLevel="0" collapsed="false">
      <c r="D61" s="1" t="s">
        <v>184</v>
      </c>
      <c r="E61" s="2"/>
      <c r="F61" s="2"/>
      <c r="G61" s="2038" t="n">
        <v>0.005</v>
      </c>
    </row>
    <row r="62" customFormat="false" ht="15" hidden="false" customHeight="false" outlineLevel="0" collapsed="false">
      <c r="D62" s="1"/>
      <c r="E62" s="2"/>
      <c r="F62" s="2"/>
      <c r="G62" s="2031"/>
    </row>
    <row r="63" customFormat="false" ht="15" hidden="false" customHeight="false" outlineLevel="0" collapsed="false">
      <c r="D63" s="2032" t="s">
        <v>1213</v>
      </c>
      <c r="E63" s="2033"/>
      <c r="F63" s="2033"/>
      <c r="G63" s="2034"/>
    </row>
    <row r="64" customFormat="false" ht="15" hidden="false" customHeight="false" outlineLevel="0" collapsed="false">
      <c r="D64" s="12" t="s">
        <v>1214</v>
      </c>
      <c r="E64" s="13"/>
      <c r="F64" s="13"/>
      <c r="G64" s="2039"/>
    </row>
    <row r="65" customFormat="false" ht="15" hidden="false" customHeight="false" outlineLevel="0" collapsed="false">
      <c r="D65" s="1" t="s">
        <v>925</v>
      </c>
      <c r="E65" s="2"/>
      <c r="F65" s="2"/>
      <c r="G65" s="2031" t="s">
        <v>1215</v>
      </c>
    </row>
    <row r="66" customFormat="false" ht="15" hidden="false" customHeight="false" outlineLevel="0" collapsed="false">
      <c r="D66" s="1" t="s">
        <v>171</v>
      </c>
      <c r="E66" s="2"/>
      <c r="F66" s="2"/>
      <c r="G66" s="2031" t="s">
        <v>1216</v>
      </c>
    </row>
    <row r="67" customFormat="false" ht="15" hidden="false" customHeight="false" outlineLevel="0" collapsed="false">
      <c r="D67" s="1" t="s">
        <v>1217</v>
      </c>
      <c r="E67" s="2"/>
      <c r="F67" s="2"/>
      <c r="G67" s="2031" t="s">
        <v>1218</v>
      </c>
    </row>
    <row r="68" customFormat="false" ht="15" hidden="false" customHeight="false" outlineLevel="0" collapsed="false">
      <c r="D68" s="1" t="s">
        <v>184</v>
      </c>
      <c r="E68" s="2"/>
      <c r="F68" s="2"/>
      <c r="G68" s="2031" t="s">
        <v>1219</v>
      </c>
    </row>
    <row r="69" customFormat="false" ht="15" hidden="false" customHeight="false" outlineLevel="0" collapsed="false">
      <c r="D69" s="1" t="s">
        <v>1196</v>
      </c>
      <c r="E69" s="2"/>
      <c r="F69" s="2"/>
      <c r="G69" s="2031" t="s">
        <v>1220</v>
      </c>
    </row>
    <row r="70" customFormat="false" ht="15" hidden="false" customHeight="false" outlineLevel="0" collapsed="false">
      <c r="D70" s="1" t="s">
        <v>1162</v>
      </c>
      <c r="E70" s="2"/>
      <c r="F70" s="2"/>
      <c r="G70" s="2031" t="s">
        <v>1221</v>
      </c>
    </row>
    <row r="71" customFormat="false" ht="15" hidden="false" customHeight="false" outlineLevel="0" collapsed="false">
      <c r="D71" s="1" t="s">
        <v>1199</v>
      </c>
      <c r="E71" s="2"/>
      <c r="F71" s="2"/>
      <c r="G71" s="2031" t="s">
        <v>1222</v>
      </c>
    </row>
    <row r="72" customFormat="false" ht="15" hidden="false" customHeight="false" outlineLevel="0" collapsed="false">
      <c r="D72" s="1" t="s">
        <v>1223</v>
      </c>
      <c r="E72" s="2"/>
      <c r="F72" s="2"/>
      <c r="G72" s="2031" t="s">
        <v>1224</v>
      </c>
    </row>
    <row r="73" customFormat="false" ht="15" hidden="false" customHeight="false" outlineLevel="0" collapsed="false">
      <c r="D73" s="1" t="s">
        <v>1225</v>
      </c>
      <c r="E73" s="2"/>
      <c r="F73" s="2"/>
      <c r="G73" s="2031" t="s">
        <v>1226</v>
      </c>
    </row>
    <row r="74" customFormat="false" ht="15" hidden="false" customHeight="false" outlineLevel="0" collapsed="false">
      <c r="D74" s="1" t="s">
        <v>1156</v>
      </c>
      <c r="E74" s="2"/>
      <c r="F74" s="2"/>
      <c r="G74" s="2031" t="s">
        <v>1227</v>
      </c>
    </row>
    <row r="75" customFormat="false" ht="15" hidden="false" customHeight="false" outlineLevel="0" collapsed="false">
      <c r="D75" s="1" t="s">
        <v>1228</v>
      </c>
      <c r="E75" s="2"/>
      <c r="F75" s="2"/>
      <c r="G75" s="2031" t="s">
        <v>1229</v>
      </c>
    </row>
    <row r="76" customFormat="false" ht="15" hidden="false" customHeight="false" outlineLevel="0" collapsed="false">
      <c r="D76" s="49" t="s">
        <v>1230</v>
      </c>
      <c r="E76" s="50"/>
      <c r="F76" s="50"/>
      <c r="G76" s="2040" t="s">
        <v>1231</v>
      </c>
    </row>
    <row r="77" customFormat="false" ht="15" hidden="false" customHeight="false" outlineLevel="0" collapsed="false">
      <c r="D77" s="181" t="s">
        <v>1232</v>
      </c>
    </row>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15</TotalTime>
  <Application>LibreOffice/6.0.7.3$Linux_X86_64 LibreOffice_project/00m0$Build-3</Application>
  <Company>DAF TRUCKS N.V.</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1997-10-21T12:04:22Z</dcterms:created>
  <dc:creator>DAF Gebruiker</dc:creator>
  <dc:description/>
  <dc:language>en-US</dc:language>
  <cp:lastModifiedBy/>
  <cp:lastPrinted>2012-10-01T10:00:17Z</cp:lastPrinted>
  <dcterms:modified xsi:type="dcterms:W3CDTF">2022-04-25T00:21:44Z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DAF TRUCKS N.V.</vt:lpwstr>
  </property>
  <property fmtid="{D5CDD505-2E9C-101B-9397-08002B2CF9AE}" pid="4" name="ContentTypeId">
    <vt:lpwstr>0x010100C5AAA0C1482EEC41943A539C8DB24C31</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_dlc_DocIdItemGuid">
    <vt:lpwstr>a9cc91ca-9989-4543-9bdf-7e093e8f09ff</vt:lpwstr>
  </property>
</Properties>
</file>